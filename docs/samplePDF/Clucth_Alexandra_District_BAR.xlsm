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DD97A8EA-9A9A-E61F-A557-7D5A7D7259CE}"/>
  <workbookPr codeName="ThisWorkbook"/>
  <mc:AlternateContent xmlns:mc="http://schemas.openxmlformats.org/markup-compatibility/2006">
    <mc:Choice Requires="x15">
      <x15ac:absPath xmlns:x15ac="http://schemas.microsoft.com/office/spreadsheetml/2010/11/ac" url="O:\VAEA\Team\Operations team\AIRSystem\Data Entry\Data by TM\2. TM Data Processing Folders\Clutch\"/>
    </mc:Choice>
  </mc:AlternateContent>
  <xr:revisionPtr revIDLastSave="0" documentId="8_{437BE787-9856-46CE-BF91-9BF7EE179062}" xr6:coauthVersionLast="47" xr6:coauthVersionMax="47" xr10:uidLastSave="{00000000-0000-0000-0000-000000000000}"/>
  <bookViews>
    <workbookView xWindow="-6120" yWindow="-16320" windowWidth="29040" windowHeight="15840" tabRatio="820" activeTab="2" xr2:uid="{00000000-000D-0000-FFFF-FFFF00000000}"/>
  </bookViews>
  <sheets>
    <sheet name="Instructions" sheetId="13" r:id="rId1"/>
    <sheet name="Construction &amp; roof types" sheetId="34" state="hidden" r:id="rId2"/>
    <sheet name="DATA ENTRY" sheetId="7" r:id="rId3"/>
    <sheet name="NonFriableRofR" sheetId="14" state="hidden" r:id="rId4"/>
    <sheet name="FriableRofR" sheetId="15" state="hidden" r:id="rId5"/>
    <sheet name="APPENDIX A Non friable ACMs" sheetId="4" state="hidden" r:id="rId6"/>
    <sheet name="APPENDIX B Friable ACMs" sheetId="5" state="hidden" r:id="rId7"/>
    <sheet name="Building Classifications" sheetId="8" state="hidden" r:id="rId8"/>
    <sheet name="Unitsofmeasure" sheetId="17" state="hidden" r:id="rId9"/>
    <sheet name="State Depts" sheetId="9" state="hidden" r:id="rId10"/>
    <sheet name="Picklist Help" sheetId="37" state="hidden" r:id="rId11"/>
    <sheet name="Specific Uses" sheetId="10" state="hidden" r:id="rId12"/>
    <sheet name="Other Lists" sheetId="11" state="hidden" r:id="rId13"/>
    <sheet name="Organisation Type" sheetId="24" state="hidden" r:id="rId14"/>
    <sheet name="Entering Data into the BAR" sheetId="35" r:id="rId15"/>
    <sheet name="Levels" sheetId="36" r:id="rId16"/>
    <sheet name="DET Names" sheetId="38" state="hidden" r:id="rId17"/>
    <sheet name="DJCS Names" sheetId="39" state="hidden" r:id="rId18"/>
    <sheet name="DOT Names" sheetId="40" state="hidden" r:id="rId19"/>
    <sheet name="DJPR Names" sheetId="41" state="hidden" r:id="rId20"/>
    <sheet name="DHHS Names" sheetId="42" state="hidden" r:id="rId21"/>
    <sheet name="Specific Item-ACM Name" sheetId="27" r:id="rId22"/>
    <sheet name="Product Type " sheetId="28" r:id="rId23"/>
    <sheet name="Building Type" sheetId="29" state="hidden" r:id="rId24"/>
    <sheet name="Hygienist Company Names" sheetId="30" state="hidden" r:id="rId25"/>
    <sheet name="Suburbs List" sheetId="31" state="hidden" r:id="rId26"/>
  </sheets>
  <externalReferences>
    <externalReference r:id="rId27"/>
  </externalReferences>
  <definedNames>
    <definedName name="_xlnm._FilterDatabase" localSheetId="2" hidden="1">'DATA ENTRY'!$A$3:$AU$493</definedName>
    <definedName name="_xlnm._FilterDatabase" localSheetId="12" hidden="1">'Other Lists'!$N$1:$N$124</definedName>
    <definedName name="_xlnm._FilterDatabase" localSheetId="9" hidden="1">'State Depts'!$A$1:$K$1742</definedName>
    <definedName name="_xlnm._FilterDatabase" localSheetId="25" hidden="1">'Suburbs List'!#REF!</definedName>
    <definedName name="Abbotsford">'Suburbs List'!$A$2</definedName>
    <definedName name="Aberfeldie">'Suburbs List'!$B$2</definedName>
    <definedName name="Agency">'Organisation Type'!$B$2:$B$84</definedName>
    <definedName name="Agriculture">'Building Classifications'!$C$2:$C$12</definedName>
    <definedName name="Aintree">'Suburbs List'!$C$2</definedName>
    <definedName name="Airport_West">'Suburbs List'!$D$2</definedName>
    <definedName name="Albanvale">'Suburbs List'!$E$2</definedName>
    <definedName name="Albert_Park">'Suburbs List'!$F$2</definedName>
    <definedName name="Albion">'Suburbs List'!$G$2</definedName>
    <definedName name="Albury_Wodonga_Health">'DHHS Names'!$J$2</definedName>
    <definedName name="Alfred_Health">'DHHS Names'!$M$2:$M$4</definedName>
    <definedName name="Alphington">'Suburbs List'!$H$2</definedName>
    <definedName name="Alpine_Health">'DHHS Names'!$N$2:$N$4</definedName>
    <definedName name="Altona">'Suburbs List'!$I$2</definedName>
    <definedName name="Altona_East">'Suburbs List'!$J$2</definedName>
    <definedName name="Altona_Gate">'Suburbs List'!$K$2</definedName>
    <definedName name="Altona_Meadows">'Suburbs List'!$L$2</definedName>
    <definedName name="Altona_North">'Suburbs List'!$M$2</definedName>
    <definedName name="Ambulance_Victoria">'DHHS Names'!$P$2:$P$114</definedName>
    <definedName name="Ardeer">'Suburbs List'!$N$2</definedName>
    <definedName name="Armadale">'Suburbs List'!$O$2</definedName>
    <definedName name="Armadale_North">'Suburbs List'!$P$2</definedName>
    <definedName name="Arthurs_Seat">'Suburbs List'!$Q$2</definedName>
    <definedName name="Ascot_Vale">'Suburbs List'!$R$2</definedName>
    <definedName name="Ashburton">'Suburbs List'!$S$2</definedName>
    <definedName name="Ashwood">'Suburbs List'!$T$2</definedName>
    <definedName name="Aspendale">'Suburbs List'!$U$2</definedName>
    <definedName name="Aspendale_Gardens">'Suburbs List'!$V$2</definedName>
    <definedName name="Attwood">'Suburbs List'!$W$2</definedName>
    <definedName name="Auburn">'Suburbs List'!$X$2</definedName>
    <definedName name="Auburn_South">'Suburbs List'!$Y$2</definedName>
    <definedName name="Austin_Health">'DHHS Names'!$AA$2:$AA$5</definedName>
    <definedName name="Avondale_Heights">'Suburbs List'!$Z$2</definedName>
    <definedName name="Avonsleigh">'Suburbs List'!$AA$2</definedName>
    <definedName name="Badger_Creek">'Suburbs List'!$AB$2</definedName>
    <definedName name="Balaclava">'Suburbs List'!$AC$2</definedName>
    <definedName name="Ballarat_Health_Services">'DHHS Names'!$AM$2:$AM$6</definedName>
    <definedName name="Balnarring">'Suburbs List'!$AD$2</definedName>
    <definedName name="Balnarring_Beach">'Suburbs List'!$AE$2</definedName>
    <definedName name="Balwyn">'Suburbs List'!$AF$2</definedName>
    <definedName name="Balwyn_East">'Suburbs List'!$AG$2</definedName>
    <definedName name="Balwyn_North">'Suburbs List'!$AH$2</definedName>
    <definedName name="Bangholme">'Suburbs List'!$AI$2</definedName>
    <definedName name="Banyule">'Suburbs List'!$AJ$2</definedName>
    <definedName name="Banyule_Cemeteries_Trust">'DHHS Names'!$AU$2</definedName>
    <definedName name="Barwon_Health">'DHHS Names'!$BB$2:$BB$10</definedName>
    <definedName name="Batman">'Suburbs List'!$AK$2</definedName>
    <definedName name="Baxter">'Suburbs List'!$AL$2</definedName>
    <definedName name="Bayles">'Suburbs List'!$AM$2</definedName>
    <definedName name="Bayswater">'Suburbs List'!$AN$2</definedName>
    <definedName name="Bayswater_North">'Suburbs List'!$AO$2</definedName>
    <definedName name="Beaconsfield">'Suburbs List'!$AP$2</definedName>
    <definedName name="Beaconsfield_Upper">'Suburbs List'!$AQ$2</definedName>
    <definedName name="Beaumaris">'Suburbs List'!$AR$2</definedName>
    <definedName name="Bedford_Road">'Suburbs List'!$AS$2</definedName>
    <definedName name="Beenak">'Suburbs List'!$AT$2</definedName>
    <definedName name="Belgrave">'Suburbs List'!$AU$2</definedName>
    <definedName name="Belgrave_Heights">'Suburbs List'!$AV$2</definedName>
    <definedName name="Belgrave_South">'Suburbs List'!$AW$2</definedName>
    <definedName name="Bell">'Suburbs List'!$AX$2</definedName>
    <definedName name="Bellbird">'Suburbs List'!$AY$2</definedName>
    <definedName name="Bend_of_Islands">'Suburbs List'!$AZ$2</definedName>
    <definedName name="Bendigo_Kangan_Institute">'DET Names'!$G$2:$G$3</definedName>
    <definedName name="Bennettswood">'Suburbs List'!$BA$2</definedName>
    <definedName name="Bentleigh">'Suburbs List'!$BB$2</definedName>
    <definedName name="Bentleigh_East">'Suburbs List'!$BC$2</definedName>
    <definedName name="Berwick">'Suburbs List'!$BD$2</definedName>
    <definedName name="Beveridge">'Suburbs List'!$BE$2</definedName>
    <definedName name="Big_Pats_Creek">'Suburbs List'!$BF$2</definedName>
    <definedName name="Bittern">'Suburbs List'!$BG$2</definedName>
    <definedName name="Bitumen_products">'Product Type '!$A$2:$A$31</definedName>
    <definedName name="Bitumenproducts">'APPENDIX A Non friable ACMs'!$D$2:$D$15</definedName>
    <definedName name="Black_Rock">'Suburbs List'!$BH$2</definedName>
    <definedName name="Black_Rock_North">'Suburbs List'!$BI$2</definedName>
    <definedName name="Blackburn">'Suburbs List'!$BJ$2</definedName>
    <definedName name="Blackburn_North">'Suburbs List'!$BK$2</definedName>
    <definedName name="Blackburn_South">'Suburbs List'!$BL$2</definedName>
    <definedName name="Blairgowrie">'Suburbs List'!$BM$2</definedName>
    <definedName name="Blind_Bight">'Suburbs List'!$BN$2</definedName>
    <definedName name="Bonbeach">'Suburbs List'!$BO$2</definedName>
    <definedName name="Boneo">'Suburbs List'!$BP$2</definedName>
    <definedName name="Bonnie_Brook">'Suburbs List'!$BQ$2</definedName>
    <definedName name="Booran_Road">'Suburbs List'!$BR$2</definedName>
    <definedName name="Boronia">'Suburbs List'!$BS$2</definedName>
    <definedName name="Botanic_Ridge">'Suburbs List'!$BT$2</definedName>
    <definedName name="Box_Hill">'Suburbs List'!$BU$2</definedName>
    <definedName name="Box_Hill_Central">'Suburbs List'!$BV$2</definedName>
    <definedName name="Box_Hill_North">'Suburbs List'!$BW$2</definedName>
    <definedName name="Box_Hill_South">'Suburbs List'!$BX$2</definedName>
    <definedName name="Braeside">'Suburbs List'!$BY$2</definedName>
    <definedName name="Brandon_Park">'Suburbs List'!$BZ$2</definedName>
    <definedName name="Braybrook">'Suburbs List'!$CA$2</definedName>
    <definedName name="Brentford_Square">'Suburbs List'!$CB$2</definedName>
    <definedName name="Briar_Hill">'Suburbs List'!$CC$2</definedName>
    <definedName name="Brighton">'Suburbs List'!$CD$2</definedName>
    <definedName name="Brighton_East">'Suburbs List'!$CE$2</definedName>
    <definedName name="Brighton_North">'Suburbs List'!$CF$2</definedName>
    <definedName name="Brighton_Road">'Suburbs List'!$CG$2</definedName>
    <definedName name="Broadmeadows">'Suburbs List'!$CH$2</definedName>
    <definedName name="Brookfield">'Suburbs List'!$CI$2</definedName>
    <definedName name="Brooklyn">'Suburbs List'!$CJ$2</definedName>
    <definedName name="Brunswick">'Suburbs List'!$CK$2</definedName>
    <definedName name="Brunswick_East">'Suburbs List'!$CL$2</definedName>
    <definedName name="Brunswick_North">'Suburbs List'!$CM$2</definedName>
    <definedName name="Brunswick_South">'Suburbs List'!$CN$2</definedName>
    <definedName name="Brunswick_West">'Suburbs List'!$CO$2</definedName>
    <definedName name="BuildingCategory">'Building Classifications'!#REF!</definedName>
    <definedName name="Bulla">'Suburbs List'!$CP$2</definedName>
    <definedName name="Bulleen">'Suburbs List'!$CQ$2</definedName>
    <definedName name="Bundoora">'Suburbs List'!$CR$2</definedName>
    <definedName name="Bunyip">'Suburbs List'!$CS$2</definedName>
    <definedName name="Bunyip_North">'Suburbs List'!$CT$2</definedName>
    <definedName name="Burnley">'Suburbs List'!$CU$2</definedName>
    <definedName name="Burnley_North">'Suburbs List'!$CV$2</definedName>
    <definedName name="Burnside">'Suburbs List'!$CW$2</definedName>
    <definedName name="Burnside_Heights">'Suburbs List'!$CX$2</definedName>
    <definedName name="Burwood">'Suburbs List'!$CY$2</definedName>
    <definedName name="Burwood_East">'Suburbs List'!$CZ$2</definedName>
    <definedName name="Burwood_Heights">'Suburbs List'!$DA$2</definedName>
    <definedName name="Bylands">'Suburbs List'!$DB$2</definedName>
    <definedName name="Cairnlea">'Suburbs List'!$DC$2</definedName>
    <definedName name="Calder_Park">'Suburbs List'!$DD$2</definedName>
    <definedName name="Caldermeade">'Suburbs List'!$DE$2</definedName>
    <definedName name="Cambarville">'Suburbs List'!$DF$2</definedName>
    <definedName name="Camberwell">'Suburbs List'!$DG$2</definedName>
    <definedName name="Camberwell_North">'Suburbs List'!$DH$2</definedName>
    <definedName name="Camberwell_South">'Suburbs List'!$DI$2</definedName>
    <definedName name="Camberwell_West">'Suburbs List'!$DJ$2</definedName>
    <definedName name="Campbellfield">'Suburbs List'!$DK$2</definedName>
    <definedName name="Cannons_Creek">'Suburbs List'!$DL$2</definedName>
    <definedName name="Canterbury">'Suburbs List'!$DM$2</definedName>
    <definedName name="Cape_Schanck">'Suburbs List'!$DN$2</definedName>
    <definedName name="Capel_Sound">'Suburbs List'!$DO$2</definedName>
    <definedName name="Cardinia">'Suburbs List'!$DP$2</definedName>
    <definedName name="Carlton">'Suburbs List'!$DQ$2</definedName>
    <definedName name="Carlton_North">'Suburbs List'!$DR$2</definedName>
    <definedName name="Carlton_South">'Suburbs List'!$DS$2</definedName>
    <definedName name="Carnegie">'Suburbs List'!$DT$2</definedName>
    <definedName name="Caroline_Springs">'Suburbs List'!$DU$2</definedName>
    <definedName name="Carrum">'Suburbs List'!$DV$2</definedName>
    <definedName name="Carrum_Downs">'Suburbs List'!$DW$2</definedName>
    <definedName name="Catani">'Suburbs List'!$DX$2</definedName>
    <definedName name="Caulfield">'Suburbs List'!$DY$2</definedName>
    <definedName name="Caulfield_East">'Suburbs List'!$DZ$2</definedName>
    <definedName name="Caulfield_Junction">'Suburbs List'!$EA$2</definedName>
    <definedName name="Caulfield_North">'Suburbs List'!$EB$2</definedName>
    <definedName name="Caulfield_South">'Suburbs List'!$EC$2</definedName>
    <definedName name="Cement_products">'Product Type '!$B$2:$B$32</definedName>
    <definedName name="Cement_products__f">'Product Type '!$C$2:$C$32</definedName>
    <definedName name="Cementproducts">'APPENDIX A Non friable ACMs'!#REF!</definedName>
    <definedName name="Cementproductsf">'APPENDIX B Friable ACMs'!$C$2:$C$15</definedName>
    <definedName name="Central_Gippsland_Health_Service">'DHHS Names'!$EH$2:$EH$4</definedName>
    <definedName name="Central_Highlands_Rural_Health">'DHHS Names'!$EI$2:$EI$3</definedName>
    <definedName name="Central_Park">'Suburbs List'!$ED$2</definedName>
    <definedName name="Chadstone">'Suburbs List'!$EE$2</definedName>
    <definedName name="Chelsea">'Suburbs List'!$EF$2</definedName>
    <definedName name="Chelsea_Heights">'Suburbs List'!$EG$2</definedName>
    <definedName name="Cheltenham">'Suburbs List'!$EH$2</definedName>
    <definedName name="Cheltenham_East">'Suburbs List'!$EI$2</definedName>
    <definedName name="Chirnside_Park">'Suburbs List'!$EJ$2</definedName>
    <definedName name="Christmas_Hills">'Suburbs List'!$EK$2</definedName>
    <definedName name="Chum_Creek">'Suburbs List'!$EL$2</definedName>
    <definedName name="Clarinda">'Suburbs List'!$EM$2</definedName>
    <definedName name="Clarkefield">'Suburbs List'!$EN$2</definedName>
    <definedName name="Clayton">'Suburbs List'!$EO$2</definedName>
    <definedName name="Clayton_South">'Suburbs List'!$EP$2</definedName>
    <definedName name="Clematis">'Suburbs List'!$EQ$2</definedName>
    <definedName name="Clifton_Hill">'Suburbs List'!$ER$2</definedName>
    <definedName name="Clyde">'Suburbs List'!$ES$2</definedName>
    <definedName name="Clyde_North">'Suburbs List'!$ET$2</definedName>
    <definedName name="Coatings">'Product Type '!$D$2:$D$10</definedName>
    <definedName name="Cobblebank">'Suburbs List'!$EU$2</definedName>
    <definedName name="Coburg">'Suburbs List'!$EV$2</definedName>
    <definedName name="Coburg_North">'Suburbs List'!$EW$2</definedName>
    <definedName name="Cockatoo">'Suburbs List'!$EX$2</definedName>
    <definedName name="Cocoroc">'Suburbs List'!$EY$2</definedName>
    <definedName name="Coldstream">'Suburbs List'!$EZ$2</definedName>
    <definedName name="Collingwood">'Suburbs List'!$FA$2</definedName>
    <definedName name="Collingwood_North">'Suburbs List'!$FB$2</definedName>
    <definedName name="Commercial_and_retail">'Building Classifications'!$D$2:$D$11</definedName>
    <definedName name="Commercialandretail">'Building Classifications'!$D$2:$D$8</definedName>
    <definedName name="Condition">'Other Lists'!$F$2:$F$7</definedName>
    <definedName name="Coolaroo">'Suburbs List'!$FC$2</definedName>
    <definedName name="Cora_Lynn">'Suburbs List'!$FD$2</definedName>
    <definedName name="Correctional_and_justice_facilities">'Building Classifications'!$E$2:$E$4</definedName>
    <definedName name="Correctionalandjusticefacilities">'Building Classifications'!$E$2:$E$4</definedName>
    <definedName name="Corrections_Victoria">'DJCS Names'!$I$2:$I$22</definedName>
    <definedName name="Cotham">'Suburbs List'!$FE$2</definedName>
    <definedName name="Cottles_Bridge">'Suburbs List'!$FF$2</definedName>
    <definedName name="Country_Fire_Authority__CFA">'DJCS Names'!$J$2:$J$571</definedName>
    <definedName name="Craigieburn">'Suburbs List'!$FG$2</definedName>
    <definedName name="Cranbourne">'Suburbs List'!$FH$2</definedName>
    <definedName name="Cranbourne_East">'Suburbs List'!$FI$2</definedName>
    <definedName name="Cranbourne_North">'Suburbs List'!$FJ$2</definedName>
    <definedName name="Cranbourne_South">'Suburbs List'!$FK$2</definedName>
    <definedName name="Cranbourne_West">'Suburbs List'!$FL$2</definedName>
    <definedName name="Creative_Victoria">'DJPR Names'!$Q$2:$Q$11</definedName>
    <definedName name="Cremorne">'Suburbs List'!$FM$2</definedName>
    <definedName name="Crib_Point">'Suburbs List'!$FN$2</definedName>
    <definedName name="Cross_Keys">'Suburbs List'!$FO$2</definedName>
    <definedName name="Croxton_East">'Suburbs List'!$FP$2</definedName>
    <definedName name="Croydon">'Suburbs List'!$FQ$2</definedName>
    <definedName name="Croydon_Hills">'Suburbs List'!$FR$2</definedName>
    <definedName name="Croydon_North">'Suburbs List'!$FS$2</definedName>
    <definedName name="Croydon_South">'Suburbs List'!$FT$2</definedName>
    <definedName name="CSV">'DJCS Names'!$M$2:$M$38</definedName>
    <definedName name="cubicmetres">Unitsofmeasure!$B$2</definedName>
    <definedName name="Dallas">'Suburbs List'!$FU$2</definedName>
    <definedName name="Dalmore">'Suburbs List'!$FV$2</definedName>
    <definedName name="Dandenong">'Suburbs List'!$FW$2</definedName>
    <definedName name="Dandenong_East">'Suburbs List'!$FX$2</definedName>
    <definedName name="Dandenong_North">'Suburbs List'!$FY$2</definedName>
    <definedName name="Darling">'Suburbs List'!$FZ$2</definedName>
    <definedName name="Darling_South">'Suburbs List'!$GA$2</definedName>
    <definedName name="Deanside">'Suburbs List'!$GB$2</definedName>
    <definedName name="Deepdene">'Suburbs List'!$GC$2</definedName>
    <definedName name="Deer_Park">'Suburbs List'!$GD$2</definedName>
    <definedName name="Defence_and_emergency_services">'Building Classifications'!$F$2:$F$9</definedName>
    <definedName name="Defenceandemergencyservices">'Building Classifications'!$F$2:$F$5</definedName>
    <definedName name="Delahey">'Suburbs List'!$GE$2</definedName>
    <definedName name="DELWP">'State Depts'!$D$2:$D$80</definedName>
    <definedName name="Dendy">'Suburbs List'!$GF$2</definedName>
    <definedName name="Dental_Health_Services_Victoria">'DHHS Names'!$GO$2</definedName>
    <definedName name="Department">'Organisation Type'!$C$2</definedName>
    <definedName name="Derrimut">'Suburbs List'!$GG$2</definedName>
    <definedName name="DET">'State Depts'!$E$2:$E$40</definedName>
    <definedName name="Devon_Meadows">'Suburbs List'!$GH$2</definedName>
    <definedName name="Dewhurst">'Suburbs List'!$GI$2</definedName>
    <definedName name="DHHS">'State Depts'!$I$2:$I$780</definedName>
    <definedName name="Diamond_Creek">'Suburbs List'!$GJ$2</definedName>
    <definedName name="Diggers_Rest">'Suburbs List'!$GK$2</definedName>
    <definedName name="Dingley_Village">'Suburbs List'!$GL$2</definedName>
    <definedName name="Disposal_Site">'Organisation Type'!$E$2</definedName>
    <definedName name="Disturbancepotential">'Other Lists'!$G$2:$G$7</definedName>
    <definedName name="Dixons_Creek">'Suburbs List'!$GM$2</definedName>
    <definedName name="DJCS">'State Depts'!$F$2:$F$61</definedName>
    <definedName name="DJPR">'State Depts'!$H$2:$H$121</definedName>
    <definedName name="Docklands">'Suburbs List'!$GN$2</definedName>
    <definedName name="Don_Valley">'Suburbs List'!$GO$2</definedName>
    <definedName name="Doncaster">'Suburbs List'!$GP$2</definedName>
    <definedName name="Doncaster_East">'Suburbs List'!$GQ$2</definedName>
    <definedName name="Doncaster_Heights">'Suburbs List'!$GR$2</definedName>
    <definedName name="Donnybrook">'Suburbs List'!$GS$2</definedName>
    <definedName name="Donvale">'Suburbs List'!$GT$2</definedName>
    <definedName name="Doreen">'Suburbs List'!$GU$2</definedName>
    <definedName name="DoT">'State Depts'!$J$2:$J$8</definedName>
    <definedName name="Doveton">'Suburbs List'!$GV$2</definedName>
    <definedName name="DPC">'State Depts'!$C$2:$C$40</definedName>
    <definedName name="DPS">'State Depts'!$K$2:$K$6</definedName>
    <definedName name="Dromana">'Suburbs List'!$GW$2</definedName>
    <definedName name="DTF">'State Depts'!$G$2:$G$23</definedName>
    <definedName name="Dunearn">'Suburbs List'!$GX$2</definedName>
    <definedName name="Eaglemont">'Suburbs List'!$GY$2</definedName>
    <definedName name="East_Camberwell">'Suburbs List'!$GZ$2</definedName>
    <definedName name="East_Melbourne">'Suburbs List'!$HA$2</definedName>
    <definedName name="East_Wimmera_Health_Service">'DHHS Names'!$HP$2:$HP$6</definedName>
    <definedName name="Eastern_Health">'DHHS Names'!$HQ$2:$HQ$7</definedName>
    <definedName name="Eastwood">'Suburbs List'!$HB$2</definedName>
    <definedName name="Eden_Park">'Suburbs List'!$HC$2</definedName>
    <definedName name="Edithvale">'Suburbs List'!$HD$2</definedName>
    <definedName name="Educational_and_training_facilities">'Building Classifications'!$G$2:$G$7</definedName>
    <definedName name="Educationalandtrainingfacilities">'Building Classifications'!#REF!</definedName>
    <definedName name="Elsternwick">'Suburbs List'!$HE$2</definedName>
    <definedName name="Eltham">'Suburbs List'!$HF$2</definedName>
    <definedName name="Eltham_North">'Suburbs List'!$HG$2</definedName>
    <definedName name="Elwood">'Suburbs List'!$HH$2</definedName>
    <definedName name="Emerald">'Suburbs List'!$HI$2</definedName>
    <definedName name="Endeavour_Hills">'Suburbs List'!$HJ$2</definedName>
    <definedName name="Epping">'Suburbs List'!$HK$2</definedName>
    <definedName name="Essendon">'Suburbs List'!$HL$2</definedName>
    <definedName name="Essendon_Fields">'Suburbs List'!$HM$2</definedName>
    <definedName name="Essendon_North">'Suburbs List'!$HN$2</definedName>
    <definedName name="Essendon_West">'Suburbs List'!$HO$2</definedName>
    <definedName name="ESTA">'DJCS Names'!$R$2</definedName>
    <definedName name="Eumemmerring">'Suburbs List'!$HP$2</definedName>
    <definedName name="Exford">'Suburbs List'!$HQ$2</definedName>
    <definedName name="Eynesbury">'Suburbs List'!$HR$2</definedName>
    <definedName name="Factories__warehouses_and_shops">'Building Classifications'!$H$2:$H$7</definedName>
    <definedName name="Factories_and_warehouses_and_shops">'Building Classifications'!$H$2:$H$10</definedName>
    <definedName name="Factorieswarehousesandshops">'Building Classifications'!$H$2:$H$2</definedName>
    <definedName name="Fairfield">'Suburbs List'!$HS$2</definedName>
    <definedName name="Fawkner">'Suburbs List'!$HT$2</definedName>
    <definedName name="Fernshaw">'Suburbs List'!$HU$2</definedName>
    <definedName name="Ferntree_Gully">'Suburbs List'!$HV$2</definedName>
    <definedName name="Ferny_Creek">'Suburbs List'!$HW$2</definedName>
    <definedName name="Fieldstone">'Suburbs List'!$HX$2</definedName>
    <definedName name="Fingal">'Suburbs List'!$HY$2</definedName>
    <definedName name="Fire_Rescue_Victoria__FRV">'DJCS Names'!$T$2:$T$66</definedName>
    <definedName name="Fitzroy">'Suburbs List'!$HZ$2</definedName>
    <definedName name="Fitzroy_North">'Suburbs List'!$IA$2</definedName>
    <definedName name="Flemington">'Suburbs List'!$IB$2</definedName>
    <definedName name="Flinders">'Suburbs List'!$IC$2</definedName>
    <definedName name="Footscray">'Suburbs List'!$ID$2</definedName>
    <definedName name="Forest_Hill">'Suburbs List'!$IE$2</definedName>
    <definedName name="Frankston">'Suburbs List'!$IF$2</definedName>
    <definedName name="Frankston_East">'Suburbs List'!$IG$2</definedName>
    <definedName name="Frankston_Heights">'Suburbs List'!$IH$2</definedName>
    <definedName name="Frankston_North">'Suburbs List'!$II$2</definedName>
    <definedName name="Frankston_South">'Suburbs List'!$IJ$2</definedName>
    <definedName name="Fraser_Rise">'Suburbs List'!$IK$2</definedName>
    <definedName name="Frequencyofuse">'Other Lists'!$A$2:$A$7</definedName>
    <definedName name="Friability">'Other Lists'!$D$2:$D$3</definedName>
    <definedName name="Friable">'Other Lists'!$L$2:$L$7</definedName>
    <definedName name="Garden_City">'Suburbs List'!$IL$2</definedName>
    <definedName name="Gardenvale">'Suburbs List'!$IM$2</definedName>
    <definedName name="Garfield">'Suburbs List'!$IN$2</definedName>
    <definedName name="Garfield_North">'Suburbs List'!$IO$2</definedName>
    <definedName name="Gasket__friction_products_and_adhesives">'Product Type '!$E$2:$E$20</definedName>
    <definedName name="Gasket__friction_products_and_adhesives__f">'Product Type '!$F$2:$F$19</definedName>
    <definedName name="Gasket_products__f">#REF!</definedName>
    <definedName name="Gasketfrictionproductsandadhesives">'APPENDIX A Non friable ACMs'!$F$2:$F$7</definedName>
    <definedName name="Gasketproductsf">'APPENDIX B Friable ACMs'!$F$2</definedName>
    <definedName name="Geelong_Cemeteries_Trust">'DHHS Names'!$JB$2:$JB$8</definedName>
    <definedName name="Gembrook">'Suburbs List'!$IP$2</definedName>
    <definedName name="Gilberton">'Suburbs List'!$IQ$2</definedName>
    <definedName name="Gilderoy">'Suburbs List'!$IR$2</definedName>
    <definedName name="Gladstone_Park">'Suburbs List'!$IS$2</definedName>
    <definedName name="Gladysdale">'Suburbs List'!$IT$2</definedName>
    <definedName name="Glen_Huntly">'Suburbs List'!$IU$2</definedName>
    <definedName name="Glen_Iris">'Suburbs List'!$IV$2</definedName>
    <definedName name="Glen_Park">'Suburbs List'!$IW$2</definedName>
    <definedName name="Glen_Waverley">'Suburbs List'!$IX$2</definedName>
    <definedName name="Glenferrie">'Suburbs List'!$IY$2</definedName>
    <definedName name="Glengala">'Suburbs List'!$IZ$2</definedName>
    <definedName name="Glenroy">'Suburbs List'!$JA$2</definedName>
    <definedName name="Goulburn_Valley_Health">'DHHS Names'!$JV$2:$JV$5</definedName>
    <definedName name="Gowanbrae">'Suburbs List'!$JB$2</definedName>
    <definedName name="Grangefields">'Suburbs List'!$JC$2</definedName>
    <definedName name="Great_Ocean_Road_Health">'DHHS Names'!$KE$2:$KE$4</definedName>
    <definedName name="Greater_Metropolitan_Cemeteries_Trust">'DHHS Names'!$KG$1+'DHHS Names'!$KG$2:$KG$11</definedName>
    <definedName name="Greensborough">'Suburbs List'!$JD$2</definedName>
    <definedName name="Greenvale">'Suburbs List'!$JE$2</definedName>
    <definedName name="Greythorn">'Suburbs List'!$JF$2</definedName>
    <definedName name="Gruyere">'Suburbs List'!$JG$2</definedName>
    <definedName name="Guys_Hill">'Suburbs List'!$JH$2</definedName>
    <definedName name="Hadfield">'Suburbs List'!$JI$2</definedName>
    <definedName name="Hallam">'Suburbs List'!$JJ$2</definedName>
    <definedName name="Hampton">'Suburbs List'!$JK$2</definedName>
    <definedName name="Hampton_East">'Suburbs List'!$JL$2</definedName>
    <definedName name="Hampton_Park">'Suburbs List'!$JM$2</definedName>
    <definedName name="Harkaway">'Suburbs List'!$JN$2</definedName>
    <definedName name="Harkness">'Suburbs List'!$JO$2</definedName>
    <definedName name="Hartwell">'Suburbs List'!$JP$2</definedName>
    <definedName name="Hastings">'Suburbs List'!$JQ$2</definedName>
    <definedName name="Hawksburn">'Suburbs List'!$JR$2</definedName>
    <definedName name="Hawthorn">'Suburbs List'!$JS$2</definedName>
    <definedName name="Hawthorn_East">'Suburbs List'!$JT$2</definedName>
    <definedName name="Hawthorn_North">'Suburbs List'!$JU$2</definedName>
    <definedName name="Hawthorn_West">'Suburbs List'!$JV$2</definedName>
    <definedName name="Healesville">'Suburbs List'!$JW$2</definedName>
    <definedName name="Health_services">'Building Classifications'!$I$2:$I$12</definedName>
    <definedName name="Healthservices">'Building Classifications'!$I$2:$I$6</definedName>
    <definedName name="Heath_Hill">'Suburbs List'!$JX$2</definedName>
    <definedName name="Heatherton">'Suburbs List'!$JY$2</definedName>
    <definedName name="Heathmont">'Suburbs List'!$JZ$2</definedName>
    <definedName name="Heathwood">'Suburbs List'!$KA$2</definedName>
    <definedName name="Heidelberg">'Suburbs List'!$KB$2</definedName>
    <definedName name="Heidelberg_Heights">'Suburbs List'!$KC$2</definedName>
    <definedName name="Heidelberg_West">'Suburbs List'!$KD$2</definedName>
    <definedName name="Hesse_Rural_Health_Service">'DHHS Names'!$LD$2:$LD$5</definedName>
    <definedName name="Highett">'Suburbs List'!$KE$2</definedName>
    <definedName name="Hillside">'Suburbs List'!$KF$2</definedName>
    <definedName name="HMAS_Cerberus">'Suburbs List'!$KG$2</definedName>
    <definedName name="Hoddles_Creek">'Suburbs List'!$KH$2</definedName>
    <definedName name="Holmesglen">'Suburbs List'!$KI$2</definedName>
    <definedName name="Hopetoun_Gardens">'Suburbs List'!$KJ$2</definedName>
    <definedName name="Hoppers_Crossing">'Suburbs List'!$KK$2</definedName>
    <definedName name="Hotham_Hill">'Suburbs List'!$KL$2</definedName>
    <definedName name="Housing_and_accommodation">'Building Classifications'!$J$2:$J$13</definedName>
    <definedName name="Housingandaccommodation">'Building Classifications'!$J$2:$J$12</definedName>
    <definedName name="Houston">'Suburbs List'!$KM$2</definedName>
    <definedName name="Hughesdale">'Suburbs List'!$KN$2</definedName>
    <definedName name="Humevale">'Suburbs List'!$KO$2</definedName>
    <definedName name="Huntingdale">'Suburbs List'!$KP$2</definedName>
    <definedName name="Hurstbridge">'Suburbs List'!$KQ$2</definedName>
    <definedName name="Insulation_Products">'Product Type '!$G$2:$G$36</definedName>
    <definedName name="Insulation_products__f">'Product Type '!$H$2:$H$39</definedName>
    <definedName name="Insulationproductsf">'APPENDIX B Friable ACMs'!$E$2:$E$18</definedName>
    <definedName name="InternalExternal">'Other Lists'!$B$2:$B$4</definedName>
    <definedName name="Iona">'Suburbs List'!$KR$2</definedName>
    <definedName name="IT_and_communications">'Building Classifications'!$K$2:$K$5</definedName>
    <definedName name="ITandcommunications">'Building Classifications'!$K$2:$K$5</definedName>
    <definedName name="Ivanhoe">'Suburbs List'!$KS$2</definedName>
    <definedName name="Ivanhoe_East">'Suburbs List'!$KT$2</definedName>
    <definedName name="Ivanhoe_North">'Suburbs List'!$KU$2</definedName>
    <definedName name="Jacana">'Suburbs List'!$KV$2</definedName>
    <definedName name="Jordanville">'Suburbs List'!$KW$2</definedName>
    <definedName name="Junction_Village">'Suburbs List'!$KX$2</definedName>
    <definedName name="Kalkallo">'Suburbs List'!$KY$2</definedName>
    <definedName name="Kallista">'Suburbs List'!$KZ$2</definedName>
    <definedName name="Kalorama">'Suburbs List'!$LA$2</definedName>
    <definedName name="Kangaroo_Ground">'Suburbs List'!$LB$2</definedName>
    <definedName name="Karingal">'Suburbs List'!$LC$2</definedName>
    <definedName name="Kealba">'Suburbs List'!$LD$2</definedName>
    <definedName name="Keilor">'Suburbs List'!$LE$2</definedName>
    <definedName name="Keilor_Downs">'Suburbs List'!$LF$2</definedName>
    <definedName name="Keilor_East">'Suburbs List'!$LG$2</definedName>
    <definedName name="Keilor_Lodge">'Suburbs List'!$LH$2</definedName>
    <definedName name="Keilor_North">'Suburbs List'!$LI$2</definedName>
    <definedName name="Keilor_Park">'Suburbs List'!$LJ$2</definedName>
    <definedName name="Kensington">'Suburbs List'!$LK$2</definedName>
    <definedName name="Kerrimuir">'Suburbs List'!$LL$2</definedName>
    <definedName name="Kew">'Suburbs List'!$LM$2</definedName>
    <definedName name="Kew_East">'Suburbs List'!$LN$2</definedName>
    <definedName name="Keysborough">'Suburbs List'!$LO$2</definedName>
    <definedName name="Killara">'Suburbs List'!$LP$2</definedName>
    <definedName name="Kilsyth">'Suburbs List'!$LQ$2</definedName>
    <definedName name="Kilsyth_South">'Suburbs List'!$LR$2</definedName>
    <definedName name="Kinglake">'Suburbs List'!$LS$2</definedName>
    <definedName name="Kinglake_West">'Suburbs List'!$LT$2</definedName>
    <definedName name="Kings_Park">'Suburbs List'!$LU$2</definedName>
    <definedName name="Kingsbury">'Suburbs List'!$LV$2</definedName>
    <definedName name="Kingsville">'Suburbs List'!$LW$2</definedName>
    <definedName name="Knox_City_Centre">'Suburbs List'!$LX$2</definedName>
    <definedName name="Knoxfield">'Suburbs List'!$LY$2</definedName>
    <definedName name="Koo_Wee_Rup">'Suburbs List'!$LZ$2</definedName>
    <definedName name="Koo_Wee_Rup_North">'Suburbs List'!$MA$2</definedName>
    <definedName name="Kooyong">'Suburbs List'!$MB$2</definedName>
    <definedName name="Kunyung">'Suburbs List'!$MC$2</definedName>
    <definedName name="Kurunjang">'Suburbs List'!$MD$2</definedName>
    <definedName name="Laburnum">'Suburbs List'!$ME$2</definedName>
    <definedName name="Lalor">'Suburbs List'!$MF$2</definedName>
    <definedName name="Lang_Lang">'Suburbs List'!$MG$2</definedName>
    <definedName name="Lang_Lang_East">'Suburbs List'!$MH$2</definedName>
    <definedName name="Langwarrin">'Suburbs List'!$MI$2</definedName>
    <definedName name="Langwarrin_South">'Suburbs List'!$MJ$2</definedName>
    <definedName name="Latrobe_Regional_Hospital">'DHHS Names'!$NO$2:$NO$5</definedName>
    <definedName name="Launching_Place">'Suburbs List'!$MK$2</definedName>
    <definedName name="Laverton">'Suburbs List'!$ML$2</definedName>
    <definedName name="Laverton_North">'Suburbs List'!$MM$2</definedName>
    <definedName name="Lilydale">'Suburbs List'!$MN$2</definedName>
    <definedName name="Little_River">'Suburbs List'!$MO$2</definedName>
    <definedName name="lm">Unitsofmeasure!$A$2:$A$12</definedName>
    <definedName name="Local_Government_Authority">'Organisation Type'!$D$2</definedName>
    <definedName name="Longwarry">'Suburbs List'!$MP$2</definedName>
    <definedName name="Lower_Plenty">'Suburbs List'!$MQ$2</definedName>
    <definedName name="Lynbrook">'Suburbs List'!$MR$2</definedName>
    <definedName name="Lyndhurst">'Suburbs List'!$MS$2</definedName>
    <definedName name="Lysterfield">'Suburbs List'!$MT$2</definedName>
    <definedName name="Lysterfield_South">'Suburbs List'!$MU$2</definedName>
    <definedName name="Macclesfield">'Suburbs List'!$MV$2</definedName>
    <definedName name="Macedon">'Suburbs List'!$MW$2</definedName>
    <definedName name="Macleod">'Suburbs List'!$MX$2</definedName>
    <definedName name="Macleod_West">'Suburbs List'!$MY$2</definedName>
    <definedName name="Maidstone">'Suburbs List'!$MZ$2</definedName>
    <definedName name="Main_Ridge">'Suburbs List'!$NA$2</definedName>
    <definedName name="Mallee_Track_Health_And_Community_Service">'DHHS Names'!$OS$2:$OS$8</definedName>
    <definedName name="Malvern">'Suburbs List'!$NB$2</definedName>
    <definedName name="Malvern_East">'Suburbs List'!$NC$2</definedName>
    <definedName name="Malvern_North">'Suburbs List'!$ND$2</definedName>
    <definedName name="Mambourin">'Suburbs List'!$NE$2</definedName>
    <definedName name="Manor_Lakes">'Suburbs List'!$NF$2</definedName>
    <definedName name="Maribyrnong">'Suburbs List'!$NG$2</definedName>
    <definedName name="Maryborough_District_Health_Service">'DHHS Names'!$PB$2:$PB$4</definedName>
    <definedName name="Maryknoll">'Suburbs List'!$NH$2</definedName>
    <definedName name="Matlock">'Suburbs List'!$NI$2</definedName>
    <definedName name="McCrae">'Suburbs List'!$NJ$2</definedName>
    <definedName name="McKinnon">'Suburbs List'!$NK$2</definedName>
    <definedName name="McMahons_Creek">'Suburbs List'!$NL$2</definedName>
    <definedName name="Meadow_Heights">'Suburbs List'!$NM$2</definedName>
    <definedName name="Melbourne">'Suburbs List'!$NN$2</definedName>
    <definedName name="Melbourne_Airport">'Suburbs List'!$NO$2</definedName>
    <definedName name="Melbourne_Health">'DHHS Names'!$PI$2</definedName>
    <definedName name="Melton">'Suburbs List'!$NP$2</definedName>
    <definedName name="Melton_South">'Suburbs List'!$NQ$2</definedName>
    <definedName name="Melton_West">'Suburbs List'!$NR$2</definedName>
    <definedName name="Mentone">'Suburbs List'!$NS$2</definedName>
    <definedName name="Mentone_East">'Suburbs List'!$NT$2</definedName>
    <definedName name="Menzies_Creek">'Suburbs List'!$NU$2</definedName>
    <definedName name="Merlynston">'Suburbs List'!$NV$2</definedName>
    <definedName name="Mernda">'Suburbs List'!$NW$2</definedName>
    <definedName name="Merriang">'Suburbs List'!$NX$2</definedName>
    <definedName name="Merricks">'Suburbs List'!$NY$2</definedName>
    <definedName name="Merricks_Beach">'Suburbs List'!$NZ$2</definedName>
    <definedName name="Merricks_North">'Suburbs List'!$OA$2</definedName>
    <definedName name="Metro_Trains">'DOT Names'!$B$2:$B$223</definedName>
    <definedName name="Mickleham">'Suburbs List'!$OB$2</definedName>
    <definedName name="Middle_Park">'Suburbs List'!$OC$2</definedName>
    <definedName name="Mill_Park">'Suburbs List'!$OD$2</definedName>
    <definedName name="Millgrove">'Suburbs List'!$OE$2</definedName>
    <definedName name="Mitcham">'Suburbs List'!$OF$2</definedName>
    <definedName name="Modella">'Suburbs List'!$OG$2</definedName>
    <definedName name="Monash_Health">'DHHS Names'!$QM$2:$QM$12</definedName>
    <definedName name="Monash_University">'Suburbs List'!$OH$2</definedName>
    <definedName name="Monbulk">'Suburbs List'!$OI$2</definedName>
    <definedName name="Monomeith">'Suburbs List'!$OJ$2</definedName>
    <definedName name="Mont_Albert">'Suburbs List'!$OK$2</definedName>
    <definedName name="Mont_Albert_North">'Suburbs List'!$OL$2</definedName>
    <definedName name="Montmorency">'Suburbs List'!$OM$2</definedName>
    <definedName name="Montrose">'Suburbs List'!$ON$2</definedName>
    <definedName name="Moonee_Ponds">'Suburbs List'!$OO$2</definedName>
    <definedName name="Moonee_Vale">'Suburbs List'!$OP$2</definedName>
    <definedName name="Moorabbin">'Suburbs List'!$OQ$2</definedName>
    <definedName name="Moorabbin_Airport">'Suburbs List'!$OR$2</definedName>
    <definedName name="Moorabbin_East">'Suburbs List'!$OS$2</definedName>
    <definedName name="Moorooduc">'Suburbs List'!$OT$2</definedName>
    <definedName name="Mooroolbark">'Suburbs List'!$OU$2</definedName>
    <definedName name="Mordialloc">'Suburbs List'!$OV$2</definedName>
    <definedName name="Moreland">'Suburbs List'!$OW$2</definedName>
    <definedName name="Moreland_West">'Suburbs List'!$OX$2</definedName>
    <definedName name="Mornington">'Suburbs List'!$OY$2</definedName>
    <definedName name="Mount_Burnett">'Suburbs List'!$OZ$2</definedName>
    <definedName name="Mount_Cottrell">'Suburbs List'!$PA$2</definedName>
    <definedName name="Mount_Dandenong">'Suburbs List'!$PB$2</definedName>
    <definedName name="Mount_Eliza">'Suburbs List'!$PC$2</definedName>
    <definedName name="Mount_Evelyn">'Suburbs List'!$PD$2</definedName>
    <definedName name="Mount_Martha">'Suburbs List'!$PE$2</definedName>
    <definedName name="Mount_Toolebewong">'Suburbs List'!$PF$2</definedName>
    <definedName name="Mount_Waverley">'Suburbs List'!$PG$2</definedName>
    <definedName name="Mountain_Gate">'Suburbs List'!$PH$2</definedName>
    <definedName name="Moyne_Health_Services">'DHHS Names'!$QY$2:$QY$4</definedName>
    <definedName name="Mulgrave">'Suburbs List'!$PI$2</definedName>
    <definedName name="Murrumbeena">'Suburbs List'!$PJ$2</definedName>
    <definedName name="Nangana">'Suburbs List'!$PK$2</definedName>
    <definedName name="Nar_Nar_Goon">'Suburbs List'!$PL$2</definedName>
    <definedName name="Nar_Nar_Goon_North">'Suburbs List'!$PM$2</definedName>
    <definedName name="Narre_Warren">'Suburbs List'!$PN$2</definedName>
    <definedName name="Narre_Warren_East">'Suburbs List'!$PO$2</definedName>
    <definedName name="Narre_Warren_North">'Suburbs List'!$PP$2</definedName>
    <definedName name="Narre_Warren_South">'Suburbs List'!$PQ$2</definedName>
    <definedName name="NCN_Health">'DHHS Names'!$RV$2:$RV$4</definedName>
    <definedName name="Newport">'Suburbs List'!$PR$2</definedName>
    <definedName name="Niddrie">'Suburbs List'!$PS$2</definedName>
    <definedName name="Noble_Park">'Suburbs List'!$PT$2</definedName>
    <definedName name="Noble_Park_North">'Suburbs List'!$PU$2</definedName>
    <definedName name="Non_friable">'Other Lists'!$K$2:$K$10</definedName>
    <definedName name="Nonfriable">'APPENDIX A Non friable ACMs'!$B$2:$B$8</definedName>
    <definedName name="North_Melbourne">'Suburbs List'!$PV$2</definedName>
    <definedName name="North_Richmond">'Suburbs List'!$PW$2</definedName>
    <definedName name="North_Road">'Suburbs List'!$PX$2</definedName>
    <definedName name="North_Warrandyte">'Suburbs List'!$PY$2</definedName>
    <definedName name="Northcote">'Suburbs List'!$PZ$2</definedName>
    <definedName name="Northcote_South">'Suburbs List'!$QA$2</definedName>
    <definedName name="notneeded">Unitsofmeasure!$E$2</definedName>
    <definedName name="Notting_Hill">'Suburbs List'!$QB$2</definedName>
    <definedName name="Nunawading">'Suburbs List'!$QC$2</definedName>
    <definedName name="Nutfield">'Suburbs List'!$QD$2</definedName>
    <definedName name="Nyora">'Suburbs List'!$QE$2</definedName>
    <definedName name="Oak_Park">'Suburbs List'!$QF$2</definedName>
    <definedName name="Oaklands_Junction">'Suburbs List'!$QG$2</definedName>
    <definedName name="Oakleigh">'Suburbs List'!$QH$2</definedName>
    <definedName name="Oakleigh_East">'Suburbs List'!$QI$2</definedName>
    <definedName name="Oakleigh_South">'Suburbs List'!$QJ$2</definedName>
    <definedName name="Officer">'Suburbs List'!$QK$2</definedName>
    <definedName name="Officer_South">'Suburbs List'!$QL$2</definedName>
    <definedName name="Offices_and_professional_services">'Building Classifications'!$L$2:$L$10</definedName>
    <definedName name="Officesandprofessionalservices">'Building Classifications'!$L$2:$L$7</definedName>
    <definedName name="Olinda">'Suburbs List'!$QM$2</definedName>
    <definedName name="Ormond">'Suburbs List'!$QN$2</definedName>
    <definedName name="Other">'Product Type '!$I$2:$I$28</definedName>
    <definedName name="Other__f">'Product Type '!$J$2:$J$29</definedName>
    <definedName name="Otherf">'APPENDIX B Friable ACMs'!$H$2:$H$5</definedName>
    <definedName name="Ownedorleased">'Other Lists'!$J$2:$J$3</definedName>
    <definedName name="Pakenham">'Suburbs List'!$QO$2</definedName>
    <definedName name="Pakenham_South">'Suburbs List'!$QP$2</definedName>
    <definedName name="Pakenham_Upper">'Suburbs List'!$QQ$2</definedName>
    <definedName name="Panton_Hill">'Suburbs List'!$QR$2</definedName>
    <definedName name="Park_Orchards">'Suburbs List'!$QS$2</definedName>
    <definedName name="Parkdale">'Suburbs List'!$QT$2</definedName>
    <definedName name="Parkville">'Suburbs List'!$QU$2</definedName>
    <definedName name="Parwan">'Suburbs List'!$QV$2</definedName>
    <definedName name="Pascoe_Vale">'Suburbs List'!$QW$2</definedName>
    <definedName name="Pascoe_Vale_South">'Suburbs List'!$QX$2</definedName>
    <definedName name="Patterson">'Suburbs List'!$QY$2</definedName>
    <definedName name="Patterson_Lakes">'Suburbs List'!$QZ$2</definedName>
    <definedName name="Pavilion">'Building Classifications'!$M$15:$M$19</definedName>
    <definedName name="Pearcedale">'Suburbs List'!$RA$2</definedName>
    <definedName name="Peninsula_Health">'DHHS Names'!$TM$2:$TM$4</definedName>
    <definedName name="Pines_Forest">'Suburbs List'!$RB$2</definedName>
    <definedName name="Pinewood">'Suburbs List'!$RC$2</definedName>
    <definedName name="Plenty">'Suburbs List'!$RD$2</definedName>
    <definedName name="Plumpton">'Suburbs List'!$RE$2</definedName>
    <definedName name="Point_Cook">'Suburbs List'!$RF$2</definedName>
    <definedName name="Point_Leo">'Suburbs List'!$RG$2</definedName>
    <definedName name="Port_Melbourne">'Suburbs List'!$RH$2</definedName>
    <definedName name="Portsea">'Suburbs List'!$RI$2</definedName>
    <definedName name="Powelltown">'Suburbs List'!$RJ$2</definedName>
    <definedName name="Prahran">'Suburbs List'!$RK$2</definedName>
    <definedName name="Preston">'Suburbs List'!$RL$2</definedName>
    <definedName name="Preston_West">'Suburbs List'!$RM$2</definedName>
    <definedName name="Princes_Hill">'Suburbs List'!$RN$2</definedName>
    <definedName name="Public_and_family_services">'Building Classifications'!$M$2:$M$25</definedName>
    <definedName name="Publicandfamilyservices">'Building Classifications'!$M$2:$M$19</definedName>
    <definedName name="Quandong">'Suburbs List'!$RO$2</definedName>
    <definedName name="Rangeview">'Suburbs List'!$RP$2</definedName>
    <definedName name="Ravenhall">'Suburbs List'!$RQ$2</definedName>
    <definedName name="Red_Hill">'Suburbs List'!$RR$2</definedName>
    <definedName name="Red_Hill_South">'Suburbs List'!$RS$2</definedName>
    <definedName name="Reefton">'Suburbs List'!$RT$2</definedName>
    <definedName name="Regent_West">'Suburbs List'!$RU$2</definedName>
    <definedName name="Reinforced_plastics_resins__excluding_bitumen_products">'Product Type '!$K$2:$K$18</definedName>
    <definedName name="Reinforcedplasticsresinsexcludingbitumenproducts">'APPENDIX A Non friable ACMs'!$H$2:$H$7</definedName>
    <definedName name="Research">'Suburbs List'!$RV$2</definedName>
    <definedName name="Reservoir">'Suburbs List'!$RW$2</definedName>
    <definedName name="Richmond">'Suburbs List'!$RX$2</definedName>
    <definedName name="Richmond_East">'Suburbs List'!$RY$2</definedName>
    <definedName name="Richmond_South">'Suburbs List'!$RZ$2</definedName>
    <definedName name="Ringwood">'Suburbs List'!$SA$2</definedName>
    <definedName name="Ringwood_East">'Suburbs List'!$SB$2</definedName>
    <definedName name="Ringwood_North">'Suburbs List'!$SC$2</definedName>
    <definedName name="Ripponlea">'Suburbs List'!$SD$2</definedName>
    <definedName name="Riskofrelease">'Other Lists'!$H$2:$H$5</definedName>
    <definedName name="Rockbank">'Suburbs List'!$SE$2</definedName>
    <definedName name="Rosanna">'Suburbs List'!$SF$2</definedName>
    <definedName name="Rosebud">'Suburbs List'!$SG$2</definedName>
    <definedName name="Rosebud_Plaza">'Suburbs List'!$SH$2</definedName>
    <definedName name="RowMarker">'DATA ENTRY'!$A$3970</definedName>
    <definedName name="Rowville">'Suburbs List'!$SI$2</definedName>
    <definedName name="Roxburgh_Park">'Suburbs List'!$SJ$2</definedName>
    <definedName name="Rye">'Suburbs List'!$SK$2</definedName>
    <definedName name="Rythdale">'Suburbs List'!$SL$2</definedName>
    <definedName name="Safety_Beach">'Suburbs List'!$SM$2</definedName>
    <definedName name="Sample_analysis_result">'Other Lists'!$E$2:$E$5</definedName>
    <definedName name="Sampleanalysisresult">'Other Lists'!$E$2:$E$5</definedName>
    <definedName name="Sandhurst">'Suburbs List'!$SN$2</definedName>
    <definedName name="Sandringham">'Suburbs List'!$SO$2</definedName>
    <definedName name="Sassafras">'Suburbs List'!$SP$2</definedName>
    <definedName name="Sassafras_Gully">'Suburbs List'!$SQ$2</definedName>
    <definedName name="Scoresby">'Suburbs List'!$SR$2</definedName>
    <definedName name="Seabrook">'Suburbs List'!$SS$2</definedName>
    <definedName name="Seaford">'Suburbs List'!$ST$2</definedName>
    <definedName name="Seaholme">'Suburbs List'!$SU$2</definedName>
    <definedName name="Seddon">'Suburbs List'!$SV$2</definedName>
    <definedName name="Selby">'Suburbs List'!$SW$2</definedName>
    <definedName name="SES">'DJCS Names'!$AP$2</definedName>
    <definedName name="Seville">'Suburbs List'!$SX$2</definedName>
    <definedName name="Seville_East">'Suburbs List'!$SY$2</definedName>
    <definedName name="Sherbrooke">'Suburbs List'!$SZ$2</definedName>
    <definedName name="Shoreham">'Suburbs List'!$TA$2</definedName>
    <definedName name="Silvan">'Suburbs List'!$TB$2</definedName>
    <definedName name="Skye">'Suburbs List'!$TC$2</definedName>
    <definedName name="Smiths_Gully">'Suburbs List'!$TD$2</definedName>
    <definedName name="Somers">'Suburbs List'!$TE$2</definedName>
    <definedName name="Somerton">'Suburbs List'!$TF$2</definedName>
    <definedName name="Somerville">'Suburbs List'!$TG$2</definedName>
    <definedName name="Sorrento">'Suburbs List'!$TH$2</definedName>
    <definedName name="South_Kingsville">'Suburbs List'!$TI$2</definedName>
    <definedName name="South_Melbourne">'Suburbs List'!$TJ$2</definedName>
    <definedName name="South_Morang">'Suburbs List'!$TK$2</definedName>
    <definedName name="South_Preston">'Suburbs List'!$TL$2</definedName>
    <definedName name="South_West_Healthcare">'DHHS Names'!$WH$2:$WH$11</definedName>
    <definedName name="South_Wharf">'Suburbs List'!$TM$2</definedName>
    <definedName name="South_Yarra">'Suburbs List'!$TN$2</definedName>
    <definedName name="Southbank">'Suburbs List'!$TO$2</definedName>
    <definedName name="Southland_Centre">'Suburbs List'!$TP$2</definedName>
    <definedName name="Specificuses">'Specific Uses'!$A$2:$A$271</definedName>
    <definedName name="Spotswood">'Suburbs List'!$TQ$2</definedName>
    <definedName name="Springvale">'Suburbs List'!$TR$2</definedName>
    <definedName name="Springvale_South">'Suburbs List'!$TS$2</definedName>
    <definedName name="sqm">Unitsofmeasure!$C$2:$C$48</definedName>
    <definedName name="St_Albans">'Suburbs List'!$TT$2</definedName>
    <definedName name="St_Andrews">'Suburbs List'!$TU$2</definedName>
    <definedName name="St_Andrews_Beach">'Suburbs List'!$TV$2</definedName>
    <definedName name="St_Helena">'Suburbs List'!$TW$2</definedName>
    <definedName name="St_Kilda">'Suburbs List'!$TX$2</definedName>
    <definedName name="St_Kilda_East">'Suburbs List'!$TY$2</definedName>
    <definedName name="St_Kilda_South">'Suburbs List'!$TZ$2</definedName>
    <definedName name="St_Kilda_West">'Suburbs List'!$UA$2</definedName>
    <definedName name="Steels_Creek">'Suburbs List'!$UB$2</definedName>
    <definedName name="Stradbroke_Park">'Suburbs List'!$UC$2</definedName>
    <definedName name="Strathewen">'Suburbs List'!$UD$2</definedName>
    <definedName name="Strathmore">'Suburbs List'!$UE$2</definedName>
    <definedName name="Strathmore_Heights">'Suburbs List'!$UF$2</definedName>
    <definedName name="Strathtulloh">'Suburbs List'!$UG$2</definedName>
    <definedName name="Studfield">'Suburbs List'!$UH$2</definedName>
    <definedName name="Sub_Agency">'Organisation Type'!$F$2:$F$84</definedName>
    <definedName name="Sumner">'Suburbs List'!$UI$2</definedName>
    <definedName name="Sunbury">'Suburbs List'!$UJ$2</definedName>
    <definedName name="Sunraysia_Institute_of_TAFE">'DET Names'!$AB$2</definedName>
    <definedName name="Sunshine">'Suburbs List'!$UK$2</definedName>
    <definedName name="Sunshine_North">'Suburbs List'!$UL$2</definedName>
    <definedName name="Sunshine_West">'Suburbs List'!$UM$2</definedName>
    <definedName name="Surrey_Hills">'Suburbs List'!$UN$2</definedName>
    <definedName name="Surrey_Hills_South">'Suburbs List'!$UO$2</definedName>
    <definedName name="Sydenham">'Suburbs List'!$UP$2</definedName>
    <definedName name="Syndal">'Suburbs List'!$UQ$2</definedName>
    <definedName name="TAFE_Gippsland">'DET Names'!$AC$2:$AC$15</definedName>
    <definedName name="Tarneit">'Suburbs List'!$UR$2</definedName>
    <definedName name="Tarrawarra">'Suburbs List'!$US$2</definedName>
    <definedName name="Taylors_Hill">'Suburbs List'!$UT$2</definedName>
    <definedName name="Taylors_Lakes">'Suburbs List'!$UU$2</definedName>
    <definedName name="Tecoma">'Suburbs List'!$UV$2</definedName>
    <definedName name="Templestowe">'Suburbs List'!$UW$2</definedName>
    <definedName name="Templestowe_Lower">'Suburbs List'!$UX$2</definedName>
    <definedName name="Terang_And_Mortlake_Health_Service">'DHHS Names'!$XY$2:$XY$5</definedName>
    <definedName name="Textiles">'Product Type '!$N$2:$N$14</definedName>
    <definedName name="Textiles__f">'Product Type '!$N$2:$N$10</definedName>
    <definedName name="Textilesf">'APPENDIX B Friable ACMs'!$G$2:$G$7</definedName>
    <definedName name="The_Basin">'Suburbs List'!$UY$2</definedName>
    <definedName name="The_Patch">'Suburbs List'!$UZ$2</definedName>
    <definedName name="The_Royal_Children_s_Hospital">'DHHS Names'!$YI$2:$YI$4</definedName>
    <definedName name="The_Royal_Victorian_Eye_and_Ear_Hospital">'DHHS Names'!$YJ$2</definedName>
    <definedName name="Thomastown">'Suburbs List'!$VA$2</definedName>
    <definedName name="Thornbury">'Suburbs List'!$VB$2</definedName>
    <definedName name="Thornhill_Park">'Suburbs List'!$VC$2</definedName>
    <definedName name="Three_Bridges">'Suburbs List'!$VD$2</definedName>
    <definedName name="Tonimbuk">'Suburbs List'!$VE$2</definedName>
    <definedName name="Toolangi">'Suburbs List'!$VF$2</definedName>
    <definedName name="Toolern_Vale">'Suburbs List'!$VG$2</definedName>
    <definedName name="Tooradin">'Suburbs List'!$VH$2</definedName>
    <definedName name="Toorak">'Suburbs List'!$VI$2</definedName>
    <definedName name="Tooronga">'Suburbs List'!$VJ$2</definedName>
    <definedName name="Toorongo">'Suburbs List'!$VK$2</definedName>
    <definedName name="Tootgarook">'Suburbs List'!$VL$2</definedName>
    <definedName name="Tottenham">'Suburbs List'!$VM$2</definedName>
    <definedName name="Transport">'Building Classifications'!$N$2:$N$14</definedName>
    <definedName name="Travancore">'Suburbs List'!$VN$2</definedName>
    <definedName name="Tremont">'Suburbs List'!$VO$2</definedName>
    <definedName name="Truganina">'Suburbs List'!$VP$2</definedName>
    <definedName name="Tuerong">'Suburbs List'!$VQ$2</definedName>
    <definedName name="Tullamarine">'Suburbs List'!$VR$2</definedName>
    <definedName name="Tyabb">'Suburbs List'!$VS$2</definedName>
    <definedName name="Tynong">'Suburbs List'!$VT$2</definedName>
    <definedName name="Tynong_North">'Suburbs List'!$VU$2</definedName>
    <definedName name="units">Unitsofmeasure!$D$2:$D$34</definedName>
    <definedName name="Unknown_other">'Building Classifications'!$O$2:$O$11</definedName>
    <definedName name="Unknownother">'Building Classifications'!$O$2:$O$8</definedName>
    <definedName name="Upper_Ferntree_Gully">'Suburbs List'!$VV$2</definedName>
    <definedName name="Upwey">'Suburbs List'!$VW$2</definedName>
    <definedName name="V_Line_Pty_Ltd">'DOT Names'!$E$2:$E$57</definedName>
    <definedName name="ValidationRangeDept">'DATA ENTRY'!$A$4:$A$1048576</definedName>
    <definedName name="Vermont">'Suburbs List'!$VX$2</definedName>
    <definedName name="Vermont_South">'Suburbs List'!$VY$2</definedName>
    <definedName name="Vervale">'Suburbs List'!$VZ$2</definedName>
    <definedName name="Victoria_Police">'DJCS Names'!$AV$2:$AV$175</definedName>
    <definedName name="Victorian_School_Building_Authority__VSBA">'DET Names'!$AI$2:$AI$1430</definedName>
    <definedName name="VicTrack">'DOT Names'!$G$2:$G$147</definedName>
    <definedName name="Viewbank">'Suburbs List'!$WA$2</definedName>
    <definedName name="VIFM">'DJCS Names'!$BH$2</definedName>
    <definedName name="Vinyl_products">'Product Type '!$L$2:$L$15</definedName>
    <definedName name="Vinyl_products__f">'Product Type '!$M$2:$M$13</definedName>
    <definedName name="Vinylproducts">'APPENDIX A Non friable ACMs'!$E$2:$E$5</definedName>
    <definedName name="Vinylproductsf">'APPENDIX B Friable ACMs'!$D$2</definedName>
    <definedName name="Wandin_East">'Suburbs List'!$WB$2</definedName>
    <definedName name="Wandin_North">'Suburbs List'!$WC$2</definedName>
    <definedName name="Wantirna">'Suburbs List'!$WD$2</definedName>
    <definedName name="Wantirna_South">'Suburbs List'!$WE$2</definedName>
    <definedName name="Warburton">'Suburbs List'!$WF$2</definedName>
    <definedName name="Warneet">'Suburbs List'!$WG$2</definedName>
    <definedName name="Warrandyte">'Suburbs List'!$WH$2</definedName>
    <definedName name="Warrandyte_South">'Suburbs List'!$WI$2</definedName>
    <definedName name="Warranwood">'Suburbs List'!$WJ$2</definedName>
    <definedName name="Watergardens">'Suburbs List'!$WK$2</definedName>
    <definedName name="Waterways">'Suburbs List'!$WL$2</definedName>
    <definedName name="Watsonia">'Suburbs List'!$WM$2</definedName>
    <definedName name="Watsonia_North">'Suburbs List'!$WN$2</definedName>
    <definedName name="Watsons_Creek">'Suburbs List'!$WO$2</definedName>
    <definedName name="Wattle_Glen">'Suburbs List'!$WP$2</definedName>
    <definedName name="Wattle_Park">'Suburbs List'!$WQ$2</definedName>
    <definedName name="Wattletree_Road">'Suburbs List'!$WR$2</definedName>
    <definedName name="Waverley_Gardens">'Suburbs List'!$WS$2</definedName>
    <definedName name="Weir_Views">'Suburbs List'!$WT$2</definedName>
    <definedName name="Werribee">'Suburbs List'!$WU$2</definedName>
    <definedName name="Werribee_South">'Suburbs List'!$WV$2</definedName>
    <definedName name="Wesburn">'Suburbs List'!$WW$2</definedName>
    <definedName name="West_Footscray">'Suburbs List'!$WX$2</definedName>
    <definedName name="West_Gippsland_Healthcare_Group">'DHHS Names'!$ABE$2:$ABE$7</definedName>
    <definedName name="West_Melbourne">'Suburbs List'!$WY$2</definedName>
    <definedName name="West_Wimmera_Health_Service">'DHHS Names'!$ABF$2:$ABF$7</definedName>
    <definedName name="Western_Health">'DHHS Names'!$ABH$2:$ABH$6</definedName>
    <definedName name="Westmeadows">'Suburbs List'!$WZ$2</definedName>
    <definedName name="Wheelers_Hill">'Suburbs List'!$XA$2</definedName>
    <definedName name="Whittlesea">'Suburbs List'!$XB$2</definedName>
    <definedName name="Wildwood">'Suburbs List'!$XC$2</definedName>
    <definedName name="William_Angliss_Institute_of_TAFE">'DET Names'!$AL$2:$AL$4</definedName>
    <definedName name="Williams_Landing">'Suburbs List'!$XD$2</definedName>
    <definedName name="Williamstown">'Suburbs List'!$XE$2</definedName>
    <definedName name="Williamstown_North">'Suburbs List'!$XF$2</definedName>
    <definedName name="Wimmera_Health_Care_Group">'DHHS Names'!$ABQ$2:$ABQ$3</definedName>
    <definedName name="Windsor">'Suburbs List'!$XG$2</definedName>
    <definedName name="Wishart">'Suburbs List'!$XH$2</definedName>
    <definedName name="Wodonga_Institute_of_TAFE">'DET Names'!$AN$2</definedName>
    <definedName name="Wollert">'Suburbs List'!$XI$2</definedName>
    <definedName name="Wonga_Park">'Suburbs List'!$XJ$2</definedName>
    <definedName name="Woodstock">'Suburbs List'!$XK$2</definedName>
    <definedName name="Woori_Yallock">'Suburbs List'!$XL$2</definedName>
    <definedName name="Wyndham_Vale">'Suburbs List'!$XM$2</definedName>
    <definedName name="Yallambie">'Suburbs List'!$XN$2</definedName>
    <definedName name="Yan_Yean">'Suburbs List'!$XO$2</definedName>
    <definedName name="Yannathan">'Suburbs List'!$XP$2</definedName>
    <definedName name="Yarra_Glen">'Suburbs List'!$XQ$2</definedName>
    <definedName name="Yarra_Junction">'Suburbs List'!$XR$2</definedName>
    <definedName name="Yarram_And_District_Health_Service">'DHHS Names'!$ACQ$2:$ACQ$4</definedName>
    <definedName name="Yarrambat">'Suburbs List'!$XS$2</definedName>
    <definedName name="Yarraville">'Suburbs List'!$XT$2</definedName>
    <definedName name="Yellingbo">'Suburbs List'!$XU$2</definedName>
    <definedName name="Yering">'Suburbs List'!$XV$2</definedName>
    <definedName name="Yesno">'Other Lists'!$I$2:$I$3</definedName>
    <definedName name="Yuroke">'Suburbs List'!$XW$2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6" i="7" l="1"/>
  <c r="I45" i="7"/>
  <c r="I44" i="7" l="1"/>
  <c r="I43" i="7"/>
  <c r="I42" i="7"/>
  <c r="I41" i="7"/>
  <c r="I40" i="7"/>
  <c r="I39" i="7"/>
  <c r="I38" i="7"/>
  <c r="I37" i="7"/>
  <c r="I36" i="7"/>
  <c r="I35" i="7"/>
  <c r="I34" i="7"/>
  <c r="I33" i="7"/>
  <c r="I32" i="7"/>
  <c r="I31" i="7"/>
  <c r="I30" i="7"/>
  <c r="I29" i="7"/>
  <c r="I28" i="7"/>
  <c r="I27" i="7" l="1"/>
  <c r="I26" i="7"/>
  <c r="I24" i="7"/>
  <c r="I23" i="7"/>
  <c r="I22" i="7" l="1"/>
  <c r="I21" i="7"/>
  <c r="I18" i="7" l="1"/>
  <c r="I17" i="7"/>
  <c r="I16" i="7"/>
  <c r="I15" i="7"/>
  <c r="I14" i="7"/>
  <c r="I13" i="7"/>
  <c r="I10" i="7" l="1"/>
  <c r="I9" i="7"/>
  <c r="I8" i="7"/>
  <c r="I7" i="7"/>
  <c r="AB6" i="7"/>
  <c r="I5" i="7"/>
  <c r="AB5" i="7"/>
  <c r="AB4" i="7"/>
  <c r="I6" i="7" l="1"/>
  <c r="I4" i="7"/>
  <c r="A2" i="42" l="1"/>
  <c r="B1" i="42" s="1"/>
  <c r="A3" i="42"/>
  <c r="A4" i="42"/>
  <c r="A5" i="42"/>
  <c r="A6" i="42"/>
  <c r="A7" i="42"/>
  <c r="A8" i="42"/>
  <c r="A9" i="42"/>
  <c r="A10" i="42"/>
  <c r="A11" i="42"/>
  <c r="A12" i="42"/>
  <c r="A13" i="42"/>
  <c r="A14" i="42"/>
  <c r="A15" i="42"/>
  <c r="A16" i="42"/>
  <c r="A17" i="42"/>
  <c r="A18" i="42"/>
  <c r="A19" i="42"/>
  <c r="A20" i="42"/>
  <c r="A21" i="42"/>
  <c r="A22" i="42"/>
  <c r="A23" i="42"/>
  <c r="A24" i="42"/>
  <c r="A25" i="42"/>
  <c r="A26" i="42"/>
  <c r="A27" i="42"/>
  <c r="A28" i="42"/>
  <c r="A29" i="42"/>
  <c r="A30" i="42"/>
  <c r="A31" i="42"/>
  <c r="A32" i="42"/>
  <c r="A33" i="42"/>
  <c r="A34" i="42"/>
  <c r="A35" i="42"/>
  <c r="A36" i="42"/>
  <c r="A37" i="42"/>
  <c r="A38"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65" i="42"/>
  <c r="A66" i="42"/>
  <c r="A67" i="42"/>
  <c r="A68" i="42"/>
  <c r="A69" i="42"/>
  <c r="A70" i="42"/>
  <c r="A71" i="42"/>
  <c r="A72" i="42"/>
  <c r="A73" i="42"/>
  <c r="A74" i="42"/>
  <c r="A75" i="42"/>
  <c r="A76" i="42"/>
  <c r="A77" i="42"/>
  <c r="A78" i="42"/>
  <c r="A79" i="42"/>
  <c r="A80" i="42"/>
  <c r="A81" i="42"/>
  <c r="A82" i="42"/>
  <c r="A83" i="42"/>
  <c r="A84" i="42"/>
  <c r="A85" i="42"/>
  <c r="A86" i="42"/>
  <c r="A87" i="42"/>
  <c r="A88" i="42"/>
  <c r="A89" i="42"/>
  <c r="A90" i="42"/>
  <c r="A91" i="42"/>
  <c r="A92" i="42"/>
  <c r="A93" i="42"/>
  <c r="A94" i="42"/>
  <c r="A95" i="42"/>
  <c r="A96" i="42"/>
  <c r="A97" i="42"/>
  <c r="A98" i="42"/>
  <c r="A99" i="42"/>
  <c r="A100" i="42"/>
  <c r="A101" i="42"/>
  <c r="A102" i="42"/>
  <c r="A103" i="42"/>
  <c r="A104" i="42"/>
  <c r="A105" i="42"/>
  <c r="A106" i="42"/>
  <c r="A107" i="42"/>
  <c r="A108" i="42"/>
  <c r="A109" i="42"/>
  <c r="A110" i="42"/>
  <c r="A111" i="42"/>
  <c r="A112" i="42"/>
  <c r="A113" i="42"/>
  <c r="A114" i="42"/>
  <c r="A115" i="42"/>
  <c r="A116" i="42"/>
  <c r="A117" i="42"/>
  <c r="A118" i="42"/>
  <c r="A119" i="42"/>
  <c r="A120" i="42"/>
  <c r="A121" i="42"/>
  <c r="A122" i="42"/>
  <c r="A123" i="42"/>
  <c r="A124" i="42"/>
  <c r="A125" i="42"/>
  <c r="A126" i="42"/>
  <c r="A127" i="42"/>
  <c r="A128" i="42"/>
  <c r="A129" i="42"/>
  <c r="A130" i="42"/>
  <c r="A131" i="42"/>
  <c r="A132" i="42"/>
  <c r="A133" i="42"/>
  <c r="A134" i="42"/>
  <c r="A135" i="42"/>
  <c r="A136" i="42"/>
  <c r="A137" i="42"/>
  <c r="A138" i="42"/>
  <c r="A139" i="42"/>
  <c r="A140" i="42"/>
  <c r="A141" i="42"/>
  <c r="A142" i="42"/>
  <c r="A143" i="42"/>
  <c r="A144" i="42"/>
  <c r="A145" i="42"/>
  <c r="A146" i="42"/>
  <c r="A147" i="42"/>
  <c r="A148" i="42"/>
  <c r="A149" i="42"/>
  <c r="A150" i="42"/>
  <c r="A151" i="42"/>
  <c r="A152" i="42"/>
  <c r="A153" i="42"/>
  <c r="A154" i="42"/>
  <c r="A155" i="42"/>
  <c r="A156" i="42"/>
  <c r="A157" i="42"/>
  <c r="A158" i="42"/>
  <c r="A159" i="42"/>
  <c r="A160" i="42"/>
  <c r="A161" i="42"/>
  <c r="A162" i="42"/>
  <c r="A163" i="42"/>
  <c r="A164" i="42"/>
  <c r="A165" i="42"/>
  <c r="A166" i="42"/>
  <c r="A167" i="42"/>
  <c r="A168" i="42"/>
  <c r="A169" i="42"/>
  <c r="A170" i="42"/>
  <c r="A171" i="42"/>
  <c r="A172" i="42"/>
  <c r="A173" i="42"/>
  <c r="A174" i="42"/>
  <c r="A175" i="42"/>
  <c r="A176" i="42"/>
  <c r="A177" i="42"/>
  <c r="A178" i="42"/>
  <c r="A179" i="42"/>
  <c r="A180" i="42"/>
  <c r="A181" i="42"/>
  <c r="A182" i="42"/>
  <c r="A183" i="42"/>
  <c r="A184" i="42"/>
  <c r="A185" i="42"/>
  <c r="A186" i="42"/>
  <c r="A187" i="42"/>
  <c r="A188" i="42"/>
  <c r="A189" i="42"/>
  <c r="A190" i="42"/>
  <c r="A191" i="42"/>
  <c r="A192" i="42"/>
  <c r="A193" i="42"/>
  <c r="A194" i="42"/>
  <c r="A195" i="42"/>
  <c r="A196" i="42"/>
  <c r="A197" i="42"/>
  <c r="A198" i="42"/>
  <c r="A199" i="42"/>
  <c r="A200" i="42"/>
  <c r="A201" i="42"/>
  <c r="A202" i="42"/>
  <c r="A203" i="42"/>
  <c r="A204" i="42"/>
  <c r="A205" i="42"/>
  <c r="A206" i="42"/>
  <c r="A207" i="42"/>
  <c r="A208" i="42"/>
  <c r="A209" i="42"/>
  <c r="A210" i="42"/>
  <c r="A211" i="42"/>
  <c r="A212" i="42"/>
  <c r="A213" i="42"/>
  <c r="A214" i="42"/>
  <c r="A215" i="42"/>
  <c r="A216" i="42"/>
  <c r="A217" i="42"/>
  <c r="A218" i="42"/>
  <c r="A219" i="42"/>
  <c r="A220" i="42"/>
  <c r="A221" i="42"/>
  <c r="A222" i="42"/>
  <c r="A223" i="42"/>
  <c r="A224" i="42"/>
  <c r="A225" i="42"/>
  <c r="A226" i="42"/>
  <c r="A227" i="42"/>
  <c r="A228" i="42"/>
  <c r="A229" i="42"/>
  <c r="A230" i="42"/>
  <c r="A231" i="42"/>
  <c r="A232" i="42"/>
  <c r="A233" i="42"/>
  <c r="A234" i="42"/>
  <c r="A235" i="42"/>
  <c r="A236" i="42"/>
  <c r="A237" i="42"/>
  <c r="A238" i="42"/>
  <c r="A239" i="42"/>
  <c r="A240" i="42"/>
  <c r="A241" i="42"/>
  <c r="A242" i="42"/>
  <c r="A243" i="42"/>
  <c r="A244" i="42"/>
  <c r="A245" i="42"/>
  <c r="A246" i="42"/>
  <c r="A247" i="42"/>
  <c r="A248" i="42"/>
  <c r="A249" i="42"/>
  <c r="A250" i="42"/>
  <c r="A251" i="42"/>
  <c r="A252" i="42"/>
  <c r="A253" i="42"/>
  <c r="A254" i="42"/>
  <c r="A255" i="42"/>
  <c r="A256" i="42"/>
  <c r="A257" i="42"/>
  <c r="A258" i="42"/>
  <c r="A259" i="42"/>
  <c r="A260" i="42"/>
  <c r="A261" i="42"/>
  <c r="A262" i="42"/>
  <c r="A263" i="42"/>
  <c r="A264" i="42"/>
  <c r="A265" i="42"/>
  <c r="A266" i="42"/>
  <c r="A267" i="42"/>
  <c r="A268" i="42"/>
  <c r="A269" i="42"/>
  <c r="A270" i="42"/>
  <c r="A271" i="42"/>
  <c r="A272" i="42"/>
  <c r="A273" i="42"/>
  <c r="A274" i="42"/>
  <c r="A275" i="42"/>
  <c r="A276" i="42"/>
  <c r="A277" i="42"/>
  <c r="A278" i="42"/>
  <c r="A279" i="42"/>
  <c r="A280" i="42"/>
  <c r="A281" i="42"/>
  <c r="A282" i="42"/>
  <c r="A283" i="42"/>
  <c r="A284" i="42"/>
  <c r="A285" i="42"/>
  <c r="A286" i="42"/>
  <c r="A287" i="42"/>
  <c r="A288" i="42"/>
  <c r="A289" i="42"/>
  <c r="A290" i="42"/>
  <c r="A291" i="42"/>
  <c r="A292" i="42"/>
  <c r="A293" i="42"/>
  <c r="A294" i="42"/>
  <c r="A295" i="42"/>
  <c r="A296" i="42"/>
  <c r="A297" i="42"/>
  <c r="A298" i="42"/>
  <c r="A299" i="42"/>
  <c r="A300" i="42"/>
  <c r="A301" i="42"/>
  <c r="A302" i="42"/>
  <c r="A303" i="42"/>
  <c r="A304" i="42"/>
  <c r="A305" i="42"/>
  <c r="A306" i="42"/>
  <c r="A307" i="42"/>
  <c r="A308" i="42"/>
  <c r="A309" i="42"/>
  <c r="A310" i="42"/>
  <c r="A311" i="42"/>
  <c r="A312" i="42"/>
  <c r="A313" i="42"/>
  <c r="A314" i="42"/>
  <c r="A315" i="42"/>
  <c r="A316" i="42"/>
  <c r="A317" i="42"/>
  <c r="A318" i="42"/>
  <c r="A319" i="42"/>
  <c r="A320" i="42"/>
  <c r="A321" i="42"/>
  <c r="A322" i="42"/>
  <c r="A323" i="42"/>
  <c r="A324" i="42"/>
  <c r="A325" i="42"/>
  <c r="A326" i="42"/>
  <c r="A327" i="42"/>
  <c r="A328" i="42"/>
  <c r="A329" i="42"/>
  <c r="A330" i="42"/>
  <c r="A331" i="42"/>
  <c r="A332" i="42"/>
  <c r="A333" i="42"/>
  <c r="A334" i="42"/>
  <c r="A335" i="42"/>
  <c r="A336" i="42"/>
  <c r="A337" i="42"/>
  <c r="A338" i="42"/>
  <c r="A339" i="42"/>
  <c r="A340" i="42"/>
  <c r="A341" i="42"/>
  <c r="A342" i="42"/>
  <c r="A343" i="42"/>
  <c r="A344" i="42"/>
  <c r="A345" i="42"/>
  <c r="A346" i="42"/>
  <c r="A347" i="42"/>
  <c r="A348" i="42"/>
  <c r="A349" i="42"/>
  <c r="A350" i="42"/>
  <c r="A351" i="42"/>
  <c r="A352" i="42"/>
  <c r="A353" i="42"/>
  <c r="A354" i="42"/>
  <c r="A355" i="42"/>
  <c r="A356" i="42"/>
  <c r="A357" i="42"/>
  <c r="A358" i="42"/>
  <c r="A359" i="42"/>
  <c r="A360" i="42"/>
  <c r="A361" i="42"/>
  <c r="A362" i="42"/>
  <c r="A363" i="42"/>
  <c r="A364" i="42"/>
  <c r="A365" i="42"/>
  <c r="A366" i="42"/>
  <c r="A367" i="42"/>
  <c r="A368" i="42"/>
  <c r="A369" i="42"/>
  <c r="A370" i="42"/>
  <c r="A371" i="42"/>
  <c r="A372" i="42"/>
  <c r="A373" i="42"/>
  <c r="A374" i="42"/>
  <c r="A375" i="42"/>
  <c r="A376" i="42"/>
  <c r="A377" i="42"/>
  <c r="A378" i="42"/>
  <c r="A379" i="42"/>
  <c r="A380" i="42"/>
  <c r="A381" i="42"/>
  <c r="A382" i="42"/>
  <c r="A383" i="42"/>
  <c r="A384" i="42"/>
  <c r="A385" i="42"/>
  <c r="A386" i="42"/>
  <c r="A387" i="42"/>
  <c r="A388" i="42"/>
  <c r="A389" i="42"/>
  <c r="A390" i="42"/>
  <c r="A391" i="42"/>
  <c r="A392" i="42"/>
  <c r="A393" i="42"/>
  <c r="A394" i="42"/>
  <c r="A395" i="42"/>
  <c r="A396" i="42"/>
  <c r="A397" i="42"/>
  <c r="A398" i="42"/>
  <c r="A399" i="42"/>
  <c r="A400" i="42"/>
  <c r="A401" i="42"/>
  <c r="A402" i="42"/>
  <c r="A403" i="42"/>
  <c r="A404" i="42"/>
  <c r="A405" i="42"/>
  <c r="A406" i="42"/>
  <c r="A407" i="42"/>
  <c r="A408" i="42"/>
  <c r="A409" i="42"/>
  <c r="A410" i="42"/>
  <c r="A411" i="42"/>
  <c r="A412" i="42"/>
  <c r="A413" i="42"/>
  <c r="A414" i="42"/>
  <c r="A415" i="42"/>
  <c r="A416" i="42"/>
  <c r="A417" i="42"/>
  <c r="A418" i="42"/>
  <c r="A419" i="42"/>
  <c r="A420" i="42"/>
  <c r="A421" i="42"/>
  <c r="A422" i="42"/>
  <c r="A423" i="42"/>
  <c r="A424" i="42"/>
  <c r="A425" i="42"/>
  <c r="A426" i="42"/>
  <c r="A427" i="42"/>
  <c r="A428" i="42"/>
  <c r="A429" i="42"/>
  <c r="A430" i="42"/>
  <c r="A431" i="42"/>
  <c r="A432" i="42"/>
  <c r="A433" i="42"/>
  <c r="A434" i="42"/>
  <c r="A435" i="42"/>
  <c r="A436" i="42"/>
  <c r="A437" i="42"/>
  <c r="A438" i="42"/>
  <c r="A439" i="42"/>
  <c r="A440" i="42"/>
  <c r="A441" i="42"/>
  <c r="A442" i="42"/>
  <c r="A443" i="42"/>
  <c r="A444" i="42"/>
  <c r="A445" i="42"/>
  <c r="A446" i="42"/>
  <c r="A447" i="42"/>
  <c r="A448" i="42"/>
  <c r="A449" i="42"/>
  <c r="A450" i="42"/>
  <c r="A451" i="42"/>
  <c r="A452" i="42"/>
  <c r="A453" i="42"/>
  <c r="A454" i="42"/>
  <c r="A455" i="42"/>
  <c r="A456" i="42"/>
  <c r="A457" i="42"/>
  <c r="A458" i="42"/>
  <c r="A459" i="42"/>
  <c r="A460" i="42"/>
  <c r="A461" i="42"/>
  <c r="A462" i="42"/>
  <c r="A463" i="42"/>
  <c r="A464" i="42"/>
  <c r="A465" i="42"/>
  <c r="A466" i="42"/>
  <c r="A467" i="42"/>
  <c r="A468" i="42"/>
  <c r="A469" i="42"/>
  <c r="A470" i="42"/>
  <c r="A471" i="42"/>
  <c r="A472" i="42"/>
  <c r="A473" i="42"/>
  <c r="A474" i="42"/>
  <c r="A475" i="42"/>
  <c r="A476" i="42"/>
  <c r="A477" i="42"/>
  <c r="A478" i="42"/>
  <c r="A479" i="42"/>
  <c r="A480" i="42"/>
  <c r="A481" i="42"/>
  <c r="A482" i="42"/>
  <c r="A483" i="42"/>
  <c r="A484" i="42"/>
  <c r="A485" i="42"/>
  <c r="A486" i="42"/>
  <c r="A487" i="42"/>
  <c r="A488" i="42"/>
  <c r="A489" i="42"/>
  <c r="A490" i="42"/>
  <c r="A491" i="42"/>
  <c r="A492" i="42"/>
  <c r="A493" i="42"/>
  <c r="A494" i="42"/>
  <c r="A495" i="42"/>
  <c r="A496" i="42"/>
  <c r="A497" i="42"/>
  <c r="A498" i="42"/>
  <c r="A499" i="42"/>
  <c r="A500" i="42"/>
  <c r="A501" i="42"/>
  <c r="A502" i="42"/>
  <c r="A503" i="42"/>
  <c r="A504" i="42"/>
  <c r="A505" i="42"/>
  <c r="A506" i="42"/>
  <c r="A507" i="42"/>
  <c r="A508" i="42"/>
  <c r="A509" i="42"/>
  <c r="A510" i="42"/>
  <c r="A511" i="42"/>
  <c r="A512" i="42"/>
  <c r="A513" i="42"/>
  <c r="A514" i="42"/>
  <c r="A515" i="42"/>
  <c r="A516" i="42"/>
  <c r="A517" i="42"/>
  <c r="A518" i="42"/>
  <c r="A519" i="42"/>
  <c r="A520" i="42"/>
  <c r="A521" i="42"/>
  <c r="A522" i="42"/>
  <c r="A523" i="42"/>
  <c r="A524" i="42"/>
  <c r="A525" i="42"/>
  <c r="A526" i="42"/>
  <c r="A527" i="42"/>
  <c r="A528" i="42"/>
  <c r="A529" i="42"/>
  <c r="A530" i="42"/>
  <c r="A531" i="42"/>
  <c r="A532" i="42"/>
  <c r="A533" i="42"/>
  <c r="A534" i="42"/>
  <c r="A535" i="42"/>
  <c r="A536" i="42"/>
  <c r="A537" i="42"/>
  <c r="A538" i="42"/>
  <c r="A539" i="42"/>
  <c r="A540" i="42"/>
  <c r="A541" i="42"/>
  <c r="A542" i="42"/>
  <c r="A543" i="42"/>
  <c r="A544" i="42"/>
  <c r="A545" i="42"/>
  <c r="A546" i="42"/>
  <c r="A547" i="42"/>
  <c r="A548" i="42"/>
  <c r="A549" i="42"/>
  <c r="A550" i="42"/>
  <c r="A551" i="42"/>
  <c r="A552" i="42"/>
  <c r="A553" i="42"/>
  <c r="A554" i="42"/>
  <c r="A555" i="42"/>
  <c r="A556" i="42"/>
  <c r="A557" i="42"/>
  <c r="A558" i="42"/>
  <c r="A559" i="42"/>
  <c r="A560" i="42"/>
  <c r="A561" i="42"/>
  <c r="A562" i="42"/>
  <c r="A563" i="42"/>
  <c r="A564" i="42"/>
  <c r="A565" i="42"/>
  <c r="A566" i="42"/>
  <c r="A567" i="42"/>
  <c r="A568" i="42"/>
  <c r="A569" i="42"/>
  <c r="A570" i="42"/>
  <c r="A571" i="42"/>
  <c r="A572" i="42"/>
  <c r="A573" i="42"/>
  <c r="A574" i="42"/>
  <c r="A575" i="42"/>
  <c r="A576" i="42"/>
  <c r="A577" i="42"/>
  <c r="A578" i="42"/>
  <c r="A579" i="42"/>
  <c r="A580" i="42"/>
  <c r="A581" i="42"/>
  <c r="A582" i="42"/>
  <c r="A583" i="42"/>
  <c r="A584" i="42"/>
  <c r="A585" i="42"/>
  <c r="A586" i="42"/>
  <c r="A587" i="42"/>
  <c r="A588" i="42"/>
  <c r="A589" i="42"/>
  <c r="A590" i="42"/>
  <c r="A591" i="42"/>
  <c r="A592" i="42"/>
  <c r="A593" i="42"/>
  <c r="A594" i="42"/>
  <c r="A595" i="42"/>
  <c r="A596" i="42"/>
  <c r="A597" i="42"/>
  <c r="A598" i="42"/>
  <c r="A599" i="42"/>
  <c r="A600" i="42"/>
  <c r="A601" i="42"/>
  <c r="A602" i="42"/>
  <c r="A603" i="42"/>
  <c r="A604" i="42"/>
  <c r="A605" i="42"/>
  <c r="A606" i="42"/>
  <c r="A607" i="42"/>
  <c r="A608" i="42"/>
  <c r="A609" i="42"/>
  <c r="A610" i="42"/>
  <c r="A611" i="42"/>
  <c r="A612" i="42"/>
  <c r="A613" i="42"/>
  <c r="A614" i="42"/>
  <c r="A615" i="42"/>
  <c r="A616" i="42"/>
  <c r="A617" i="42"/>
  <c r="A618" i="42"/>
  <c r="A619" i="42"/>
  <c r="A620" i="42"/>
  <c r="A621" i="42"/>
  <c r="A622" i="42"/>
  <c r="A623" i="42"/>
  <c r="A624" i="42"/>
  <c r="A625" i="42"/>
  <c r="A626" i="42"/>
  <c r="A627" i="42"/>
  <c r="A628" i="42"/>
  <c r="A629" i="42"/>
  <c r="A630" i="42"/>
  <c r="A631" i="42"/>
  <c r="A632" i="42"/>
  <c r="A633" i="42"/>
  <c r="A634" i="42"/>
  <c r="A635" i="42"/>
  <c r="A636" i="42"/>
  <c r="A637" i="42"/>
  <c r="A638" i="42"/>
  <c r="A639" i="42"/>
  <c r="A640" i="42"/>
  <c r="A641" i="42"/>
  <c r="A642" i="42"/>
  <c r="A643" i="42"/>
  <c r="A644" i="42"/>
  <c r="A645" i="42"/>
  <c r="A646" i="42"/>
  <c r="A647" i="42"/>
  <c r="A648" i="42"/>
  <c r="A649" i="42"/>
  <c r="A650" i="42"/>
  <c r="A651" i="42"/>
  <c r="A652" i="42"/>
  <c r="A653" i="42"/>
  <c r="A654" i="42"/>
  <c r="A655" i="42"/>
  <c r="A656" i="42"/>
  <c r="A657" i="42"/>
  <c r="A658" i="42"/>
  <c r="A659" i="42"/>
  <c r="A660" i="42"/>
  <c r="A661" i="42"/>
  <c r="A662" i="42"/>
  <c r="A663" i="42"/>
  <c r="A664" i="42"/>
  <c r="A665" i="42"/>
  <c r="A666" i="42"/>
  <c r="A667" i="42"/>
  <c r="A668" i="42"/>
  <c r="A669" i="42"/>
  <c r="A670" i="42"/>
  <c r="A671" i="42"/>
  <c r="A672" i="42"/>
  <c r="A673" i="42"/>
  <c r="A674" i="42"/>
  <c r="A675" i="42"/>
  <c r="A676" i="42"/>
  <c r="A677" i="42"/>
  <c r="A678" i="42"/>
  <c r="A679" i="42"/>
  <c r="A680" i="42"/>
  <c r="A681" i="42"/>
  <c r="A682" i="42"/>
  <c r="A683" i="42"/>
  <c r="A684" i="42"/>
  <c r="A685" i="42"/>
  <c r="A686" i="42"/>
  <c r="A687" i="42"/>
  <c r="A688" i="42"/>
  <c r="A689" i="42"/>
  <c r="A690" i="42"/>
  <c r="A691" i="42"/>
  <c r="A692" i="42"/>
  <c r="A693" i="42"/>
  <c r="A694" i="42"/>
  <c r="A695" i="42"/>
  <c r="A696" i="42"/>
  <c r="A697" i="42"/>
  <c r="A698" i="42"/>
  <c r="A699" i="42"/>
  <c r="A700" i="42"/>
  <c r="A701" i="42"/>
  <c r="A702" i="42"/>
  <c r="A703" i="42"/>
  <c r="A704" i="42"/>
  <c r="A705" i="42"/>
  <c r="A706" i="42"/>
  <c r="A707" i="42"/>
  <c r="A708" i="42"/>
  <c r="A709" i="42"/>
  <c r="A710" i="42"/>
  <c r="A711" i="42"/>
  <c r="A712" i="42"/>
  <c r="A713" i="42"/>
  <c r="A714" i="42"/>
  <c r="A715" i="42"/>
  <c r="A716" i="42"/>
  <c r="A717" i="42"/>
  <c r="A718" i="42"/>
  <c r="A719" i="42"/>
  <c r="A720" i="42"/>
  <c r="A721" i="42"/>
  <c r="A722" i="42"/>
  <c r="A723" i="42"/>
  <c r="A724" i="42"/>
  <c r="A725" i="42"/>
  <c r="A726" i="42"/>
  <c r="A727" i="42"/>
  <c r="A728" i="42"/>
  <c r="A729" i="42"/>
  <c r="A730" i="42"/>
  <c r="A731" i="42"/>
  <c r="A732" i="42"/>
  <c r="A733" i="42"/>
  <c r="A734" i="42"/>
  <c r="A735" i="42"/>
  <c r="A736" i="42"/>
  <c r="A737" i="42"/>
  <c r="A738" i="42"/>
  <c r="A739" i="42"/>
  <c r="A740" i="42"/>
  <c r="A741" i="42"/>
  <c r="A742" i="42"/>
  <c r="A743" i="42"/>
  <c r="A744" i="42"/>
  <c r="A745" i="42"/>
  <c r="A746" i="42"/>
  <c r="A747" i="42"/>
  <c r="A748" i="42"/>
  <c r="A749" i="42"/>
  <c r="A750" i="42"/>
  <c r="A751" i="42"/>
  <c r="A752" i="42"/>
  <c r="A753" i="42"/>
  <c r="A754" i="42"/>
  <c r="A755" i="42"/>
  <c r="A756" i="42"/>
  <c r="A757" i="42"/>
  <c r="A758" i="42"/>
  <c r="A759" i="42"/>
  <c r="A760" i="42"/>
  <c r="A761" i="42"/>
  <c r="A762" i="42"/>
  <c r="A763" i="42"/>
  <c r="A764" i="42"/>
  <c r="A765" i="42"/>
  <c r="A766" i="42"/>
  <c r="A767" i="42"/>
  <c r="A768" i="42"/>
  <c r="A769" i="42"/>
  <c r="A770" i="42"/>
  <c r="A771" i="42"/>
  <c r="A772" i="42"/>
  <c r="A773" i="42"/>
  <c r="A774" i="42"/>
  <c r="A775" i="42"/>
  <c r="A776" i="42"/>
  <c r="A777" i="42"/>
  <c r="A778" i="42"/>
  <c r="A779" i="42"/>
  <c r="A780" i="42"/>
  <c r="C1" i="42" l="1"/>
  <c r="D1" i="42" s="1"/>
  <c r="E1" i="42" s="1"/>
  <c r="F1" i="42" s="1"/>
  <c r="G1" i="42" s="1"/>
  <c r="H1" i="42" s="1"/>
  <c r="I1" i="42" s="1"/>
  <c r="J1" i="42" s="1"/>
  <c r="K1" i="42" s="1"/>
  <c r="L1" i="42" s="1"/>
  <c r="M1" i="42" s="1"/>
  <c r="N1" i="42" s="1"/>
  <c r="O1" i="42" s="1"/>
  <c r="P1" i="42" s="1"/>
  <c r="Q1" i="42" s="1"/>
  <c r="R1" i="42" s="1"/>
  <c r="S1" i="42" s="1"/>
  <c r="T1" i="42" s="1"/>
  <c r="U1" i="42" s="1"/>
  <c r="V1" i="42" s="1"/>
  <c r="W1" i="42" s="1"/>
  <c r="X1" i="42" s="1"/>
  <c r="Y1" i="42" s="1"/>
  <c r="Z1" i="42" s="1"/>
  <c r="AA1" i="42" s="1"/>
  <c r="AB1" i="42" s="1"/>
  <c r="AC1" i="42" s="1"/>
  <c r="AD1" i="42" s="1"/>
  <c r="AE1" i="42" s="1"/>
  <c r="AF1" i="42" s="1"/>
  <c r="AG1" i="42" s="1"/>
  <c r="AH1" i="42" s="1"/>
  <c r="AI1" i="42" s="1"/>
  <c r="AJ1" i="42" s="1"/>
  <c r="AK1" i="42" s="1"/>
  <c r="AL1" i="42" s="1"/>
  <c r="AM1" i="42" s="1"/>
  <c r="AN1" i="42" s="1"/>
  <c r="AO1" i="42" s="1"/>
  <c r="AP1" i="42" s="1"/>
  <c r="AQ1" i="42" s="1"/>
  <c r="AR1" i="42" s="1"/>
  <c r="AS1" i="42" s="1"/>
  <c r="AT1" i="42" s="1"/>
  <c r="AU1" i="42" s="1"/>
  <c r="AV1" i="42" s="1"/>
  <c r="AW1" i="42" s="1"/>
  <c r="AX1" i="42" s="1"/>
  <c r="AY1" i="42" s="1"/>
  <c r="AZ1" i="42" s="1"/>
  <c r="BA1" i="42" s="1"/>
  <c r="BB1" i="42" s="1"/>
  <c r="BC1" i="42" s="1"/>
  <c r="BD1" i="42" s="1"/>
  <c r="BE1" i="42" s="1"/>
  <c r="BF1" i="42" s="1"/>
  <c r="BG1" i="42" s="1"/>
  <c r="BH1" i="42" s="1"/>
  <c r="BI1" i="42" s="1"/>
  <c r="BJ1" i="42" s="1"/>
  <c r="BK1" i="42" s="1"/>
  <c r="BL1" i="42" s="1"/>
  <c r="BM1" i="42" s="1"/>
  <c r="BN1" i="42" s="1"/>
  <c r="BO1" i="42" s="1"/>
  <c r="BP1" i="42" s="1"/>
  <c r="BQ1" i="42" s="1"/>
  <c r="BR1" i="42" s="1"/>
  <c r="BS1" i="42" s="1"/>
  <c r="BT1" i="42" s="1"/>
  <c r="BU1" i="42" s="1"/>
  <c r="BV1" i="42" s="1"/>
  <c r="BW1" i="42" s="1"/>
  <c r="BX1" i="42" s="1"/>
  <c r="BY1" i="42" s="1"/>
  <c r="BZ1" i="42" s="1"/>
  <c r="CA1" i="42" s="1"/>
  <c r="CB1" i="42" s="1"/>
  <c r="CC1" i="42" s="1"/>
  <c r="CD1" i="42" s="1"/>
  <c r="CE1" i="42" s="1"/>
  <c r="CF1" i="42" s="1"/>
  <c r="CG1" i="42" s="1"/>
  <c r="CH1" i="42" s="1"/>
  <c r="CI1" i="42" s="1"/>
  <c r="CJ1" i="42" s="1"/>
  <c r="CK1" i="42" s="1"/>
  <c r="CL1" i="42" s="1"/>
  <c r="CM1" i="42" s="1"/>
  <c r="CN1" i="42" s="1"/>
  <c r="CO1" i="42" s="1"/>
  <c r="CP1" i="42" s="1"/>
  <c r="CQ1" i="42" s="1"/>
  <c r="CR1" i="42" s="1"/>
  <c r="CS1" i="42" s="1"/>
  <c r="CT1" i="42" s="1"/>
  <c r="CU1" i="42" s="1"/>
  <c r="CV1" i="42" s="1"/>
  <c r="CW1" i="42" s="1"/>
  <c r="CX1" i="42" s="1"/>
  <c r="CY1" i="42" s="1"/>
  <c r="CZ1" i="42" s="1"/>
  <c r="DA1" i="42" s="1"/>
  <c r="DB1" i="42" s="1"/>
  <c r="DC1" i="42" s="1"/>
  <c r="DD1" i="42" s="1"/>
  <c r="DE1" i="42" s="1"/>
  <c r="DF1" i="42" s="1"/>
  <c r="DG1" i="42" s="1"/>
  <c r="DH1" i="42" s="1"/>
  <c r="DI1" i="42" s="1"/>
  <c r="DJ1" i="42" s="1"/>
  <c r="DK1" i="42" s="1"/>
  <c r="DL1" i="42" s="1"/>
  <c r="DM1" i="42" s="1"/>
  <c r="DN1" i="42" s="1"/>
  <c r="DO1" i="42" s="1"/>
  <c r="DP1" i="42" s="1"/>
  <c r="DQ1" i="42" s="1"/>
  <c r="DR1" i="42" s="1"/>
  <c r="DS1" i="42" s="1"/>
  <c r="DT1" i="42" s="1"/>
  <c r="DU1" i="42" s="1"/>
  <c r="DV1" i="42" s="1"/>
  <c r="DW1" i="42" s="1"/>
  <c r="DX1" i="42" s="1"/>
  <c r="DY1" i="42" s="1"/>
  <c r="DZ1" i="42" s="1"/>
  <c r="EA1" i="42" s="1"/>
  <c r="EB1" i="42" s="1"/>
  <c r="EC1" i="42" s="1"/>
  <c r="ED1" i="42" s="1"/>
  <c r="EE1" i="42" s="1"/>
  <c r="EF1" i="42" s="1"/>
  <c r="EG1" i="42" s="1"/>
  <c r="EH1" i="42" s="1"/>
  <c r="EI1" i="42" s="1"/>
  <c r="EJ1" i="42" s="1"/>
  <c r="EK1" i="42" s="1"/>
  <c r="EL1" i="42" s="1"/>
  <c r="EM1" i="42" s="1"/>
  <c r="EN1" i="42" s="1"/>
  <c r="EO1" i="42" s="1"/>
  <c r="EP1" i="42" s="1"/>
  <c r="EQ1" i="42" s="1"/>
  <c r="ER1" i="42" s="1"/>
  <c r="ES1" i="42" s="1"/>
  <c r="ET1" i="42" s="1"/>
  <c r="EU1" i="42" s="1"/>
  <c r="EV1" i="42" s="1"/>
  <c r="EW1" i="42" s="1"/>
  <c r="EX1" i="42" s="1"/>
  <c r="EY1" i="42" s="1"/>
  <c r="EZ1" i="42" s="1"/>
  <c r="FA1" i="42" s="1"/>
  <c r="FB1" i="42" s="1"/>
  <c r="FC1" i="42" s="1"/>
  <c r="FD1" i="42" s="1"/>
  <c r="FE1" i="42" s="1"/>
  <c r="FF1" i="42" s="1"/>
  <c r="FG1" i="42" s="1"/>
  <c r="FH1" i="42" s="1"/>
  <c r="FI1" i="42" s="1"/>
  <c r="FJ1" i="42" s="1"/>
  <c r="FK1" i="42" s="1"/>
  <c r="FL1" i="42" s="1"/>
  <c r="FM1" i="42" s="1"/>
  <c r="FN1" i="42" s="1"/>
  <c r="FO1" i="42" s="1"/>
  <c r="FP1" i="42" s="1"/>
  <c r="FQ1" i="42" s="1"/>
  <c r="FR1" i="42" s="1"/>
  <c r="FS1" i="42" s="1"/>
  <c r="FT1" i="42" s="1"/>
  <c r="FU1" i="42" s="1"/>
  <c r="FV1" i="42" s="1"/>
  <c r="FW1" i="42" s="1"/>
  <c r="FX1" i="42" s="1"/>
  <c r="FY1" i="42" s="1"/>
  <c r="FZ1" i="42" s="1"/>
  <c r="GA1" i="42" s="1"/>
  <c r="GB1" i="42" s="1"/>
  <c r="GC1" i="42" s="1"/>
  <c r="GD1" i="42" s="1"/>
  <c r="GE1" i="42" s="1"/>
  <c r="GF1" i="42" s="1"/>
  <c r="GG1" i="42" s="1"/>
  <c r="GH1" i="42" s="1"/>
  <c r="GI1" i="42" s="1"/>
  <c r="GJ1" i="42" s="1"/>
  <c r="GK1" i="42" s="1"/>
  <c r="GL1" i="42" s="1"/>
  <c r="GM1" i="42" s="1"/>
  <c r="GN1" i="42" s="1"/>
  <c r="GO1" i="42" s="1"/>
  <c r="GP1" i="42" s="1"/>
  <c r="GQ1" i="42" s="1"/>
  <c r="GR1" i="42" s="1"/>
  <c r="GS1" i="42" s="1"/>
  <c r="GT1" i="42" s="1"/>
  <c r="GU1" i="42" s="1"/>
  <c r="GV1" i="42" s="1"/>
  <c r="GW1" i="42" s="1"/>
  <c r="GX1" i="42" s="1"/>
  <c r="GY1" i="42" s="1"/>
  <c r="GZ1" i="42" s="1"/>
  <c r="HA1" i="42" s="1"/>
  <c r="HB1" i="42" s="1"/>
  <c r="HC1" i="42" s="1"/>
  <c r="HD1" i="42" s="1"/>
  <c r="HE1" i="42" s="1"/>
  <c r="HF1" i="42" s="1"/>
  <c r="HG1" i="42" s="1"/>
  <c r="HH1" i="42" s="1"/>
  <c r="HI1" i="42" s="1"/>
  <c r="HJ1" i="42" s="1"/>
  <c r="HK1" i="42" s="1"/>
  <c r="HL1" i="42" s="1"/>
  <c r="HM1" i="42" s="1"/>
  <c r="HN1" i="42" s="1"/>
  <c r="HO1" i="42" s="1"/>
  <c r="HP1" i="42" s="1"/>
  <c r="HQ1" i="42" s="1"/>
  <c r="HR1" i="42" s="1"/>
  <c r="HS1" i="42" s="1"/>
  <c r="HT1" i="42" s="1"/>
  <c r="HU1" i="42" s="1"/>
  <c r="HV1" i="42" s="1"/>
  <c r="HW1" i="42" s="1"/>
  <c r="HX1" i="42" s="1"/>
  <c r="HY1" i="42" s="1"/>
  <c r="HZ1" i="42" s="1"/>
  <c r="IA1" i="42" s="1"/>
  <c r="IB1" i="42" s="1"/>
  <c r="IC1" i="42" s="1"/>
  <c r="ID1" i="42" s="1"/>
  <c r="IE1" i="42" s="1"/>
  <c r="IF1" i="42" s="1"/>
  <c r="IG1" i="42" s="1"/>
  <c r="IH1" i="42" s="1"/>
  <c r="II1" i="42" s="1"/>
  <c r="IJ1" i="42" s="1"/>
  <c r="IK1" i="42" s="1"/>
  <c r="IL1" i="42" s="1"/>
  <c r="IM1" i="42" s="1"/>
  <c r="IN1" i="42" s="1"/>
  <c r="IO1" i="42" s="1"/>
  <c r="IP1" i="42" s="1"/>
  <c r="IQ1" i="42" s="1"/>
  <c r="IR1" i="42" s="1"/>
  <c r="IS1" i="42" s="1"/>
  <c r="IT1" i="42" s="1"/>
  <c r="IU1" i="42" s="1"/>
  <c r="IV1" i="42" s="1"/>
  <c r="IW1" i="42" s="1"/>
  <c r="IX1" i="42" s="1"/>
  <c r="IY1" i="42" s="1"/>
  <c r="IZ1" i="42" s="1"/>
  <c r="JA1" i="42" s="1"/>
  <c r="JB1" i="42" s="1"/>
  <c r="JC1" i="42" s="1"/>
  <c r="JD1" i="42" s="1"/>
  <c r="JE1" i="42" s="1"/>
  <c r="JF1" i="42" s="1"/>
  <c r="JG1" i="42" s="1"/>
  <c r="JH1" i="42" s="1"/>
  <c r="JI1" i="42" s="1"/>
  <c r="JJ1" i="42" s="1"/>
  <c r="JK1" i="42" s="1"/>
  <c r="JL1" i="42" s="1"/>
  <c r="JM1" i="42" s="1"/>
  <c r="JN1" i="42" s="1"/>
  <c r="JO1" i="42" s="1"/>
  <c r="JP1" i="42" s="1"/>
  <c r="JQ1" i="42" s="1"/>
  <c r="JR1" i="42" s="1"/>
  <c r="JS1" i="42" s="1"/>
  <c r="JT1" i="42" s="1"/>
  <c r="JU1" i="42" s="1"/>
  <c r="JV1" i="42" s="1"/>
  <c r="JW1" i="42" s="1"/>
  <c r="JX1" i="42" s="1"/>
  <c r="JY1" i="42" s="1"/>
  <c r="JZ1" i="42" s="1"/>
  <c r="KA1" i="42" s="1"/>
  <c r="KB1" i="42" s="1"/>
  <c r="KC1" i="42" s="1"/>
  <c r="KD1" i="42" s="1"/>
  <c r="KE1" i="42" s="1"/>
  <c r="KF1" i="42" s="1"/>
  <c r="KG1" i="42" s="1"/>
  <c r="KH1" i="42" s="1"/>
  <c r="KI1" i="42" s="1"/>
  <c r="KJ1" i="42" s="1"/>
  <c r="KK1" i="42" s="1"/>
  <c r="KL1" i="42" s="1"/>
  <c r="KM1" i="42" s="1"/>
  <c r="KN1" i="42" s="1"/>
  <c r="KO1" i="42" s="1"/>
  <c r="KP1" i="42" s="1"/>
  <c r="KQ1" i="42" s="1"/>
  <c r="KR1" i="42" s="1"/>
  <c r="KS1" i="42" s="1"/>
  <c r="KT1" i="42" s="1"/>
  <c r="KU1" i="42" s="1"/>
  <c r="KV1" i="42" s="1"/>
  <c r="KW1" i="42" s="1"/>
  <c r="KX1" i="42" s="1"/>
  <c r="KY1" i="42" s="1"/>
  <c r="KZ1" i="42" s="1"/>
  <c r="LA1" i="42" s="1"/>
  <c r="LB1" i="42" s="1"/>
  <c r="LC1" i="42" s="1"/>
  <c r="LD1" i="42" s="1"/>
  <c r="LE1" i="42" s="1"/>
  <c r="LF1" i="42" s="1"/>
  <c r="LG1" i="42" s="1"/>
  <c r="LH1" i="42" s="1"/>
  <c r="LI1" i="42" s="1"/>
  <c r="LJ1" i="42" s="1"/>
  <c r="LK1" i="42" s="1"/>
  <c r="LL1" i="42" s="1"/>
  <c r="LM1" i="42" s="1"/>
  <c r="LN1" i="42" s="1"/>
  <c r="LO1" i="42" s="1"/>
  <c r="LP1" i="42" s="1"/>
  <c r="LQ1" i="42" s="1"/>
  <c r="LR1" i="42" s="1"/>
  <c r="LS1" i="42" s="1"/>
  <c r="LT1" i="42" s="1"/>
  <c r="LU1" i="42" s="1"/>
  <c r="LV1" i="42" s="1"/>
  <c r="LW1" i="42" s="1"/>
  <c r="LX1" i="42" s="1"/>
  <c r="LY1" i="42" s="1"/>
  <c r="LZ1" i="42" s="1"/>
  <c r="MA1" i="42" s="1"/>
  <c r="MB1" i="42" s="1"/>
  <c r="MC1" i="42" s="1"/>
  <c r="MD1" i="42" s="1"/>
  <c r="ME1" i="42" s="1"/>
  <c r="MF1" i="42" s="1"/>
  <c r="MG1" i="42" s="1"/>
  <c r="MH1" i="42" s="1"/>
  <c r="MI1" i="42" s="1"/>
  <c r="MJ1" i="42" s="1"/>
  <c r="MK1" i="42" s="1"/>
  <c r="ML1" i="42" s="1"/>
  <c r="MM1" i="42" s="1"/>
  <c r="MN1" i="42" s="1"/>
  <c r="MO1" i="42" s="1"/>
  <c r="MP1" i="42" s="1"/>
  <c r="MQ1" i="42" s="1"/>
  <c r="MR1" i="42" s="1"/>
  <c r="MS1" i="42" s="1"/>
  <c r="MT1" i="42" s="1"/>
  <c r="MU1" i="42" s="1"/>
  <c r="MV1" i="42" s="1"/>
  <c r="MW1" i="42" s="1"/>
  <c r="MX1" i="42" s="1"/>
  <c r="MY1" i="42" s="1"/>
  <c r="MZ1" i="42" s="1"/>
  <c r="NA1" i="42" s="1"/>
  <c r="NB1" i="42" s="1"/>
  <c r="NC1" i="42" s="1"/>
  <c r="ND1" i="42" s="1"/>
  <c r="NE1" i="42" s="1"/>
  <c r="NF1" i="42" s="1"/>
  <c r="NG1" i="42" s="1"/>
  <c r="NH1" i="42" s="1"/>
  <c r="NI1" i="42" s="1"/>
  <c r="NJ1" i="42" s="1"/>
  <c r="NK1" i="42" s="1"/>
  <c r="NL1" i="42" s="1"/>
  <c r="NM1" i="42" s="1"/>
  <c r="NN1" i="42" s="1"/>
  <c r="NO1" i="42" s="1"/>
  <c r="NP1" i="42" s="1"/>
  <c r="NQ1" i="42" s="1"/>
  <c r="NR1" i="42" s="1"/>
  <c r="NS1" i="42" s="1"/>
  <c r="NT1" i="42" s="1"/>
  <c r="NU1" i="42" s="1"/>
  <c r="NV1" i="42" s="1"/>
  <c r="NW1" i="42" s="1"/>
  <c r="NX1" i="42" s="1"/>
  <c r="NY1" i="42" s="1"/>
  <c r="NZ1" i="42" s="1"/>
  <c r="OA1" i="42" s="1"/>
  <c r="OB1" i="42" s="1"/>
  <c r="OC1" i="42" s="1"/>
  <c r="OD1" i="42" s="1"/>
  <c r="OE1" i="42" s="1"/>
  <c r="OF1" i="42" s="1"/>
  <c r="OG1" i="42" s="1"/>
  <c r="OH1" i="42" s="1"/>
  <c r="OI1" i="42" s="1"/>
  <c r="OJ1" i="42" s="1"/>
  <c r="OK1" i="42" s="1"/>
  <c r="OL1" i="42" s="1"/>
  <c r="OM1" i="42" s="1"/>
  <c r="ON1" i="42" s="1"/>
  <c r="OO1" i="42" s="1"/>
  <c r="OP1" i="42" s="1"/>
  <c r="OQ1" i="42" s="1"/>
  <c r="OR1" i="42" s="1"/>
  <c r="OS1" i="42" s="1"/>
  <c r="OT1" i="42" s="1"/>
  <c r="OU1" i="42" s="1"/>
  <c r="OV1" i="42" s="1"/>
  <c r="OW1" i="42" s="1"/>
  <c r="OX1" i="42" s="1"/>
  <c r="OY1" i="42" s="1"/>
  <c r="OZ1" i="42" s="1"/>
  <c r="PA1" i="42" s="1"/>
  <c r="PB1" i="42" s="1"/>
  <c r="PC1" i="42" s="1"/>
  <c r="PD1" i="42" s="1"/>
  <c r="PE1" i="42" s="1"/>
  <c r="PF1" i="42" s="1"/>
  <c r="PG1" i="42" s="1"/>
  <c r="PH1" i="42" s="1"/>
  <c r="PI1" i="42" s="1"/>
  <c r="PJ1" i="42" s="1"/>
  <c r="PK1" i="42" s="1"/>
  <c r="PL1" i="42" s="1"/>
  <c r="PM1" i="42" s="1"/>
  <c r="PN1" i="42" s="1"/>
  <c r="PO1" i="42" s="1"/>
  <c r="PP1" i="42" s="1"/>
  <c r="PQ1" i="42" s="1"/>
  <c r="PR1" i="42" s="1"/>
  <c r="PS1" i="42" s="1"/>
  <c r="PT1" i="42" s="1"/>
  <c r="PU1" i="42" s="1"/>
  <c r="PV1" i="42" s="1"/>
  <c r="PW1" i="42" s="1"/>
  <c r="PX1" i="42" s="1"/>
  <c r="PY1" i="42" s="1"/>
  <c r="PZ1" i="42" s="1"/>
  <c r="QA1" i="42" s="1"/>
  <c r="QB1" i="42" s="1"/>
  <c r="QC1" i="42" s="1"/>
  <c r="QD1" i="42" s="1"/>
  <c r="QE1" i="42" s="1"/>
  <c r="QF1" i="42" s="1"/>
  <c r="QG1" i="42" s="1"/>
  <c r="QH1" i="42" s="1"/>
  <c r="QI1" i="42" s="1"/>
  <c r="QJ1" i="42" s="1"/>
  <c r="QK1" i="42" s="1"/>
  <c r="QL1" i="42" s="1"/>
  <c r="QM1" i="42" s="1"/>
  <c r="QN1" i="42" s="1"/>
  <c r="QO1" i="42" s="1"/>
  <c r="QP1" i="42" s="1"/>
  <c r="QQ1" i="42" s="1"/>
  <c r="QR1" i="42" s="1"/>
  <c r="QS1" i="42" s="1"/>
  <c r="QT1" i="42" s="1"/>
  <c r="QU1" i="42" s="1"/>
  <c r="QV1" i="42" s="1"/>
  <c r="QW1" i="42" s="1"/>
  <c r="QX1" i="42" s="1"/>
  <c r="QY1" i="42" s="1"/>
  <c r="QZ1" i="42" s="1"/>
  <c r="RA1" i="42" s="1"/>
  <c r="RB1" i="42" s="1"/>
  <c r="RC1" i="42" s="1"/>
  <c r="RD1" i="42" s="1"/>
  <c r="RE1" i="42" s="1"/>
  <c r="RF1" i="42" s="1"/>
  <c r="RG1" i="42" s="1"/>
  <c r="RH1" i="42" s="1"/>
  <c r="RI1" i="42" s="1"/>
  <c r="RJ1" i="42" s="1"/>
  <c r="RK1" i="42" s="1"/>
  <c r="RL1" i="42" s="1"/>
  <c r="RM1" i="42" s="1"/>
  <c r="RN1" i="42" s="1"/>
  <c r="RO1" i="42" s="1"/>
  <c r="RP1" i="42" s="1"/>
  <c r="RQ1" i="42" s="1"/>
  <c r="RR1" i="42" s="1"/>
  <c r="RS1" i="42" s="1"/>
  <c r="RT1" i="42" s="1"/>
  <c r="RU1" i="42" s="1"/>
  <c r="RV1" i="42" s="1"/>
  <c r="RW1" i="42" s="1"/>
  <c r="RX1" i="42" s="1"/>
  <c r="RY1" i="42" s="1"/>
  <c r="RZ1" i="42" s="1"/>
  <c r="SA1" i="42" s="1"/>
  <c r="SB1" i="42" s="1"/>
  <c r="SC1" i="42" s="1"/>
  <c r="SD1" i="42" s="1"/>
  <c r="SE1" i="42" s="1"/>
  <c r="SF1" i="42" s="1"/>
  <c r="SG1" i="42" s="1"/>
  <c r="SH1" i="42" s="1"/>
  <c r="SI1" i="42" s="1"/>
  <c r="SJ1" i="42" s="1"/>
  <c r="SK1" i="42" s="1"/>
  <c r="SL1" i="42" s="1"/>
  <c r="SM1" i="42" s="1"/>
  <c r="SN1" i="42" s="1"/>
  <c r="SO1" i="42" s="1"/>
  <c r="SP1" i="42" s="1"/>
  <c r="SQ1" i="42" s="1"/>
  <c r="SR1" i="42" s="1"/>
  <c r="SS1" i="42" s="1"/>
  <c r="ST1" i="42" s="1"/>
  <c r="SU1" i="42" s="1"/>
  <c r="SV1" i="42" s="1"/>
  <c r="SW1" i="42" s="1"/>
  <c r="SX1" i="42" s="1"/>
  <c r="SY1" i="42" s="1"/>
  <c r="SZ1" i="42" s="1"/>
  <c r="TA1" i="42" s="1"/>
  <c r="TB1" i="42" s="1"/>
  <c r="TC1" i="42" s="1"/>
  <c r="TE1" i="42"/>
  <c r="TF1" i="42" s="1"/>
  <c r="TG1" i="42" s="1"/>
  <c r="TH1" i="42" s="1"/>
  <c r="TI1" i="42" s="1"/>
  <c r="TJ1" i="42" s="1"/>
  <c r="TK1" i="42" s="1"/>
  <c r="TL1" i="42" s="1"/>
  <c r="TM1" i="42" s="1"/>
  <c r="TN1" i="42" s="1"/>
  <c r="TO1" i="42" s="1"/>
  <c r="TP1" i="42" s="1"/>
  <c r="TQ1" i="42" s="1"/>
  <c r="TR1" i="42" s="1"/>
  <c r="TS1" i="42" s="1"/>
  <c r="TT1" i="42" s="1"/>
  <c r="TU1" i="42" s="1"/>
  <c r="TV1" i="42" s="1"/>
  <c r="TW1" i="42" s="1"/>
  <c r="TX1" i="42" s="1"/>
  <c r="TY1" i="42" s="1"/>
  <c r="TZ1" i="42" s="1"/>
  <c r="UA1" i="42" s="1"/>
  <c r="UB1" i="42" s="1"/>
  <c r="UC1" i="42" s="1"/>
  <c r="UD1" i="42" s="1"/>
  <c r="UE1" i="42" s="1"/>
  <c r="UF1" i="42" s="1"/>
  <c r="UG1" i="42" s="1"/>
  <c r="UH1" i="42" s="1"/>
  <c r="UI1" i="42" s="1"/>
  <c r="UJ1" i="42" s="1"/>
  <c r="UK1" i="42" s="1"/>
  <c r="UL1" i="42" s="1"/>
  <c r="UM1" i="42" s="1"/>
  <c r="UN1" i="42" s="1"/>
  <c r="UO1" i="42" s="1"/>
  <c r="UP1" i="42" s="1"/>
  <c r="UQ1" i="42" s="1"/>
  <c r="UR1" i="42" s="1"/>
  <c r="US1" i="42" s="1"/>
  <c r="UT1" i="42" s="1"/>
  <c r="UU1" i="42" s="1"/>
  <c r="UV1" i="42" s="1"/>
  <c r="UW1" i="42" s="1"/>
  <c r="UX1" i="42" s="1"/>
  <c r="UY1" i="42" s="1"/>
  <c r="UZ1" i="42" s="1"/>
  <c r="VA1" i="42" s="1"/>
  <c r="VB1" i="42" s="1"/>
  <c r="VC1" i="42" s="1"/>
  <c r="VD1" i="42" s="1"/>
  <c r="VE1" i="42" s="1"/>
  <c r="VF1" i="42" s="1"/>
  <c r="VG1" i="42" s="1"/>
  <c r="VH1" i="42" s="1"/>
  <c r="VI1" i="42" s="1"/>
  <c r="VJ1" i="42" s="1"/>
  <c r="VK1" i="42" s="1"/>
  <c r="VL1" i="42" s="1"/>
  <c r="VM1" i="42" s="1"/>
  <c r="VN1" i="42" s="1"/>
  <c r="VO1" i="42" s="1"/>
  <c r="VP1" i="42" s="1"/>
  <c r="VQ1" i="42" s="1"/>
  <c r="VR1" i="42" s="1"/>
  <c r="VS1" i="42" s="1"/>
  <c r="VT1" i="42" s="1"/>
  <c r="VU1" i="42" s="1"/>
  <c r="VV1" i="42" s="1"/>
  <c r="VW1" i="42" s="1"/>
  <c r="VX1" i="42" s="1"/>
  <c r="VY1" i="42" s="1"/>
  <c r="VZ1" i="42" s="1"/>
  <c r="WA1" i="42" s="1"/>
  <c r="WB1" i="42" s="1"/>
  <c r="WC1" i="42" s="1"/>
  <c r="WD1" i="42" s="1"/>
  <c r="WE1" i="42" s="1"/>
  <c r="WF1" i="42" s="1"/>
  <c r="WG1" i="42" s="1"/>
  <c r="WH1" i="42" s="1"/>
  <c r="WI1" i="42" s="1"/>
  <c r="WJ1" i="42" s="1"/>
  <c r="WK1" i="42" s="1"/>
  <c r="WL1" i="42" s="1"/>
  <c r="WM1" i="42" s="1"/>
  <c r="WN1" i="42" s="1"/>
  <c r="WO1" i="42" s="1"/>
  <c r="WP1" i="42" s="1"/>
  <c r="WQ1" i="42" s="1"/>
  <c r="WR1" i="42" s="1"/>
  <c r="WS1" i="42" s="1"/>
  <c r="WT1" i="42" s="1"/>
  <c r="WU1" i="42" s="1"/>
  <c r="WV1" i="42" s="1"/>
  <c r="WW1" i="42" s="1"/>
  <c r="WX1" i="42" s="1"/>
  <c r="WY1" i="42" s="1"/>
  <c r="WZ1" i="42" s="1"/>
  <c r="XA1" i="42" s="1"/>
  <c r="XB1" i="42" s="1"/>
  <c r="XC1" i="42" s="1"/>
  <c r="XD1" i="42" s="1"/>
  <c r="XE1" i="42" s="1"/>
  <c r="XF1" i="42" s="1"/>
  <c r="XG1" i="42" s="1"/>
  <c r="XH1" i="42" s="1"/>
  <c r="XI1" i="42" s="1"/>
  <c r="XJ1" i="42" s="1"/>
  <c r="XK1" i="42" s="1"/>
  <c r="XL1" i="42" s="1"/>
  <c r="XM1" i="42" s="1"/>
  <c r="XN1" i="42" s="1"/>
  <c r="XO1" i="42" s="1"/>
  <c r="XP1" i="42" s="1"/>
  <c r="XQ1" i="42" s="1"/>
  <c r="XR1" i="42" s="1"/>
  <c r="XS1" i="42" s="1"/>
  <c r="XT1" i="42" s="1"/>
  <c r="XU1" i="42" s="1"/>
  <c r="XV1" i="42" s="1"/>
  <c r="XW1" i="42" s="1"/>
  <c r="XX1" i="42" s="1"/>
  <c r="XY1" i="42" s="1"/>
  <c r="XZ1" i="42" s="1"/>
  <c r="YA1" i="42" s="1"/>
  <c r="YB1" i="42" s="1"/>
  <c r="YC1" i="42" s="1"/>
  <c r="YD1" i="42" s="1"/>
  <c r="YE1" i="42" s="1"/>
  <c r="YF1" i="42" s="1"/>
  <c r="YG1" i="42" s="1"/>
  <c r="YH1" i="42" s="1"/>
  <c r="YI1" i="42" s="1"/>
  <c r="YJ1" i="42" s="1"/>
  <c r="YK1" i="42" s="1"/>
  <c r="YL1" i="42" s="1"/>
  <c r="YM1" i="42" s="1"/>
  <c r="YN1" i="42" s="1"/>
  <c r="YO1" i="42" s="1"/>
  <c r="YP1" i="42" s="1"/>
  <c r="YQ1" i="42" s="1"/>
  <c r="YR1" i="42" s="1"/>
  <c r="YS1" i="42" s="1"/>
  <c r="YT1" i="42" s="1"/>
  <c r="YU1" i="42" s="1"/>
  <c r="YV1" i="42" s="1"/>
  <c r="YW1" i="42" s="1"/>
  <c r="YX1" i="42" s="1"/>
  <c r="YY1" i="42" s="1"/>
  <c r="YZ1" i="42" s="1"/>
  <c r="ZA1" i="42" s="1"/>
  <c r="ZB1" i="42" s="1"/>
  <c r="ZC1" i="42" s="1"/>
  <c r="ZD1" i="42" s="1"/>
  <c r="ZE1" i="42" s="1"/>
  <c r="ZF1" i="42" s="1"/>
  <c r="ZG1" i="42" s="1"/>
  <c r="ZH1" i="42" s="1"/>
  <c r="ZI1" i="42" s="1"/>
  <c r="ZJ1" i="42" s="1"/>
  <c r="ZK1" i="42" s="1"/>
  <c r="ZL1" i="42" s="1"/>
  <c r="ZM1" i="42" s="1"/>
  <c r="ZN1" i="42" s="1"/>
  <c r="ZO1" i="42" s="1"/>
  <c r="ZP1" i="42" s="1"/>
  <c r="ZQ1" i="42" s="1"/>
  <c r="ZR1" i="42" s="1"/>
  <c r="ZS1" i="42" s="1"/>
  <c r="ZT1" i="42" s="1"/>
  <c r="ZU1" i="42" s="1"/>
  <c r="ZV1" i="42" s="1"/>
  <c r="ZW1" i="42" s="1"/>
  <c r="ZX1" i="42" s="1"/>
  <c r="ZY1" i="42" s="1"/>
  <c r="ZZ1" i="42" s="1"/>
  <c r="AAA1" i="42" s="1"/>
  <c r="AAB1" i="42" s="1"/>
  <c r="AAC1" i="42" s="1"/>
  <c r="AAD1" i="42" s="1"/>
  <c r="AAE1" i="42" s="1"/>
  <c r="AAF1" i="42" s="1"/>
  <c r="AAG1" i="42" s="1"/>
  <c r="AAH1" i="42" s="1"/>
  <c r="AAI1" i="42" s="1"/>
  <c r="AAJ1" i="42" s="1"/>
  <c r="AAK1" i="42" s="1"/>
  <c r="AAL1" i="42" s="1"/>
  <c r="AAM1" i="42" s="1"/>
  <c r="AAN1" i="42" s="1"/>
  <c r="AAO1" i="42" s="1"/>
  <c r="AAP1" i="42" s="1"/>
  <c r="AAQ1" i="42" s="1"/>
  <c r="AAR1" i="42" s="1"/>
  <c r="AAS1" i="42" s="1"/>
  <c r="AAT1" i="42" s="1"/>
  <c r="AAU1" i="42" s="1"/>
  <c r="AAV1" i="42" s="1"/>
  <c r="AAW1" i="42" s="1"/>
  <c r="AAX1" i="42" s="1"/>
  <c r="AAY1" i="42" s="1"/>
  <c r="AAZ1" i="42" s="1"/>
  <c r="ABA1" i="42" s="1"/>
  <c r="ABB1" i="42" s="1"/>
  <c r="ABC1" i="42" s="1"/>
  <c r="ABD1" i="42" s="1"/>
  <c r="ABE1" i="42" s="1"/>
  <c r="ABF1" i="42" s="1"/>
  <c r="ABG1" i="42" s="1"/>
  <c r="ABH1" i="42" s="1"/>
  <c r="ABI1" i="42" s="1"/>
  <c r="ABJ1" i="42" s="1"/>
  <c r="ABK1" i="42" s="1"/>
  <c r="ABL1" i="42" s="1"/>
  <c r="ABM1" i="42" s="1"/>
  <c r="ABN1" i="42" s="1"/>
  <c r="ABO1" i="42" s="1"/>
  <c r="ABP1" i="42" s="1"/>
  <c r="ABQ1" i="42" s="1"/>
  <c r="ABR1" i="42" s="1"/>
  <c r="ABS1" i="42" s="1"/>
  <c r="ABT1" i="42" s="1"/>
  <c r="ABU1" i="42" s="1"/>
  <c r="ABV1" i="42" s="1"/>
  <c r="ABW1" i="42" s="1"/>
  <c r="ABX1" i="42" s="1"/>
  <c r="ABY1" i="42" s="1"/>
  <c r="ABZ1" i="42" s="1"/>
  <c r="ACA1" i="42" s="1"/>
  <c r="ACB1" i="42" s="1"/>
  <c r="ACC1" i="42" s="1"/>
  <c r="ACD1" i="42" s="1"/>
  <c r="ACE1" i="42" s="1"/>
  <c r="ACF1" i="42" s="1"/>
  <c r="ACG1" i="42" s="1"/>
  <c r="ACH1" i="42" s="1"/>
  <c r="ACI1" i="42" s="1"/>
  <c r="ACJ1" i="42" s="1"/>
  <c r="ACK1" i="42" s="1"/>
  <c r="ACL1" i="42" s="1"/>
  <c r="ACM1" i="42" s="1"/>
  <c r="ACN1" i="42" s="1"/>
  <c r="ACO1" i="42" s="1"/>
  <c r="ACP1" i="42" s="1"/>
  <c r="ACQ1" i="42" s="1"/>
  <c r="ACR1" i="42" s="1"/>
  <c r="ACS1" i="42" s="1"/>
  <c r="ACT1" i="42" s="1"/>
  <c r="ACU1" i="42" s="1"/>
  <c r="ACV1" i="42" s="1"/>
  <c r="ACW1" i="42" s="1"/>
  <c r="ACX1" i="42" s="1"/>
  <c r="ACY1" i="42" s="1"/>
  <c r="ACZ1" i="42" s="1"/>
  <c r="A2" i="41"/>
  <c r="B1" i="41" s="1"/>
  <c r="A3" i="41"/>
  <c r="A4" i="41"/>
  <c r="A5" i="41"/>
  <c r="A6" i="41"/>
  <c r="A7" i="41"/>
  <c r="A8" i="41"/>
  <c r="A9" i="41"/>
  <c r="A10" i="41"/>
  <c r="A11" i="41"/>
  <c r="A12" i="41"/>
  <c r="A13" i="41"/>
  <c r="A14" i="41"/>
  <c r="A15" i="41"/>
  <c r="A16" i="41"/>
  <c r="A17" i="41"/>
  <c r="A18" i="41"/>
  <c r="A19" i="41"/>
  <c r="A20" i="41"/>
  <c r="A21" i="41"/>
  <c r="A22" i="41"/>
  <c r="A23" i="41"/>
  <c r="A24" i="41"/>
  <c r="A25" i="41"/>
  <c r="A26" i="41"/>
  <c r="A27" i="41"/>
  <c r="A28" i="41"/>
  <c r="A29" i="41"/>
  <c r="A30" i="41"/>
  <c r="A31" i="41"/>
  <c r="A32" i="41"/>
  <c r="A33" i="41"/>
  <c r="A34" i="41"/>
  <c r="A35" i="41"/>
  <c r="A36" i="41"/>
  <c r="A37" i="41"/>
  <c r="A38" i="41"/>
  <c r="A39" i="41"/>
  <c r="A40" i="41"/>
  <c r="A41" i="41"/>
  <c r="A42" i="41"/>
  <c r="A43" i="41"/>
  <c r="A44" i="41"/>
  <c r="A45" i="41"/>
  <c r="A46" i="41"/>
  <c r="A47" i="41"/>
  <c r="A48" i="41"/>
  <c r="A49" i="41"/>
  <c r="A50" i="41"/>
  <c r="A51" i="41"/>
  <c r="A52" i="41"/>
  <c r="A53" i="41"/>
  <c r="A54" i="41"/>
  <c r="A55" i="41"/>
  <c r="A56" i="41"/>
  <c r="A57" i="41"/>
  <c r="A58" i="41"/>
  <c r="A59" i="41"/>
  <c r="A60" i="41"/>
  <c r="A61" i="41"/>
  <c r="A62" i="41"/>
  <c r="A63" i="41"/>
  <c r="A64" i="41"/>
  <c r="A65" i="41"/>
  <c r="A66" i="41"/>
  <c r="A67" i="41"/>
  <c r="A68" i="41"/>
  <c r="A69" i="41"/>
  <c r="A70" i="41"/>
  <c r="A71" i="41"/>
  <c r="A72" i="41"/>
  <c r="A73" i="41"/>
  <c r="A74" i="41"/>
  <c r="A75" i="41"/>
  <c r="A76" i="41"/>
  <c r="A77" i="41"/>
  <c r="A78" i="41"/>
  <c r="A79" i="41"/>
  <c r="A80" i="41"/>
  <c r="A81" i="41"/>
  <c r="A82" i="41"/>
  <c r="A83" i="41"/>
  <c r="A84" i="41"/>
  <c r="A85" i="41"/>
  <c r="A86" i="41"/>
  <c r="A87" i="41"/>
  <c r="A88" i="41"/>
  <c r="A89" i="41"/>
  <c r="A90" i="41"/>
  <c r="A91" i="41"/>
  <c r="A92" i="41"/>
  <c r="A93" i="41"/>
  <c r="A94" i="41"/>
  <c r="A95" i="41"/>
  <c r="A96" i="41"/>
  <c r="A97" i="41"/>
  <c r="A98" i="41"/>
  <c r="A99" i="41"/>
  <c r="A100" i="41"/>
  <c r="A101" i="41"/>
  <c r="A102" i="41"/>
  <c r="A103" i="41"/>
  <c r="A104" i="41"/>
  <c r="A105" i="41"/>
  <c r="A106" i="41"/>
  <c r="A107" i="41"/>
  <c r="A108" i="41"/>
  <c r="A109" i="41"/>
  <c r="A110" i="41"/>
  <c r="A111" i="41"/>
  <c r="A112" i="41"/>
  <c r="A113" i="41"/>
  <c r="A114" i="41"/>
  <c r="A115" i="41"/>
  <c r="A116" i="41"/>
  <c r="A117" i="41"/>
  <c r="A118" i="41"/>
  <c r="A119" i="41"/>
  <c r="A120" i="41"/>
  <c r="A121" i="41"/>
  <c r="B1" i="40"/>
  <c r="A2" i="40"/>
  <c r="A3" i="40"/>
  <c r="A4" i="40"/>
  <c r="A5" i="40"/>
  <c r="A6" i="40"/>
  <c r="A7" i="40"/>
  <c r="A8" i="40"/>
  <c r="A2" i="39"/>
  <c r="B1" i="39" s="1"/>
  <c r="A3" i="39"/>
  <c r="A4" i="39"/>
  <c r="A5" i="39"/>
  <c r="A6" i="39"/>
  <c r="A7" i="39"/>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2" i="38"/>
  <c r="B1" i="38" s="1"/>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I11" i="7"/>
  <c r="I12" i="7"/>
  <c r="I19" i="7"/>
  <c r="I20" i="7"/>
  <c r="I25"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C1" i="38" l="1"/>
  <c r="D1" i="38" s="1"/>
  <c r="E1" i="38" s="1"/>
  <c r="F1" i="38" s="1"/>
  <c r="G1" i="38" s="1"/>
  <c r="H1" i="38" s="1"/>
  <c r="I1" i="38" s="1"/>
  <c r="C1" i="39"/>
  <c r="D1" i="39" s="1"/>
  <c r="E1" i="39" s="1"/>
  <c r="F1" i="39" s="1"/>
  <c r="G1" i="39" s="1"/>
  <c r="H1" i="39" s="1"/>
  <c r="I1" i="39" s="1"/>
  <c r="J1" i="39" s="1"/>
  <c r="K1" i="39" s="1"/>
  <c r="L1" i="39" s="1"/>
  <c r="M1" i="39" s="1"/>
  <c r="N1" i="39" s="1"/>
  <c r="O1" i="39" s="1"/>
  <c r="P1" i="39" s="1"/>
  <c r="Q1" i="39" s="1"/>
  <c r="R1" i="39" s="1"/>
  <c r="S1" i="39" s="1"/>
  <c r="T1" i="39" s="1"/>
  <c r="U1" i="39" s="1"/>
  <c r="V1" i="39" s="1"/>
  <c r="W1" i="39" s="1"/>
  <c r="X1" i="39" s="1"/>
  <c r="Y1" i="39" s="1"/>
  <c r="Z1" i="39" s="1"/>
  <c r="AA1" i="39" s="1"/>
  <c r="AB1" i="39" s="1"/>
  <c r="AC1" i="39" s="1"/>
  <c r="AD1" i="39" s="1"/>
  <c r="AE1" i="39" s="1"/>
  <c r="AF1" i="39" s="1"/>
  <c r="AG1" i="39" s="1"/>
  <c r="AH1" i="39" s="1"/>
  <c r="AI1" i="39" s="1"/>
  <c r="AJ1" i="39" s="1"/>
  <c r="AK1" i="39" s="1"/>
  <c r="AL1" i="39" s="1"/>
  <c r="AM1" i="39" s="1"/>
  <c r="AN1" i="39" s="1"/>
  <c r="AO1" i="39" s="1"/>
  <c r="AP1" i="39" s="1"/>
  <c r="AQ1" i="39" s="1"/>
  <c r="AR1" i="39" s="1"/>
  <c r="AS1" i="39" s="1"/>
  <c r="AT1" i="39" s="1"/>
  <c r="AU1" i="39" s="1"/>
  <c r="AV1" i="39" s="1"/>
  <c r="AW1" i="39" s="1"/>
  <c r="AX1" i="39" s="1"/>
  <c r="AY1" i="39" s="1"/>
  <c r="AZ1" i="39" s="1"/>
  <c r="BA1" i="39" s="1"/>
  <c r="BB1" i="39" s="1"/>
  <c r="BC1" i="39" s="1"/>
  <c r="BD1" i="39" s="1"/>
  <c r="BE1" i="39" s="1"/>
  <c r="BF1" i="39" s="1"/>
  <c r="BG1" i="39" s="1"/>
  <c r="BH1" i="39" s="1"/>
  <c r="BI1" i="39" s="1"/>
  <c r="C1" i="40"/>
  <c r="D1" i="40" s="1"/>
  <c r="E1" i="40" s="1"/>
  <c r="F1" i="40" s="1"/>
  <c r="G1" i="40" s="1"/>
  <c r="H1" i="40" s="1"/>
  <c r="C1" i="41"/>
  <c r="D1" i="41" s="1"/>
  <c r="E1" i="41" s="1"/>
  <c r="F1" i="41" s="1"/>
  <c r="G1" i="41" s="1"/>
  <c r="H1" i="41" s="1"/>
  <c r="I1" i="41" s="1"/>
  <c r="J1" i="41" s="1"/>
  <c r="K1" i="41" s="1"/>
  <c r="L1" i="41" s="1"/>
  <c r="M1" i="41" s="1"/>
  <c r="N1" i="41" s="1"/>
  <c r="O1" i="41" s="1"/>
  <c r="P1" i="41" s="1"/>
  <c r="Q1" i="41" s="1"/>
  <c r="R1" i="41" s="1"/>
  <c r="S1" i="41" s="1"/>
  <c r="T1" i="41" s="1"/>
  <c r="U1" i="41" s="1"/>
  <c r="V1" i="41" s="1"/>
  <c r="W1" i="41" s="1"/>
  <c r="X1" i="41" s="1"/>
  <c r="Y1" i="41" s="1"/>
  <c r="Z1" i="41" s="1"/>
  <c r="AA1" i="41" s="1"/>
  <c r="AB1" i="41" s="1"/>
  <c r="AC1" i="41" s="1"/>
  <c r="AD1" i="41" s="1"/>
  <c r="AE1" i="41" s="1"/>
  <c r="AF1" i="41" s="1"/>
  <c r="AG1" i="41" s="1"/>
  <c r="AH1" i="41" s="1"/>
  <c r="AI1" i="41" s="1"/>
  <c r="AJ1" i="41" s="1"/>
  <c r="AK1" i="41" s="1"/>
  <c r="AL1" i="41" s="1"/>
  <c r="AM1" i="41" s="1"/>
  <c r="AN1" i="41" s="1"/>
  <c r="AO1" i="41" s="1"/>
  <c r="AP1" i="41" s="1"/>
  <c r="AQ1" i="41" s="1"/>
  <c r="AR1" i="41" s="1"/>
  <c r="AS1" i="41" s="1"/>
  <c r="AT1" i="41" s="1"/>
  <c r="AU1" i="41" s="1"/>
  <c r="AV1" i="41" s="1"/>
  <c r="AW1" i="41" s="1"/>
  <c r="AX1" i="41" s="1"/>
  <c r="AY1" i="41" s="1"/>
  <c r="AZ1" i="41" s="1"/>
  <c r="BA1" i="41" s="1"/>
  <c r="BB1" i="41" s="1"/>
  <c r="BC1" i="41" s="1"/>
  <c r="BD1" i="41" s="1"/>
  <c r="BE1" i="41" s="1"/>
  <c r="BF1" i="41" s="1"/>
  <c r="BG1" i="41" s="1"/>
  <c r="BH1" i="41" s="1"/>
  <c r="BI1" i="41" s="1"/>
  <c r="BJ1" i="41" s="1"/>
  <c r="BK1" i="41" s="1"/>
  <c r="BL1" i="41" s="1"/>
  <c r="BM1" i="41" s="1"/>
  <c r="BN1" i="41" s="1"/>
  <c r="BO1" i="41" s="1"/>
  <c r="BP1" i="41" s="1"/>
  <c r="BQ1" i="41" s="1"/>
  <c r="BR1" i="41" s="1"/>
  <c r="BS1" i="41" s="1"/>
  <c r="BT1" i="41" s="1"/>
  <c r="BU1" i="41" s="1"/>
  <c r="BV1" i="41" s="1"/>
  <c r="BW1" i="41" s="1"/>
  <c r="BX1" i="41" s="1"/>
  <c r="BY1" i="41" s="1"/>
  <c r="BZ1" i="41" s="1"/>
  <c r="CA1" i="41" s="1"/>
  <c r="CB1" i="41" s="1"/>
  <c r="CC1" i="41" s="1"/>
  <c r="CD1" i="41" s="1"/>
  <c r="CE1" i="41" s="1"/>
  <c r="CF1" i="41" s="1"/>
  <c r="CG1" i="41" s="1"/>
  <c r="CH1" i="41" s="1"/>
  <c r="CI1" i="41" s="1"/>
  <c r="CJ1" i="41" s="1"/>
  <c r="CK1" i="41" s="1"/>
  <c r="CL1" i="41" s="1"/>
  <c r="CM1" i="41" s="1"/>
  <c r="CN1" i="41" s="1"/>
  <c r="CO1" i="41" s="1"/>
  <c r="CP1" i="41" s="1"/>
  <c r="CQ1" i="41" s="1"/>
  <c r="CR1" i="41" s="1"/>
  <c r="CS1" i="41" s="1"/>
  <c r="CT1" i="41" s="1"/>
  <c r="CU1" i="41" s="1"/>
  <c r="CV1" i="41" s="1"/>
  <c r="CW1" i="41" s="1"/>
  <c r="CX1" i="41" s="1"/>
  <c r="CY1" i="41" s="1"/>
  <c r="CZ1" i="41" s="1"/>
  <c r="DA1" i="41" s="1"/>
  <c r="DB1" i="41" s="1"/>
  <c r="DC1" i="41" s="1"/>
  <c r="DD1" i="41" s="1"/>
  <c r="DE1" i="41" s="1"/>
  <c r="DF1" i="41" s="1"/>
  <c r="DG1" i="41" s="1"/>
  <c r="DH1" i="41" s="1"/>
  <c r="DI1" i="41" s="1"/>
  <c r="DJ1" i="41" s="1"/>
  <c r="DK1" i="41" s="1"/>
  <c r="DL1" i="41" s="1"/>
  <c r="DM1" i="41" s="1"/>
  <c r="DN1" i="41" s="1"/>
  <c r="DO1" i="41" s="1"/>
  <c r="DP1" i="41" s="1"/>
  <c r="DQ1" i="41" s="1"/>
  <c r="J1" i="38"/>
  <c r="K1" i="38" s="1"/>
  <c r="L1" i="38" s="1"/>
  <c r="M1" i="38" s="1"/>
  <c r="N1" i="38" s="1"/>
  <c r="O1" i="38" s="1"/>
  <c r="P1" i="38" s="1"/>
  <c r="Q1" i="38" s="1"/>
  <c r="R1" i="38" s="1"/>
  <c r="S1" i="38" s="1"/>
  <c r="T1" i="38" s="1"/>
  <c r="U1" i="38" s="1"/>
  <c r="V1" i="38" s="1"/>
  <c r="W1" i="38" s="1"/>
  <c r="X1" i="38" s="1"/>
  <c r="Y1" i="38" s="1"/>
  <c r="Z1" i="38" s="1"/>
  <c r="AA1" i="38" s="1"/>
  <c r="AB1" i="38" s="1"/>
  <c r="AC1" i="38" s="1"/>
  <c r="AD1" i="38" s="1"/>
  <c r="AE1" i="38" s="1"/>
  <c r="AF1" i="38" s="1"/>
  <c r="AG1" i="38" s="1"/>
  <c r="AH1" i="38" s="1"/>
  <c r="AI1" i="38" s="1"/>
  <c r="AJ1" i="38" s="1"/>
  <c r="AK1" i="38" s="1"/>
  <c r="AL1" i="38" s="1"/>
  <c r="AM1" i="38" s="1"/>
  <c r="AN1" i="38" s="1"/>
  <c r="AB493" i="7"/>
  <c r="AB492" i="7"/>
  <c r="AB491" i="7"/>
  <c r="AB490" i="7"/>
  <c r="AB489" i="7"/>
  <c r="AB488" i="7"/>
  <c r="AB487" i="7"/>
  <c r="AB486" i="7"/>
  <c r="AB485" i="7"/>
  <c r="AB484" i="7"/>
  <c r="AB483" i="7"/>
  <c r="AB482" i="7"/>
  <c r="AB481" i="7"/>
  <c r="AB480" i="7"/>
  <c r="AB479" i="7"/>
  <c r="AB478" i="7"/>
  <c r="AB477" i="7"/>
  <c r="AB476" i="7"/>
  <c r="AB475" i="7"/>
  <c r="AB474" i="7"/>
  <c r="AB473" i="7"/>
  <c r="AB472" i="7"/>
  <c r="AB471" i="7"/>
  <c r="AB470" i="7"/>
  <c r="AB469" i="7"/>
  <c r="AB468" i="7"/>
  <c r="AB467" i="7"/>
  <c r="AB466" i="7"/>
  <c r="AB465" i="7"/>
  <c r="AB464" i="7"/>
  <c r="AB463" i="7"/>
  <c r="AB462" i="7"/>
  <c r="AB461" i="7"/>
  <c r="AB460" i="7"/>
  <c r="AB459" i="7"/>
  <c r="AB458" i="7"/>
  <c r="AB457" i="7"/>
  <c r="AB456" i="7"/>
  <c r="AB455" i="7"/>
  <c r="AB454" i="7"/>
  <c r="AB453" i="7"/>
  <c r="AB452" i="7"/>
  <c r="AB451" i="7"/>
  <c r="AB450" i="7"/>
  <c r="AB449" i="7"/>
  <c r="AB448" i="7"/>
  <c r="AB447" i="7"/>
  <c r="AB446" i="7"/>
  <c r="AB445" i="7"/>
  <c r="AB444" i="7"/>
  <c r="AB443" i="7"/>
  <c r="AB442" i="7"/>
  <c r="AB441" i="7"/>
  <c r="AB440" i="7"/>
  <c r="AB439" i="7"/>
  <c r="AB438" i="7"/>
  <c r="AB437" i="7"/>
  <c r="AB436" i="7"/>
  <c r="AB435" i="7"/>
  <c r="AB434" i="7"/>
  <c r="AB433" i="7"/>
  <c r="AB432" i="7"/>
  <c r="AB431" i="7"/>
  <c r="AB430" i="7"/>
  <c r="AB429" i="7"/>
  <c r="AB428" i="7"/>
  <c r="AB427" i="7"/>
  <c r="AB426" i="7"/>
  <c r="AB425" i="7"/>
  <c r="AB424" i="7"/>
  <c r="AB423" i="7"/>
  <c r="AB422" i="7"/>
  <c r="AB421" i="7"/>
  <c r="AB420" i="7"/>
  <c r="AB419" i="7"/>
  <c r="AB418" i="7"/>
  <c r="AB417" i="7"/>
  <c r="AB416" i="7"/>
  <c r="AB415" i="7"/>
  <c r="AB414" i="7"/>
  <c r="AB413" i="7"/>
  <c r="AB412" i="7"/>
  <c r="AB411" i="7"/>
  <c r="AB410" i="7"/>
  <c r="AB409" i="7"/>
  <c r="AB408" i="7"/>
  <c r="AB407" i="7"/>
  <c r="AB406" i="7"/>
  <c r="AB405" i="7"/>
  <c r="AB404" i="7"/>
  <c r="AB403" i="7"/>
  <c r="AB402" i="7"/>
  <c r="AB401" i="7"/>
  <c r="AB400" i="7"/>
  <c r="AB399" i="7"/>
  <c r="AB398" i="7"/>
  <c r="AB397" i="7"/>
  <c r="AB396" i="7"/>
  <c r="AB395" i="7"/>
  <c r="AB394" i="7"/>
  <c r="AB393" i="7"/>
  <c r="AB392" i="7"/>
  <c r="AB391" i="7"/>
  <c r="AB390" i="7"/>
  <c r="AB389" i="7"/>
  <c r="AB388" i="7"/>
  <c r="AB387" i="7"/>
  <c r="AB386" i="7"/>
  <c r="AB385" i="7"/>
  <c r="AB384" i="7"/>
  <c r="AB383" i="7"/>
  <c r="AB382" i="7"/>
  <c r="AB381" i="7"/>
  <c r="AB380" i="7"/>
  <c r="AB379" i="7"/>
  <c r="AB378" i="7"/>
  <c r="AB377" i="7"/>
  <c r="AB376" i="7"/>
  <c r="AB375" i="7"/>
  <c r="AB374" i="7"/>
  <c r="AB373" i="7"/>
  <c r="AB372" i="7"/>
  <c r="AB371" i="7"/>
  <c r="AB370" i="7"/>
  <c r="AB369" i="7"/>
  <c r="AB368" i="7"/>
  <c r="AB367" i="7"/>
  <c r="AB366" i="7"/>
  <c r="AB365" i="7"/>
  <c r="AB364" i="7"/>
  <c r="AB363" i="7"/>
  <c r="AB362" i="7"/>
  <c r="AB361" i="7"/>
  <c r="AB360" i="7"/>
  <c r="AB359" i="7"/>
  <c r="AB358" i="7"/>
  <c r="AB357" i="7"/>
  <c r="AB356" i="7"/>
  <c r="AB355" i="7"/>
  <c r="AB354" i="7"/>
  <c r="AB353" i="7"/>
  <c r="AB352" i="7"/>
  <c r="AB351" i="7"/>
  <c r="AB350" i="7"/>
  <c r="AB349" i="7"/>
  <c r="AB348" i="7"/>
  <c r="AB347" i="7"/>
  <c r="AB346" i="7"/>
  <c r="AB345" i="7"/>
  <c r="AB344" i="7"/>
  <c r="AB343" i="7"/>
  <c r="AB342" i="7"/>
  <c r="AB341" i="7"/>
  <c r="AB340" i="7"/>
  <c r="AB339" i="7"/>
  <c r="AB338" i="7"/>
  <c r="AB337" i="7"/>
  <c r="AB336" i="7"/>
  <c r="AB335" i="7"/>
  <c r="AB334" i="7"/>
  <c r="AB333" i="7"/>
  <c r="AB332" i="7"/>
  <c r="AB331" i="7"/>
  <c r="AB330" i="7"/>
  <c r="AB329" i="7"/>
  <c r="AB328" i="7"/>
  <c r="AB327" i="7"/>
  <c r="AB326" i="7"/>
  <c r="AB325" i="7"/>
  <c r="AB324" i="7"/>
  <c r="AB323" i="7"/>
  <c r="AB322" i="7"/>
  <c r="AB321" i="7"/>
  <c r="AB320" i="7"/>
  <c r="AB319" i="7"/>
  <c r="AB318" i="7"/>
  <c r="AB317" i="7"/>
  <c r="AB316" i="7"/>
  <c r="AB315" i="7"/>
  <c r="AB314" i="7"/>
  <c r="AB313" i="7"/>
  <c r="AB312" i="7"/>
  <c r="AB311" i="7"/>
  <c r="AB310" i="7"/>
  <c r="AB309" i="7"/>
  <c r="AB308" i="7"/>
  <c r="AB307" i="7"/>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B88" i="7"/>
  <c r="AB87" i="7"/>
  <c r="AB86" i="7"/>
  <c r="AB85" i="7"/>
  <c r="AB84" i="7"/>
  <c r="AB83" i="7"/>
  <c r="AB82" i="7"/>
  <c r="AB81" i="7"/>
  <c r="AB80" i="7"/>
  <c r="AB79" i="7"/>
  <c r="AB78" i="7"/>
  <c r="AB77" i="7"/>
  <c r="AB76" i="7"/>
  <c r="AB75" i="7"/>
  <c r="AB74" i="7"/>
  <c r="AB73" i="7"/>
  <c r="AB72" i="7"/>
  <c r="AB71" i="7"/>
  <c r="AB70" i="7"/>
  <c r="AB69" i="7"/>
  <c r="AB68" i="7"/>
  <c r="AB67" i="7"/>
  <c r="AB66" i="7"/>
  <c r="AB65" i="7"/>
  <c r="AB64" i="7"/>
  <c r="AB63" i="7"/>
  <c r="AB62" i="7"/>
  <c r="AB61" i="7"/>
  <c r="AB60" i="7"/>
  <c r="AB59" i="7"/>
  <c r="AB58" i="7"/>
  <c r="AB57" i="7"/>
  <c r="AB56" i="7"/>
  <c r="AB55" i="7"/>
  <c r="AB54" i="7"/>
  <c r="AB53" i="7"/>
  <c r="AB52" i="7"/>
  <c r="AB51" i="7"/>
  <c r="AB50" i="7"/>
  <c r="AB49" i="7"/>
  <c r="AB48" i="7"/>
  <c r="AB47" i="7"/>
  <c r="AB46" i="7"/>
  <c r="AB45" i="7"/>
  <c r="AB44" i="7"/>
  <c r="AB43" i="7"/>
  <c r="AB42" i="7"/>
  <c r="AB41" i="7"/>
  <c r="AB40" i="7"/>
  <c r="AB39" i="7"/>
  <c r="AB38" i="7"/>
  <c r="AB37" i="7"/>
  <c r="AB36" i="7"/>
  <c r="AB35" i="7"/>
  <c r="AB34" i="7"/>
  <c r="AB33" i="7"/>
  <c r="AB32" i="7"/>
  <c r="AB31" i="7"/>
  <c r="AB30" i="7"/>
  <c r="AB29" i="7"/>
  <c r="AB28" i="7"/>
  <c r="AB27" i="7"/>
  <c r="AB26" i="7"/>
  <c r="AB25" i="7"/>
  <c r="AB24" i="7"/>
  <c r="AB23" i="7"/>
  <c r="AB22" i="7"/>
  <c r="AB21" i="7"/>
  <c r="AB20" i="7"/>
  <c r="AB19" i="7"/>
  <c r="AB18" i="7"/>
  <c r="AB17" i="7"/>
  <c r="AB16" i="7"/>
  <c r="AB15" i="7"/>
  <c r="AB14" i="7"/>
  <c r="AB13" i="7"/>
  <c r="AB12" i="7"/>
  <c r="AB11" i="7"/>
  <c r="AB10" i="7"/>
  <c r="AB9" i="7"/>
  <c r="Z484" i="7" l="1"/>
  <c r="Z483" i="7"/>
  <c r="Z482" i="7"/>
  <c r="Z479" i="7"/>
  <c r="Z478" i="7"/>
  <c r="Z476" i="7"/>
  <c r="Z475" i="7"/>
  <c r="Z472" i="7"/>
  <c r="Z471" i="7"/>
  <c r="Z462" i="7"/>
  <c r="Z460" i="7"/>
  <c r="Z456" i="7"/>
  <c r="Z453" i="7"/>
  <c r="Z452" i="7"/>
  <c r="Z451" i="7"/>
  <c r="Z450" i="7"/>
  <c r="Z449" i="7"/>
  <c r="Z446" i="7"/>
  <c r="Z445" i="7"/>
  <c r="Z444" i="7"/>
  <c r="Z443" i="7"/>
  <c r="Z442" i="7"/>
  <c r="Z441" i="7"/>
  <c r="Z440" i="7"/>
  <c r="Z439" i="7"/>
  <c r="Z436" i="7"/>
  <c r="Z435" i="7"/>
  <c r="Z433" i="7"/>
  <c r="Z432" i="7"/>
  <c r="Z431" i="7"/>
  <c r="Z430" i="7" l="1"/>
  <c r="Z429" i="7"/>
  <c r="Z428" i="7"/>
  <c r="Z427" i="7"/>
  <c r="Z426" i="7"/>
  <c r="Z425" i="7"/>
  <c r="Z424" i="7"/>
  <c r="Z423" i="7"/>
  <c r="Z421" i="7"/>
  <c r="Z420" i="7"/>
  <c r="Z417" i="7"/>
  <c r="Z416" i="7"/>
  <c r="Z415" i="7"/>
  <c r="Z414" i="7"/>
  <c r="Z413" i="7"/>
  <c r="Z412" i="7"/>
  <c r="Z409" i="7"/>
  <c r="Z405" i="7"/>
  <c r="Z402" i="7"/>
  <c r="Z400" i="7"/>
  <c r="Z398" i="7"/>
  <c r="Z397" i="7"/>
  <c r="Z396" i="7"/>
  <c r="Z394" i="7"/>
  <c r="Z392" i="7"/>
  <c r="Z391" i="7"/>
  <c r="Z389" i="7"/>
  <c r="Z387" i="7"/>
  <c r="Z385" i="7"/>
  <c r="Z383" i="7"/>
  <c r="Z376" i="7"/>
  <c r="Z374" i="7"/>
  <c r="Z373" i="7"/>
  <c r="Z368" i="7"/>
  <c r="Z367" i="7"/>
  <c r="Z366" i="7"/>
  <c r="Z365" i="7"/>
  <c r="Z364" i="7"/>
  <c r="Z363" i="7"/>
  <c r="Z360" i="7"/>
  <c r="Z356" i="7"/>
  <c r="Z355" i="7"/>
  <c r="Z354" i="7"/>
  <c r="Z353" i="7"/>
  <c r="Z351" i="7"/>
  <c r="Z349" i="7"/>
  <c r="Z331" i="7"/>
  <c r="Z323" i="7"/>
  <c r="Z320" i="7"/>
  <c r="Z319" i="7"/>
  <c r="Z307" i="7"/>
  <c r="Z298" i="7"/>
  <c r="Z297" i="7"/>
  <c r="Z296" i="7"/>
  <c r="Z292" i="7"/>
  <c r="Z290" i="7"/>
  <c r="Z284" i="7"/>
  <c r="Z282" i="7"/>
  <c r="Z277" i="7"/>
  <c r="Z275" i="7"/>
  <c r="Z273" i="7"/>
  <c r="Z272" i="7"/>
  <c r="Z271" i="7"/>
  <c r="Z270" i="7"/>
  <c r="Z268" i="7"/>
  <c r="Z264" i="7"/>
  <c r="Z263" i="7"/>
  <c r="Z261" i="7"/>
  <c r="Z260" i="7"/>
  <c r="Z259" i="7"/>
  <c r="Z258" i="7"/>
  <c r="Z252" i="7"/>
  <c r="Z246" i="7"/>
  <c r="Z245" i="7"/>
  <c r="Z244" i="7"/>
  <c r="Z243" i="7"/>
  <c r="Z242" i="7"/>
  <c r="Z238" i="7"/>
  <c r="Z237" i="7"/>
  <c r="Z234" i="7"/>
  <c r="Z232" i="7"/>
  <c r="Z231" i="7"/>
  <c r="Z229" i="7"/>
  <c r="Z225" i="7"/>
  <c r="Z220" i="7"/>
  <c r="Z192" i="7" l="1"/>
  <c r="Z190" i="7"/>
  <c r="Z189" i="7"/>
  <c r="Z186" i="7"/>
  <c r="Z185" i="7"/>
  <c r="Z184" i="7"/>
  <c r="Z173" i="7"/>
  <c r="Z172" i="7"/>
  <c r="Z163" i="7"/>
  <c r="Z162" i="7"/>
  <c r="Z161" i="7"/>
  <c r="Z159" i="7"/>
  <c r="Z158" i="7"/>
  <c r="Z156" i="7"/>
  <c r="Z155" i="7"/>
  <c r="Z154" i="7"/>
  <c r="Z153" i="7"/>
  <c r="Z152" i="7"/>
  <c r="Z151" i="7"/>
  <c r="Z150" i="7"/>
  <c r="Z149" i="7"/>
  <c r="Z148" i="7"/>
  <c r="Z147" i="7"/>
  <c r="Z146" i="7"/>
  <c r="Z145" i="7"/>
  <c r="Z144" i="7"/>
  <c r="Z142" i="7"/>
  <c r="Z140" i="7"/>
  <c r="Z124" i="7"/>
  <c r="Z98" i="7" l="1"/>
  <c r="Z81" i="7"/>
  <c r="Z57" i="7"/>
  <c r="Z56" i="7"/>
  <c r="Z54" i="7"/>
  <c r="Z52" i="7"/>
  <c r="Z46" i="7"/>
  <c r="Z43" i="7"/>
  <c r="Z42" i="7"/>
  <c r="Z39" i="7"/>
  <c r="Z36" i="7"/>
  <c r="Z35" i="7"/>
  <c r="Z34" i="7"/>
  <c r="Z29" i="7"/>
  <c r="Z17" i="7" l="1"/>
  <c r="Z14" i="7"/>
  <c r="Z13" i="7"/>
  <c r="Z492" i="7" l="1"/>
  <c r="J492" i="7"/>
  <c r="AD492" i="7" s="1"/>
  <c r="Z491" i="7"/>
  <c r="J491" i="7"/>
  <c r="Z490" i="7"/>
  <c r="J490" i="7"/>
  <c r="AD490" i="7" s="1"/>
  <c r="Z489" i="7"/>
  <c r="J489" i="7"/>
  <c r="V489" i="7" s="1"/>
  <c r="Z488" i="7"/>
  <c r="J488" i="7"/>
  <c r="AD488" i="7" s="1"/>
  <c r="Z487" i="7"/>
  <c r="J487" i="7"/>
  <c r="AD487" i="7" s="1"/>
  <c r="Z486" i="7"/>
  <c r="J486" i="7"/>
  <c r="AD486" i="7" s="1"/>
  <c r="Z485" i="7"/>
  <c r="J485" i="7"/>
  <c r="AD485" i="7" s="1"/>
  <c r="Z481" i="7"/>
  <c r="Z480" i="7"/>
  <c r="Z477" i="7"/>
  <c r="Z474" i="7"/>
  <c r="Z473" i="7"/>
  <c r="Z470" i="7"/>
  <c r="Z469" i="7"/>
  <c r="Z468" i="7"/>
  <c r="Z467" i="7"/>
  <c r="Z466" i="7"/>
  <c r="Z465" i="7"/>
  <c r="Z464" i="7"/>
  <c r="Z463" i="7"/>
  <c r="Z461" i="7"/>
  <c r="Z459" i="7"/>
  <c r="Z458" i="7"/>
  <c r="Z457" i="7"/>
  <c r="Z455" i="7"/>
  <c r="Z454" i="7"/>
  <c r="Z448" i="7"/>
  <c r="Z447" i="7"/>
  <c r="Z438" i="7"/>
  <c r="Z437" i="7"/>
  <c r="Z434" i="7"/>
  <c r="Z422" i="7"/>
  <c r="Z419" i="7"/>
  <c r="Z418" i="7"/>
  <c r="Z411" i="7"/>
  <c r="Z410" i="7"/>
  <c r="Z408" i="7"/>
  <c r="Z407" i="7"/>
  <c r="Z406" i="7"/>
  <c r="Z404" i="7"/>
  <c r="Z403" i="7"/>
  <c r="Z401" i="7"/>
  <c r="Z399" i="7"/>
  <c r="Z395" i="7"/>
  <c r="Z393" i="7"/>
  <c r="Z390" i="7"/>
  <c r="Z388" i="7"/>
  <c r="Z386" i="7"/>
  <c r="Z384" i="7"/>
  <c r="Z382" i="7"/>
  <c r="Z381" i="7"/>
  <c r="Z380" i="7"/>
  <c r="Z379" i="7"/>
  <c r="Z378" i="7"/>
  <c r="Z377" i="7"/>
  <c r="Z375" i="7"/>
  <c r="Z372" i="7"/>
  <c r="Z371" i="7"/>
  <c r="Z370" i="7"/>
  <c r="Z369" i="7"/>
  <c r="Z362" i="7"/>
  <c r="Z361" i="7"/>
  <c r="Z359" i="7"/>
  <c r="Z358" i="7"/>
  <c r="Z357" i="7"/>
  <c r="Z352" i="7"/>
  <c r="Z350" i="7"/>
  <c r="Z348" i="7"/>
  <c r="Z347" i="7"/>
  <c r="Z346" i="7"/>
  <c r="Z345" i="7"/>
  <c r="Z344" i="7"/>
  <c r="Z343" i="7"/>
  <c r="Z342" i="7"/>
  <c r="Z341" i="7"/>
  <c r="Z340" i="7"/>
  <c r="Z339" i="7"/>
  <c r="Z338" i="7"/>
  <c r="Z337" i="7"/>
  <c r="Z336" i="7"/>
  <c r="Z335" i="7"/>
  <c r="Z334" i="7"/>
  <c r="Z333" i="7"/>
  <c r="Z332" i="7"/>
  <c r="Z330" i="7"/>
  <c r="Z329" i="7"/>
  <c r="Z328" i="7"/>
  <c r="Z327" i="7"/>
  <c r="Z326" i="7"/>
  <c r="Z325" i="7"/>
  <c r="Z324" i="7"/>
  <c r="Z322" i="7"/>
  <c r="Z321" i="7"/>
  <c r="Z318" i="7"/>
  <c r="Z317" i="7"/>
  <c r="Z316" i="7"/>
  <c r="Z315" i="7"/>
  <c r="Z314" i="7"/>
  <c r="Z313" i="7"/>
  <c r="Z312" i="7"/>
  <c r="Z311" i="7"/>
  <c r="Z310" i="7"/>
  <c r="Z309" i="7"/>
  <c r="Z308" i="7"/>
  <c r="Z306" i="7"/>
  <c r="Z305" i="7"/>
  <c r="Z304" i="7"/>
  <c r="Z303" i="7"/>
  <c r="Z302" i="7"/>
  <c r="Z301" i="7"/>
  <c r="Z300" i="7"/>
  <c r="Z299" i="7"/>
  <c r="Z295" i="7"/>
  <c r="Z294" i="7"/>
  <c r="Z293" i="7"/>
  <c r="Z291" i="7"/>
  <c r="Z289" i="7"/>
  <c r="Z288" i="7"/>
  <c r="Z287" i="7"/>
  <c r="Z286" i="7"/>
  <c r="Z285" i="7"/>
  <c r="Z283" i="7"/>
  <c r="Z281" i="7"/>
  <c r="Z280" i="7"/>
  <c r="Z279" i="7"/>
  <c r="Z278" i="7"/>
  <c r="Z276" i="7"/>
  <c r="Z274" i="7"/>
  <c r="Z269" i="7"/>
  <c r="Z267" i="7"/>
  <c r="Z266" i="7"/>
  <c r="Z265" i="7"/>
  <c r="Z262" i="7"/>
  <c r="Z257" i="7"/>
  <c r="Z256" i="7"/>
  <c r="Z255" i="7"/>
  <c r="Z254" i="7"/>
  <c r="Z253" i="7"/>
  <c r="Z251" i="7"/>
  <c r="Z250" i="7"/>
  <c r="Z249" i="7"/>
  <c r="Z248" i="7"/>
  <c r="Z247" i="7"/>
  <c r="Z241" i="7"/>
  <c r="Z240" i="7"/>
  <c r="Z239" i="7"/>
  <c r="Z236" i="7"/>
  <c r="Z235" i="7"/>
  <c r="Z233" i="7"/>
  <c r="Z230" i="7"/>
  <c r="Z228" i="7"/>
  <c r="Z227" i="7"/>
  <c r="Z226" i="7"/>
  <c r="Z224" i="7"/>
  <c r="Z223" i="7"/>
  <c r="Z222" i="7"/>
  <c r="Z221" i="7"/>
  <c r="Z219" i="7"/>
  <c r="Z218" i="7"/>
  <c r="Z217" i="7"/>
  <c r="Z216" i="7"/>
  <c r="Z215" i="7"/>
  <c r="Z214" i="7"/>
  <c r="Z213" i="7"/>
  <c r="Z212" i="7"/>
  <c r="Z211" i="7"/>
  <c r="Z210" i="7"/>
  <c r="Z209" i="7"/>
  <c r="Z208" i="7"/>
  <c r="Z207" i="7"/>
  <c r="Z206" i="7"/>
  <c r="Z205" i="7"/>
  <c r="Z204" i="7"/>
  <c r="Z203" i="7"/>
  <c r="Z202" i="7"/>
  <c r="Z201" i="7"/>
  <c r="Z200" i="7"/>
  <c r="Z199" i="7"/>
  <c r="Z198" i="7"/>
  <c r="Z197" i="7"/>
  <c r="Z196" i="7"/>
  <c r="Z195" i="7"/>
  <c r="Z194" i="7"/>
  <c r="Z193" i="7"/>
  <c r="Z191" i="7"/>
  <c r="Z188" i="7"/>
  <c r="Z187" i="7"/>
  <c r="Z183" i="7"/>
  <c r="Z182" i="7"/>
  <c r="Z181" i="7"/>
  <c r="Z180" i="7"/>
  <c r="Z179" i="7"/>
  <c r="Z178" i="7"/>
  <c r="Z177" i="7"/>
  <c r="Z176" i="7"/>
  <c r="Z175" i="7"/>
  <c r="Z174" i="7"/>
  <c r="Z171" i="7"/>
  <c r="Z170" i="7"/>
  <c r="Z169" i="7"/>
  <c r="Z168" i="7"/>
  <c r="Z167" i="7"/>
  <c r="Z166" i="7"/>
  <c r="Z165" i="7"/>
  <c r="Z164" i="7"/>
  <c r="Z160" i="7"/>
  <c r="Z157" i="7"/>
  <c r="Z143" i="7"/>
  <c r="Z141" i="7"/>
  <c r="Z139" i="7"/>
  <c r="Z138" i="7"/>
  <c r="Z137" i="7"/>
  <c r="Z136" i="7"/>
  <c r="Z135" i="7"/>
  <c r="Z134" i="7"/>
  <c r="Z133" i="7"/>
  <c r="Z132" i="7"/>
  <c r="Z131" i="7"/>
  <c r="Z130" i="7"/>
  <c r="Z129" i="7"/>
  <c r="Z128" i="7"/>
  <c r="Z127" i="7"/>
  <c r="Z126" i="7"/>
  <c r="Z125" i="7"/>
  <c r="Z123" i="7"/>
  <c r="Z122" i="7"/>
  <c r="Z121" i="7"/>
  <c r="Z120" i="7"/>
  <c r="Z119" i="7"/>
  <c r="Z118" i="7"/>
  <c r="Z117" i="7"/>
  <c r="Z116" i="7"/>
  <c r="Z115" i="7"/>
  <c r="Z114" i="7"/>
  <c r="Z113" i="7"/>
  <c r="Z112" i="7"/>
  <c r="Z111" i="7"/>
  <c r="Z110" i="7"/>
  <c r="Z109" i="7"/>
  <c r="Z108" i="7"/>
  <c r="Z107" i="7"/>
  <c r="Z106" i="7"/>
  <c r="Z105" i="7"/>
  <c r="Z104" i="7"/>
  <c r="Z103" i="7"/>
  <c r="Z102" i="7"/>
  <c r="Z101" i="7"/>
  <c r="Z100" i="7"/>
  <c r="Z99" i="7"/>
  <c r="Z97" i="7"/>
  <c r="Z96" i="7"/>
  <c r="Z95" i="7"/>
  <c r="Z94" i="7"/>
  <c r="Z93" i="7"/>
  <c r="Z92" i="7"/>
  <c r="Z91" i="7"/>
  <c r="Z90" i="7"/>
  <c r="Z89" i="7"/>
  <c r="Z88" i="7"/>
  <c r="Z87" i="7"/>
  <c r="Z86" i="7"/>
  <c r="Z85" i="7"/>
  <c r="Z84" i="7"/>
  <c r="Z83" i="7"/>
  <c r="Z82" i="7"/>
  <c r="Z80" i="7"/>
  <c r="Z79" i="7"/>
  <c r="Z78" i="7"/>
  <c r="Z77" i="7"/>
  <c r="Z76" i="7"/>
  <c r="Z75" i="7"/>
  <c r="Z74" i="7"/>
  <c r="Z73" i="7"/>
  <c r="Z72" i="7"/>
  <c r="Z71" i="7"/>
  <c r="Z70" i="7"/>
  <c r="Z69" i="7"/>
  <c r="Z68" i="7"/>
  <c r="Z67" i="7"/>
  <c r="Z66" i="7"/>
  <c r="Z65" i="7"/>
  <c r="Z64" i="7"/>
  <c r="Z63" i="7"/>
  <c r="Z62" i="7"/>
  <c r="Z61" i="7"/>
  <c r="Z60" i="7"/>
  <c r="Z59" i="7"/>
  <c r="Z58" i="7"/>
  <c r="Z55" i="7"/>
  <c r="Z53" i="7"/>
  <c r="Z51" i="7"/>
  <c r="Z50" i="7"/>
  <c r="Z49" i="7"/>
  <c r="Z48" i="7"/>
  <c r="Z47" i="7"/>
  <c r="Z45" i="7"/>
  <c r="Z44" i="7"/>
  <c r="Z41" i="7"/>
  <c r="Z40" i="7"/>
  <c r="Z38" i="7"/>
  <c r="Z37" i="7"/>
  <c r="Z33" i="7"/>
  <c r="Z32" i="7"/>
  <c r="Z31" i="7"/>
  <c r="Z30" i="7"/>
  <c r="Z28" i="7"/>
  <c r="Z27" i="7"/>
  <c r="Z26" i="7"/>
  <c r="Z25" i="7"/>
  <c r="Z24" i="7"/>
  <c r="Z23" i="7"/>
  <c r="Z22" i="7"/>
  <c r="Z21" i="7"/>
  <c r="Z20" i="7"/>
  <c r="Z19" i="7"/>
  <c r="Z18" i="7"/>
  <c r="Z16" i="7"/>
  <c r="Z15" i="7"/>
  <c r="Z12" i="7"/>
  <c r="Z11" i="7"/>
  <c r="Z10" i="7"/>
  <c r="Z9" i="7"/>
  <c r="V488" i="7" l="1"/>
  <c r="X488" i="7"/>
  <c r="AM488" i="7" s="1"/>
  <c r="L490" i="7"/>
  <c r="M490" i="7"/>
  <c r="L492" i="7"/>
  <c r="X490" i="7"/>
  <c r="AM490" i="7" s="1"/>
  <c r="M492" i="7"/>
  <c r="T486" i="7"/>
  <c r="V487" i="7"/>
  <c r="U486" i="7"/>
  <c r="T492" i="7"/>
  <c r="V486" i="7"/>
  <c r="U492" i="7"/>
  <c r="X486" i="7"/>
  <c r="AM486" i="7" s="1"/>
  <c r="V492" i="7"/>
  <c r="X492" i="7"/>
  <c r="AM492" i="7" s="1"/>
  <c r="AD489" i="7"/>
  <c r="AG486" i="7"/>
  <c r="AH486" i="7"/>
  <c r="L488" i="7"/>
  <c r="V485" i="7"/>
  <c r="AG490" i="7"/>
  <c r="AG488" i="7"/>
  <c r="AH490" i="7"/>
  <c r="AH488" i="7"/>
  <c r="M488" i="7"/>
  <c r="L486" i="7"/>
  <c r="T490" i="7"/>
  <c r="AG492" i="7"/>
  <c r="M486" i="7"/>
  <c r="T488" i="7"/>
  <c r="U490" i="7"/>
  <c r="AH492" i="7"/>
  <c r="U488" i="7"/>
  <c r="V490" i="7"/>
  <c r="AH491" i="7"/>
  <c r="U491" i="7"/>
  <c r="M491" i="7"/>
  <c r="AG491" i="7"/>
  <c r="X491" i="7"/>
  <c r="AM491" i="7" s="1"/>
  <c r="T491" i="7"/>
  <c r="L491" i="7"/>
  <c r="AD491" i="7"/>
  <c r="V491" i="7"/>
  <c r="W491" i="7"/>
  <c r="AH485" i="7"/>
  <c r="U485" i="7"/>
  <c r="M485" i="7"/>
  <c r="AG485" i="7"/>
  <c r="X485" i="7"/>
  <c r="AM485" i="7" s="1"/>
  <c r="T485" i="7"/>
  <c r="L485" i="7"/>
  <c r="W485" i="7"/>
  <c r="AH487" i="7"/>
  <c r="U487" i="7"/>
  <c r="M487" i="7"/>
  <c r="AG487" i="7"/>
  <c r="X487" i="7"/>
  <c r="AM487" i="7" s="1"/>
  <c r="T487" i="7"/>
  <c r="L487" i="7"/>
  <c r="W487" i="7"/>
  <c r="AH489" i="7"/>
  <c r="U489" i="7"/>
  <c r="M489" i="7"/>
  <c r="AG489" i="7"/>
  <c r="X489" i="7"/>
  <c r="AM489" i="7" s="1"/>
  <c r="T489" i="7"/>
  <c r="L489" i="7"/>
  <c r="W489" i="7"/>
  <c r="W486" i="7"/>
  <c r="W488" i="7"/>
  <c r="W490" i="7"/>
  <c r="W492" i="7"/>
  <c r="D2" i="13"/>
</calcChain>
</file>

<file path=xl/sharedStrings.xml><?xml version="1.0" encoding="utf-8"?>
<sst xmlns="http://schemas.openxmlformats.org/spreadsheetml/2006/main" count="16789" uniqueCount="10882">
  <si>
    <t>Primary Classification</t>
  </si>
  <si>
    <t>PC Code</t>
  </si>
  <si>
    <t>T1</t>
  </si>
  <si>
    <t>T2</t>
  </si>
  <si>
    <t>T3</t>
  </si>
  <si>
    <t>T4</t>
  </si>
  <si>
    <t>T5</t>
  </si>
  <si>
    <t>T6</t>
  </si>
  <si>
    <t>T7</t>
  </si>
  <si>
    <t>Cement products</t>
  </si>
  <si>
    <t>Bitumen products</t>
  </si>
  <si>
    <t>Vinyl products</t>
  </si>
  <si>
    <t>Gasket, friction products and adhesives</t>
  </si>
  <si>
    <t>Coatings</t>
  </si>
  <si>
    <t>Reinforced plastics/resins (excluding bitumen products)</t>
  </si>
  <si>
    <t>Other</t>
  </si>
  <si>
    <t>T1 Cement products</t>
  </si>
  <si>
    <t>Ceiling tiles</t>
  </si>
  <si>
    <t>Cement flues/pipes</t>
  </si>
  <si>
    <t>Compressed flat sheeting</t>
  </si>
  <si>
    <t>Corrugated roof sheeting</t>
  </si>
  <si>
    <t>Electrical arc shields</t>
  </si>
  <si>
    <t>Faux brick cladding</t>
  </si>
  <si>
    <t>Faux timber panelling/sheeting</t>
  </si>
  <si>
    <t>Flat sheeting</t>
  </si>
  <si>
    <t>Flue capping</t>
  </si>
  <si>
    <t>Profiled roof sheeting</t>
  </si>
  <si>
    <t>Rainwater guttering</t>
  </si>
  <si>
    <t>Ridge capping</t>
  </si>
  <si>
    <t>Roof products (excluding sheeting)</t>
  </si>
  <si>
    <t>Tilux sheeting</t>
  </si>
  <si>
    <t>Valley gutters</t>
  </si>
  <si>
    <t>Vents</t>
  </si>
  <si>
    <t>Water tanks</t>
  </si>
  <si>
    <t>Weatherboards</t>
  </si>
  <si>
    <t>Communications pit</t>
  </si>
  <si>
    <t>Moulded sheet</t>
  </si>
  <si>
    <t>Residual debris</t>
  </si>
  <si>
    <t>Dust and debris</t>
  </si>
  <si>
    <t>T2 Bitumen products</t>
  </si>
  <si>
    <t>Compressed electrical panels</t>
  </si>
  <si>
    <t>Bitumen coating to underside of sink</t>
  </si>
  <si>
    <t>Malthoid</t>
  </si>
  <si>
    <t>Bitumen coated paper</t>
  </si>
  <si>
    <t>Electrical cable coating</t>
  </si>
  <si>
    <t>Circuit breaker</t>
  </si>
  <si>
    <t>Galbestos</t>
  </si>
  <si>
    <t>Other types of adhesive (usually in tube)</t>
  </si>
  <si>
    <t>Bitumen coated polystyrene</t>
  </si>
  <si>
    <t>Mastic</t>
  </si>
  <si>
    <t>Blackjack adhesive to flooring</t>
  </si>
  <si>
    <t>T3 Vinyl products</t>
  </si>
  <si>
    <t>T4 Gasket, friction products and adhesives</t>
  </si>
  <si>
    <t>T5 Coatings</t>
  </si>
  <si>
    <t>T6 Reinforced plastics/resins (excluding bitumen products)</t>
  </si>
  <si>
    <t>T7 Other</t>
  </si>
  <si>
    <t>Vinyl sheet</t>
  </si>
  <si>
    <t>Vinyl tiles and adhesive</t>
  </si>
  <si>
    <t>Vinyl sheet and adhesive</t>
  </si>
  <si>
    <t>Flange gaskets</t>
  </si>
  <si>
    <t>Brake pads</t>
  </si>
  <si>
    <t>Caulking/putty</t>
  </si>
  <si>
    <t>Clutch plates</t>
  </si>
  <si>
    <t>Rubber gasket</t>
  </si>
  <si>
    <t>Adhesive/glue</t>
  </si>
  <si>
    <t>Textured coating</t>
  </si>
  <si>
    <t>Paint (usually covered by the above)</t>
  </si>
  <si>
    <t>Toilet seats</t>
  </si>
  <si>
    <t>Toilet cisterns</t>
  </si>
  <si>
    <t>Radiator and sink tap hand wheels</t>
  </si>
  <si>
    <t>Electrical meters</t>
  </si>
  <si>
    <t>Electrical components</t>
  </si>
  <si>
    <t>Rubber products</t>
  </si>
  <si>
    <t>Stair nosing</t>
  </si>
  <si>
    <t>T2 Vinyl products</t>
  </si>
  <si>
    <t>T3 Insulation products</t>
  </si>
  <si>
    <t>T4 Gasket products</t>
  </si>
  <si>
    <t>T6 Other</t>
  </si>
  <si>
    <t>T5 Textiles</t>
  </si>
  <si>
    <t>Millboard/paper-backed sheet vinyl</t>
  </si>
  <si>
    <t>Limpet</t>
  </si>
  <si>
    <t>Vermiculite</t>
  </si>
  <si>
    <t>Lagging/thermal insulation (pipes, boilers, etc.)</t>
  </si>
  <si>
    <t>Pipe lagging residues (to walls, ceilings, pipework)</t>
  </si>
  <si>
    <t>Loose infill</t>
  </si>
  <si>
    <t>Mattresses</t>
  </si>
  <si>
    <t>Doonas</t>
  </si>
  <si>
    <t>Fireproof bags/pillows</t>
  </si>
  <si>
    <t>AIB (insulation board)</t>
  </si>
  <si>
    <t>Millboard</t>
  </si>
  <si>
    <t>Fire door core</t>
  </si>
  <si>
    <t>Tape</t>
  </si>
  <si>
    <t>Strawboard</t>
  </si>
  <si>
    <t>Internal insulation (suspected)</t>
  </si>
  <si>
    <t>Rope/braided gasket</t>
  </si>
  <si>
    <t>Fire blanket</t>
  </si>
  <si>
    <t>Fire curtains</t>
  </si>
  <si>
    <t>Fire-fighting clothing</t>
  </si>
  <si>
    <t>Rope and string</t>
  </si>
  <si>
    <t>Cloth</t>
  </si>
  <si>
    <t>Gloves</t>
  </si>
  <si>
    <t>Gaskets and washers</t>
  </si>
  <si>
    <t>Paper</t>
  </si>
  <si>
    <t>Cardboard</t>
  </si>
  <si>
    <t>Contaminated materials</t>
  </si>
  <si>
    <t>Plaster/lath</t>
  </si>
  <si>
    <t>Contaminated carpet underlay</t>
  </si>
  <si>
    <t>Naturally occurring</t>
  </si>
  <si>
    <t>Department</t>
  </si>
  <si>
    <t>Agency</t>
  </si>
  <si>
    <t>Building Category</t>
  </si>
  <si>
    <t>Building Type</t>
  </si>
  <si>
    <t>Building Address</t>
  </si>
  <si>
    <t>Suburb</t>
  </si>
  <si>
    <t>Postcode</t>
  </si>
  <si>
    <t>Internal / External</t>
  </si>
  <si>
    <t>Level</t>
  </si>
  <si>
    <t>Friability of material</t>
  </si>
  <si>
    <t>Location in Room</t>
  </si>
  <si>
    <t>Condition</t>
  </si>
  <si>
    <t>Quantity</t>
  </si>
  <si>
    <t>Roof tiles/slates asbestos roof tiles</t>
  </si>
  <si>
    <t>Acronym</t>
  </si>
  <si>
    <t>DPC</t>
  </si>
  <si>
    <t>DET</t>
  </si>
  <si>
    <t>DELWP</t>
  </si>
  <si>
    <t>DTF</t>
  </si>
  <si>
    <t>DHHS</t>
  </si>
  <si>
    <t>T8</t>
  </si>
  <si>
    <t>T9</t>
  </si>
  <si>
    <t>T10</t>
  </si>
  <si>
    <t>T11</t>
  </si>
  <si>
    <t>T12</t>
  </si>
  <si>
    <t>T13</t>
  </si>
  <si>
    <t>Agriculture</t>
  </si>
  <si>
    <t>Commercial and retail</t>
  </si>
  <si>
    <t>Correctional and justice facilities</t>
  </si>
  <si>
    <t>Defence and emergency services</t>
  </si>
  <si>
    <t>Educational and training facilities</t>
  </si>
  <si>
    <t>Factories, warehouses and shops</t>
  </si>
  <si>
    <t>Health services</t>
  </si>
  <si>
    <t>Housing and accommodation</t>
  </si>
  <si>
    <t>IT and communications</t>
  </si>
  <si>
    <t>Offices and professional services</t>
  </si>
  <si>
    <t>Public and family services</t>
  </si>
  <si>
    <t>Transport</t>
  </si>
  <si>
    <t>Unknown/other</t>
  </si>
  <si>
    <t>Plant and equipment</t>
  </si>
  <si>
    <t>House</t>
  </si>
  <si>
    <t>Office</t>
  </si>
  <si>
    <t>Code</t>
  </si>
  <si>
    <t>Department of Premier and Cabinet</t>
  </si>
  <si>
    <t>Department of Education and Training</t>
  </si>
  <si>
    <t>Department of Environment, Land, Water and Planning</t>
  </si>
  <si>
    <t>Department of Treasury and Finance</t>
  </si>
  <si>
    <t>Department of Health and Human Services</t>
  </si>
  <si>
    <t>Centre for Books, Writing and Ideas</t>
  </si>
  <si>
    <t>Craft Victoria</t>
  </si>
  <si>
    <t>Heide Museum of Modern Art</t>
  </si>
  <si>
    <t>Office of the Governor of Victoria</t>
  </si>
  <si>
    <t>Public Record Office Victoria</t>
  </si>
  <si>
    <t>Victorian Auditor-Generals Office</t>
  </si>
  <si>
    <t>Victorian Electoral Commission</t>
  </si>
  <si>
    <t>Victorian Ombudsman</t>
  </si>
  <si>
    <t>AMES Australia</t>
  </si>
  <si>
    <t>Bendigo Kangan Institute</t>
  </si>
  <si>
    <t>Box Hill Institute</t>
  </si>
  <si>
    <t>Centre for Adult Education</t>
  </si>
  <si>
    <t>Chisholm Institute</t>
  </si>
  <si>
    <t>Gordon Institute of TAFE</t>
  </si>
  <si>
    <t>Goulburn Ovens Institute of TAFE</t>
  </si>
  <si>
    <t>Holmesglen Institute</t>
  </si>
  <si>
    <t>Melbourne Polytechnic</t>
  </si>
  <si>
    <t>South West Institute of TAFE</t>
  </si>
  <si>
    <t>Sunraysia Institute of TAFE</t>
  </si>
  <si>
    <t>VET Development Centre Ltd</t>
  </si>
  <si>
    <t>William Angliss Institute of TAFE</t>
  </si>
  <si>
    <t>Wodonga Institute of TAFE</t>
  </si>
  <si>
    <t>Corangamite Catchment Management Authority</t>
  </si>
  <si>
    <t>East Gippsland Catchment Management Authority</t>
  </si>
  <si>
    <t>Environment Protection Authority</t>
  </si>
  <si>
    <t>Falls Creek Alpine Resort Management Board</t>
  </si>
  <si>
    <t>Gippsland Ports Committee of Management Inc.</t>
  </si>
  <si>
    <t>Glenelg Hopkins Catchment Management Authority</t>
  </si>
  <si>
    <t>Goulburn Broken Catchment Management Authority</t>
  </si>
  <si>
    <t>Lake Mountain Alpine Resort Management Board</t>
  </si>
  <si>
    <t>Mallee Catchment Management Authority</t>
  </si>
  <si>
    <t>Mount Buller and Mt Stirling Alpine Resort Management</t>
  </si>
  <si>
    <t>Mount Hotham Alpine Resort Management Board</t>
  </si>
  <si>
    <t>North Central Catchment Management Authority</t>
  </si>
  <si>
    <t>North East Catchment Management Authority</t>
  </si>
  <si>
    <t>Parks Victoria</t>
  </si>
  <si>
    <t>Phillip Island Nature Parks</t>
  </si>
  <si>
    <t>Port Phillip and Westernport Catchment Management</t>
  </si>
  <si>
    <t>Royal Botanic Gardens Board</t>
  </si>
  <si>
    <t>Sustainability Victoria</t>
  </si>
  <si>
    <t>Trust for Nature Victoria</t>
  </si>
  <si>
    <t>Urban Renewal Authority</t>
  </si>
  <si>
    <t>Victorian Building Authority</t>
  </si>
  <si>
    <t>West Gippsland Catchment Management Authority</t>
  </si>
  <si>
    <t>Wimmera Catchment Management Authority</t>
  </si>
  <si>
    <t>Zoological Parks and Gardens Board</t>
  </si>
  <si>
    <t>Consumer Policy Research Centre</t>
  </si>
  <si>
    <t>Corrections Victoria</t>
  </si>
  <si>
    <t>Court Services Victoria</t>
  </si>
  <si>
    <t>Emergency Services Telecommunications Authority</t>
  </si>
  <si>
    <t>Office of the Commissioner for Privacy and Data</t>
  </si>
  <si>
    <t>Sentencing Advisory Council</t>
  </si>
  <si>
    <t>Victoria Legal Aid</t>
  </si>
  <si>
    <t>Victoria Police</t>
  </si>
  <si>
    <t>Victorian Inspectorate</t>
  </si>
  <si>
    <t>Victorian Responsible Gambling Foundation</t>
  </si>
  <si>
    <t>Accident Compensation Conciliation Service</t>
  </si>
  <si>
    <t>CenITex</t>
  </si>
  <si>
    <t>Essential Services Commission</t>
  </si>
  <si>
    <t>State Revenue Office</t>
  </si>
  <si>
    <t>Agriculture Victoria Services Pty Ltd</t>
  </si>
  <si>
    <t>Australian Grand Prix Corporation</t>
  </si>
  <si>
    <t>Council of Trustees of the National Gallery of Victoria</t>
  </si>
  <si>
    <t>Creative Victoria</t>
  </si>
  <si>
    <t>Dairy Food Safety Victoria</t>
  </si>
  <si>
    <t>Emerald Tourist Railway Board</t>
  </si>
  <si>
    <t>Energy Safe Victoria</t>
  </si>
  <si>
    <t>Federation Square Pty Ltd</t>
  </si>
  <si>
    <t>Film Victoria</t>
  </si>
  <si>
    <t>Game Management Authority</t>
  </si>
  <si>
    <t>Melbourne and Olympic Parks Trust</t>
  </si>
  <si>
    <t>Melbourne Convention and Exhibition Trust</t>
  </si>
  <si>
    <t>Melbourne Recital Centre</t>
  </si>
  <si>
    <t>Museum Victoria</t>
  </si>
  <si>
    <t>PrimeSafe</t>
  </si>
  <si>
    <t>Public Transport Ombudsman Ltd</t>
  </si>
  <si>
    <t>Taxi Services Commission</t>
  </si>
  <si>
    <t>VicForests</t>
  </si>
  <si>
    <t>Victorian Arts Centre Trust</t>
  </si>
  <si>
    <t>Ability Works Australia Ltd</t>
  </si>
  <si>
    <t>Aboriginal Community Elders Services Inc.</t>
  </si>
  <si>
    <t>Aborigines Advancement League Inc.</t>
  </si>
  <si>
    <t>Access Health and Community</t>
  </si>
  <si>
    <t>Albury Wodonga Health</t>
  </si>
  <si>
    <t>Alexandra District Health</t>
  </si>
  <si>
    <t>Alfred Health</t>
  </si>
  <si>
    <t>Alpine Health</t>
  </si>
  <si>
    <t>Ambulance Victoria</t>
  </si>
  <si>
    <t>AMREP AS Pty Ltd</t>
  </si>
  <si>
    <t>Austhos Pty Ltd</t>
  </si>
  <si>
    <t>Austin Health</t>
  </si>
  <si>
    <t>Austin Medical Research Foundation</t>
  </si>
  <si>
    <t>Bairnsdale Regional Health Service</t>
  </si>
  <si>
    <t>Baker Heart and Diabetes Institute Ltd</t>
  </si>
  <si>
    <t>Ballarat and District Aboriginal Co-operative Ltd</t>
  </si>
  <si>
    <t>Ballarat District Nursing and Healthcare</t>
  </si>
  <si>
    <t>Ballarat General Cemeteries Trust</t>
  </si>
  <si>
    <t>Ballarat Health Services</t>
  </si>
  <si>
    <t>Ballarat Hospice Care Inc.</t>
  </si>
  <si>
    <t>Balmoral Bush Nursing Centre</t>
  </si>
  <si>
    <t>Balmoral Cemetery Trust</t>
  </si>
  <si>
    <t>Banksia Palliative Care Service Inc.</t>
  </si>
  <si>
    <t>Banyule Community Health</t>
  </si>
  <si>
    <t>Barwon Centre Against Sexual Assault</t>
  </si>
  <si>
    <t>Barwon Health</t>
  </si>
  <si>
    <t>Bass Coast Health</t>
  </si>
  <si>
    <t>Beechworth Cemetery Trust</t>
  </si>
  <si>
    <t>Beechworth Health Service</t>
  </si>
  <si>
    <t>Bellarine Community Health Ltd</t>
  </si>
  <si>
    <t>Benalla Health</t>
  </si>
  <si>
    <t>Bendigo and District Aboriginal Co-operative</t>
  </si>
  <si>
    <t>Bentleigh-Bayside Community Health</t>
  </si>
  <si>
    <t>Boort District Health</t>
  </si>
  <si>
    <t>Boroondara Cemetery Trust (Kew)</t>
  </si>
  <si>
    <t>Box Hill Cemetery Trust</t>
  </si>
  <si>
    <t>Brunswick Industries Association Inc.</t>
  </si>
  <si>
    <t>Buchan Bush Nursing Association Inc.</t>
  </si>
  <si>
    <t>Budja Budja Aboriginal Co-Operative Ltd</t>
  </si>
  <si>
    <t>Bulla Cemetery Trust</t>
  </si>
  <si>
    <t>Calvary Health Care Bethlehem</t>
  </si>
  <si>
    <t>Cancer Council Victoria</t>
  </si>
  <si>
    <t>Cancer Trials Australia</t>
  </si>
  <si>
    <t>Cann Valley Bush Nursing Centre Inc.</t>
  </si>
  <si>
    <t>Casterton Memorial Hospital</t>
  </si>
  <si>
    <t>Castlemaine District Community Health Ltd</t>
  </si>
  <si>
    <t>Castlemaine Health</t>
  </si>
  <si>
    <t>Central Bayside Community Health Services Ltd</t>
  </si>
  <si>
    <t>Central Gippsland Health Service</t>
  </si>
  <si>
    <t>Centre Against Violence</t>
  </si>
  <si>
    <t>Centre for Eye Research Australia</t>
  </si>
  <si>
    <t>Chevra Hatzolah Melbourne Inc.</t>
  </si>
  <si>
    <t>Chronic Illness Alliance Inc.</t>
  </si>
  <si>
    <t>Cobaw Community Health Services Ltd</t>
  </si>
  <si>
    <t>Cobden District Health Service Inc.</t>
  </si>
  <si>
    <t>Cobram Cemetery Trust</t>
  </si>
  <si>
    <t>Cobram District Health</t>
  </si>
  <si>
    <t>Colac Area Health</t>
  </si>
  <si>
    <t>Colac Cemetery</t>
  </si>
  <si>
    <t>Consultative Council for Clinical Trials Research</t>
  </si>
  <si>
    <t>Creswick Cemetery Trust</t>
  </si>
  <si>
    <t>Dandenong and District Aborigines Co-operative Ltd</t>
  </si>
  <si>
    <t>Darebin Community Health Service</t>
  </si>
  <si>
    <t>Dargo Bush Nursing Centre Inc.</t>
  </si>
  <si>
    <t>Darlingford Upper Goulburn Nursing Home Inc.</t>
  </si>
  <si>
    <t>Darlington Cemetery Trust</t>
  </si>
  <si>
    <t>Dartmoor and District Bush Nursing Centre Inc.</t>
  </si>
  <si>
    <t>Daylesford Cemetery Trust</t>
  </si>
  <si>
    <t>Dental Health Services Victoria</t>
  </si>
  <si>
    <t>Dianella Community Health Ltd</t>
  </si>
  <si>
    <t>Dimboola Cemetery Trust</t>
  </si>
  <si>
    <t>Dingee Bush Nursing Centre Inc.</t>
  </si>
  <si>
    <t>Djerriwarrh Health Services</t>
  </si>
  <si>
    <t>Donwood Community Aged Care Services Inc.</t>
  </si>
  <si>
    <t>East Grampians Health Service</t>
  </si>
  <si>
    <t>East Wimmera Health Service</t>
  </si>
  <si>
    <t>Eastern Health</t>
  </si>
  <si>
    <t>Eastern Palliative Care</t>
  </si>
  <si>
    <t>Echuca Regional Health</t>
  </si>
  <si>
    <t>Elmhurst Bush Nursing Centre Inc.</t>
  </si>
  <si>
    <t>Eltham Cemetery Trust</t>
  </si>
  <si>
    <t>Ensay Bush Nursing Centre</t>
  </si>
  <si>
    <t>Family Care Sisters (Grey Sisters) Inc.</t>
  </si>
  <si>
    <t>Family Planning Victoria Inc.</t>
  </si>
  <si>
    <t>Fight Cancer Foundation Ltd</t>
  </si>
  <si>
    <t>Forensic Leave Panel</t>
  </si>
  <si>
    <t>Frankston Cemetery Trust</t>
  </si>
  <si>
    <t>Gateway Health</t>
  </si>
  <si>
    <t>Geelong Cemeteries Trust</t>
  </si>
  <si>
    <t>Gelantipy District Bush Nursing Centre Inc.</t>
  </si>
  <si>
    <t>Gippsland and East Gippsland Aboriginal Co-operation</t>
  </si>
  <si>
    <t>Gippsland Memorial Park (Traralgon) Cemetery Trust</t>
  </si>
  <si>
    <t>Gisborne Cemetery Trust</t>
  </si>
  <si>
    <t>Goolum Goolum Aboriginal Co-operative Ltd</t>
  </si>
  <si>
    <t>Goulburn Valley Health</t>
  </si>
  <si>
    <t>Goulburn Valley Hospice Care Service Inc.</t>
  </si>
  <si>
    <t>Grampians Community Health</t>
  </si>
  <si>
    <t>Greater Metropolitan Cemeteries Trust</t>
  </si>
  <si>
    <t>Gunditjmara Aboriginal Co-op Ltd</t>
  </si>
  <si>
    <t>Harkaway Cemetery Trust</t>
  </si>
  <si>
    <t>Harrow Bush Nursing Centre</t>
  </si>
  <si>
    <t>Health Education Australia Ltd</t>
  </si>
  <si>
    <t>Health Purchasing Victoria</t>
  </si>
  <si>
    <t>Health Services Commissioner</t>
  </si>
  <si>
    <t>Health Services Review Council</t>
  </si>
  <si>
    <t>Heathcote Health</t>
  </si>
  <si>
    <t>Hesse Rural Health Service</t>
  </si>
  <si>
    <t>Heywood Rural Health</t>
  </si>
  <si>
    <t>Indigo North Health</t>
  </si>
  <si>
    <t>Inner South Community Health Service</t>
  </si>
  <si>
    <t>Institute for Breathing and Sleep</t>
  </si>
  <si>
    <t>IPC Health Ltd</t>
  </si>
  <si>
    <t>Jamieson Cemetery Trust</t>
  </si>
  <si>
    <t>Kardinia Park Stadium Trust</t>
  </si>
  <si>
    <t>Kerang District Health</t>
  </si>
  <si>
    <t>Kilmore and District Hospital</t>
  </si>
  <si>
    <t>Kilmore Cemetery Trust</t>
  </si>
  <si>
    <t>Kirrae Health Service</t>
  </si>
  <si>
    <t>Knox Community Health Services</t>
  </si>
  <si>
    <t>Kyabram District Health Service</t>
  </si>
  <si>
    <t>Lake Bolac Bush Nursing Centre Inc.</t>
  </si>
  <si>
    <t>Lake Tyers Health and Childrens Services Association</t>
  </si>
  <si>
    <t>Lancefield Cemetery Trust</t>
  </si>
  <si>
    <t>Lang Lang Cemetery Trust</t>
  </si>
  <si>
    <t>Latrobe Community Health Service</t>
  </si>
  <si>
    <t>Latrobe Regional Hospital</t>
  </si>
  <si>
    <t>Leading Age Services Australia Victoria</t>
  </si>
  <si>
    <t>Link Health and Community Ltd</t>
  </si>
  <si>
    <t>Lismore Cemetery Trust</t>
  </si>
  <si>
    <t>LMHA Network Ltd</t>
  </si>
  <si>
    <t>Lockington and District Bush Nursing Centre Inc.</t>
  </si>
  <si>
    <t>Lorne Community Hospital</t>
  </si>
  <si>
    <t>Lyndoch Living Inc.</t>
  </si>
  <si>
    <t>Macarthur Cemetery Trust</t>
  </si>
  <si>
    <t>Macedon Ranges Health Services</t>
  </si>
  <si>
    <t>MacFarlane Burnet Institute for Medical Research and Public Health</t>
  </si>
  <si>
    <t>Maldon Cemetery Trust</t>
  </si>
  <si>
    <t>Mallacoota District Health and Support Service Inc.</t>
  </si>
  <si>
    <t>Mallee District Aboriginal Services</t>
  </si>
  <si>
    <t>Mallee Sexual Assault Unit Inc.</t>
  </si>
  <si>
    <t>Manningham Community Health Services Ltd</t>
  </si>
  <si>
    <t>Mansfield District Hospital</t>
  </si>
  <si>
    <t>Maroondah Addictions Recovery Project Inc.</t>
  </si>
  <si>
    <t>Maryborough District Health Service</t>
  </si>
  <si>
    <t>Mayfield Education Inc.</t>
  </si>
  <si>
    <t>Melbourne Health</t>
  </si>
  <si>
    <t>Mercy Palliative Care Inc.</t>
  </si>
  <si>
    <t>Merri Health</t>
  </si>
  <si>
    <t>Mildura Cemetery Trust</t>
  </si>
  <si>
    <t>Moe Memorial Park Trust</t>
  </si>
  <si>
    <t>Monash Health</t>
  </si>
  <si>
    <t>Mornington Peninsula Cemeteries Trust</t>
  </si>
  <si>
    <t>Moyne Health Services</t>
  </si>
  <si>
    <t>Mullum Mullum Indigenous Gathering Place Ltd</t>
  </si>
  <si>
    <t>Mungabareena Aboriginal Corporation</t>
  </si>
  <si>
    <t>Murdoch Children’s Research Institute</t>
  </si>
  <si>
    <t>Murray Valley Aboriginal Co-operative Ltd</t>
  </si>
  <si>
    <t>National Ageing Research Institute Ltd</t>
  </si>
  <si>
    <t>Neerim Cemetery Trust</t>
  </si>
  <si>
    <t>Neurosciences Victoria Ltd</t>
  </si>
  <si>
    <t>Nexus Primary Health</t>
  </si>
  <si>
    <t>Ngwala Willumbong Ltd</t>
  </si>
  <si>
    <t>Nillumbik Community Health Service</t>
  </si>
  <si>
    <t>Njernda Aboriginal Corporation</t>
  </si>
  <si>
    <t>North Richmond Community Health Ltd</t>
  </si>
  <si>
    <t>Northern District Community Health Service</t>
  </si>
  <si>
    <t>Northern Health</t>
  </si>
  <si>
    <t>Northern Health Research, Training and Equipment Foundation Ltd</t>
  </si>
  <si>
    <t>Nucleus Network Ltd</t>
  </si>
  <si>
    <t>Numurkah District Health Service</t>
  </si>
  <si>
    <t>O’Brien Institute</t>
  </si>
  <si>
    <t>Olivia Newton-John Cancer Research Institute</t>
  </si>
  <si>
    <t>Omeo District Health</t>
  </si>
  <si>
    <t>Orbost Regional Health</t>
  </si>
  <si>
    <t>Orygen, The National Centre of Excellence in Youth</t>
  </si>
  <si>
    <t>Palliative Care Victoria</t>
  </si>
  <si>
    <t>Parent-Infant Research Institute</t>
  </si>
  <si>
    <t>Paynesville Cemetery Trust</t>
  </si>
  <si>
    <t>Peninsula Health</t>
  </si>
  <si>
    <t>Peninsula Home Hospice Ltd</t>
  </si>
  <si>
    <t>Peter MacCallum Cancer Institute</t>
  </si>
  <si>
    <t>Plenty Valley Community Health Ltd</t>
  </si>
  <si>
    <t>Port Fairy Cemetery Trust</t>
  </si>
  <si>
    <t>Portland District Health</t>
  </si>
  <si>
    <t>Post Graduate Medical Council of Victoria Inc.</t>
  </si>
  <si>
    <t>Primary Care Connect</t>
  </si>
  <si>
    <t>Prince Henrys Institute of Medical Research</t>
  </si>
  <si>
    <t>Queen Elizabeth Centre</t>
  </si>
  <si>
    <t>Ramahyuck District Aboriginal Corporation</t>
  </si>
  <si>
    <t>Ranges Community Health Service Inc.</t>
  </si>
  <si>
    <t>Red Cliffs and Community Aged Care Services Inc.</t>
  </si>
  <si>
    <t>Robinvale District Health Services</t>
  </si>
  <si>
    <t>Royal Children’s Hospital Education Institute</t>
  </si>
  <si>
    <t>Royal District Nursing Service</t>
  </si>
  <si>
    <t>Royal Melbourne Hospital Neuroscience Foundation</t>
  </si>
  <si>
    <t>Rumbalara Aboriginal Co-operative Ltd</t>
  </si>
  <si>
    <t>Rumbalara Football and Netball Club Inc.</t>
  </si>
  <si>
    <t>Rural Northwest Health</t>
  </si>
  <si>
    <t>Sea Lake Cemetery Trust</t>
  </si>
  <si>
    <t>Seymour Health</t>
  </si>
  <si>
    <t>Shepparton Cemetery Trust</t>
  </si>
  <si>
    <t>Sorrento Cemetery Trust</t>
  </si>
  <si>
    <t>South East Palliative Care Ltd</t>
  </si>
  <si>
    <t>South Gippsland Hospital</t>
  </si>
  <si>
    <t>South West Healthcare</t>
  </si>
  <si>
    <t>Southern Metropolitan Cemeteries Trust</t>
  </si>
  <si>
    <t>St John Ambulance Australia (Vic) Inc.</t>
  </si>
  <si>
    <t>St Vincents Hospital (Melbourne) Ltd</t>
  </si>
  <si>
    <t>St Vincents Institute of Medical Research (SVI)</t>
  </si>
  <si>
    <t>Stawell Regional Health</t>
  </si>
  <si>
    <t>Sunbury Community Health Centre</t>
  </si>
  <si>
    <t>Sunraysia Community Health Services Ltd</t>
  </si>
  <si>
    <t>Swan Hill District Health</t>
  </si>
  <si>
    <t>Swifts Creek Bush Nursing Centre Inc.</t>
  </si>
  <si>
    <t>Tallangatta Health Service</t>
  </si>
  <si>
    <t>The Bays Hospital Group Inc.</t>
  </si>
  <si>
    <t>The Bionics Institute of Australia</t>
  </si>
  <si>
    <t>The DAX Centre Ltd</t>
  </si>
  <si>
    <t>The Deafness Foundation (Victoria)</t>
  </si>
  <si>
    <t>The Florey Institute of Neuroscience and Mental Health</t>
  </si>
  <si>
    <t>The Gathering Place Health Service Ltd</t>
  </si>
  <si>
    <t>The Mental Health Research Institute</t>
  </si>
  <si>
    <t>The Royal Victorian Eye and Ear Hospital</t>
  </si>
  <si>
    <t>The Victorian Foundation for Survivors of Torture</t>
  </si>
  <si>
    <t>Tongala and District Memorial Aged Care Service Inc.</t>
  </si>
  <si>
    <t>Victoria Walks Inc.</t>
  </si>
  <si>
    <t>Victorian Aboriginal Child Care Agency Co-operative</t>
  </si>
  <si>
    <t>Victorian Aboriginal Community Controlled Health Organisation</t>
  </si>
  <si>
    <t>Victorian Aboriginal Community Services Association</t>
  </si>
  <si>
    <t>Victorian Aboriginal Health Service Co-operative Ltd</t>
  </si>
  <si>
    <t>Victorian Aids Council (Gay Men’s Health Centre)</t>
  </si>
  <si>
    <t>Victorian Assisted Reproductive Treatment Authority</t>
  </si>
  <si>
    <t>Victorian Clinical Genetics Service Ltd</t>
  </si>
  <si>
    <t>Victorian Comprehensive Cancer Centre Ltd</t>
  </si>
  <si>
    <t>Victorian Cytology Service Ltd</t>
  </si>
  <si>
    <t>Victorian Health Promotion Foundation</t>
  </si>
  <si>
    <t>Victorian Healthcare Association Ltd</t>
  </si>
  <si>
    <t>Victorian Hospitals Industrial Association</t>
  </si>
  <si>
    <t>Victorian Surgical Consultative Council</t>
  </si>
  <si>
    <t>Violet Town Bush Nursing Centre</t>
  </si>
  <si>
    <t>Walwa Bush Nursing Centre</t>
  </si>
  <si>
    <t>Warrnambool Cemetery Trust</t>
  </si>
  <si>
    <t>Wathaurong Aboriginal Co-operative Ltd</t>
  </si>
  <si>
    <t>Western Health</t>
  </si>
  <si>
    <t>Western Region Alcohol and Drug Centre Incorporate</t>
  </si>
  <si>
    <t>Western Region Centre Against Sexual Assault Inc.</t>
  </si>
  <si>
    <t>Whitehorse Community Health Service Inc.</t>
  </si>
  <si>
    <t>Wimmera Health Care Group</t>
  </si>
  <si>
    <t>Winda-Mara Aboriginal Corporation</t>
  </si>
  <si>
    <t>Woomelang and District Bush Nursing Centre Inc.</t>
  </si>
  <si>
    <t>Yarrawonga Health</t>
  </si>
  <si>
    <t>Yea and District Memorial Hospital</t>
  </si>
  <si>
    <t>YSAS</t>
  </si>
  <si>
    <t>Specific uses, products and applications of ACMs</t>
  </si>
  <si>
    <t>Air conditioning flange joints</t>
  </si>
  <si>
    <t>Above door</t>
  </si>
  <si>
    <t>Access hatch</t>
  </si>
  <si>
    <t>Air conditioning re-heat unit</t>
  </si>
  <si>
    <t>Air conditioning trunking</t>
  </si>
  <si>
    <t>Air handling unit</t>
  </si>
  <si>
    <t>Awning lining</t>
  </si>
  <si>
    <t>BBQ top</t>
  </si>
  <si>
    <t>Beneath sink</t>
  </si>
  <si>
    <t>Beneath render</t>
  </si>
  <si>
    <t>Beneath roof</t>
  </si>
  <si>
    <t>Beams</t>
  </si>
  <si>
    <t>Boiler</t>
  </si>
  <si>
    <t>Beneath slab(s)</t>
  </si>
  <si>
    <t>Beneath carpet</t>
  </si>
  <si>
    <t>Bench top</t>
  </si>
  <si>
    <t>Brake lining</t>
  </si>
  <si>
    <t>Bagged waste</t>
  </si>
  <si>
    <t>Beneath floor covering</t>
  </si>
  <si>
    <t>Backing panel</t>
  </si>
  <si>
    <t>Board</t>
  </si>
  <si>
    <t>Cladding</t>
  </si>
  <si>
    <t>Cable tray</t>
  </si>
  <si>
    <t>Calorifier</t>
  </si>
  <si>
    <t>Ceiling</t>
  </si>
  <si>
    <t>Ceiling cavity</t>
  </si>
  <si>
    <t>Chimney</t>
  </si>
  <si>
    <t>Clutch pad</t>
  </si>
  <si>
    <t>Coils (Electrical)</t>
  </si>
  <si>
    <t>Cold water service</t>
  </si>
  <si>
    <t>Columns</t>
  </si>
  <si>
    <t>Compressor(s)</t>
  </si>
  <si>
    <t>Cubicle partition(s)</t>
  </si>
  <si>
    <t>Conduit</t>
  </si>
  <si>
    <t>Clearstorey eaves</t>
  </si>
  <si>
    <t>Cupboard lining</t>
  </si>
  <si>
    <t>Chalk board</t>
  </si>
  <si>
    <t>Door seal</t>
  </si>
  <si>
    <t>Ductwork flange joint</t>
  </si>
  <si>
    <t>Ductwork</t>
  </si>
  <si>
    <t>Door</t>
  </si>
  <si>
    <t>Desk</t>
  </si>
  <si>
    <t>Decking</t>
  </si>
  <si>
    <t>Debris</t>
  </si>
  <si>
    <t>Down pipe</t>
  </si>
  <si>
    <t>Eave lining</t>
  </si>
  <si>
    <t>Electrical backing board</t>
  </si>
  <si>
    <t>Electrical cabinet lining</t>
  </si>
  <si>
    <t>Electrical cables</t>
  </si>
  <si>
    <t>Exhaust</t>
  </si>
  <si>
    <t>Electrical cabinet</t>
  </si>
  <si>
    <t>Expansion joint</t>
  </si>
  <si>
    <t>Flash guards</t>
  </si>
  <si>
    <t>Floor covering (beneath carpet)</t>
  </si>
  <si>
    <t>Floor covering (lower layer)</t>
  </si>
  <si>
    <t>Floor covering adhesive</t>
  </si>
  <si>
    <t>Floor covering</t>
  </si>
  <si>
    <t>Floor</t>
  </si>
  <si>
    <t>Floor covering (upper layer)</t>
  </si>
  <si>
    <t>Fencing</t>
  </si>
  <si>
    <t>Fireplace</t>
  </si>
  <si>
    <t>Flammable good cabinet</t>
  </si>
  <si>
    <t>Fire proofing</t>
  </si>
  <si>
    <t>Fume cupboard</t>
  </si>
  <si>
    <t>Floor penetration</t>
  </si>
  <si>
    <t>Fascia</t>
  </si>
  <si>
    <t>Heat mats</t>
  </si>
  <si>
    <t>Heater</t>
  </si>
  <si>
    <t>Hot plate</t>
  </si>
  <si>
    <t>Hot water service</t>
  </si>
  <si>
    <t>Hot water system</t>
  </si>
  <si>
    <t>Heater flue</t>
  </si>
  <si>
    <t>In cupboard</t>
  </si>
  <si>
    <t>Ironing board</t>
  </si>
  <si>
    <t>Illegal dump</t>
  </si>
  <si>
    <t>Infill panels below windows</t>
  </si>
  <si>
    <t>Infill panel</t>
  </si>
  <si>
    <t>Internal lining</t>
  </si>
  <si>
    <t>Internal components</t>
  </si>
  <si>
    <t>Joint</t>
  </si>
  <si>
    <t>Kiln</t>
  </si>
  <si>
    <t>Kiln lining</t>
  </si>
  <si>
    <t>Lining to ceramic tiles</t>
  </si>
  <si>
    <t>Lift motor</t>
  </si>
  <si>
    <t>Light switch</t>
  </si>
  <si>
    <t>Lift landing doors</t>
  </si>
  <si>
    <t>Louvres</t>
  </si>
  <si>
    <t>Lift car</t>
  </si>
  <si>
    <t>Lining to tiles</t>
  </si>
  <si>
    <t>Lid</t>
  </si>
  <si>
    <t>Manhole cover</t>
  </si>
  <si>
    <t>On floor</t>
  </si>
  <si>
    <t>On ground</t>
  </si>
  <si>
    <t>On shelf</t>
  </si>
  <si>
    <t>Oven</t>
  </si>
  <si>
    <t>Oven door seal</t>
  </si>
  <si>
    <t>Partition wall</t>
  </si>
  <si>
    <t>Partition walls</t>
  </si>
  <si>
    <t>Packing material</t>
  </si>
  <si>
    <t>Pipe flange joint</t>
  </si>
  <si>
    <t>Panel</t>
  </si>
  <si>
    <t>Pipework</t>
  </si>
  <si>
    <t>Pit</t>
  </si>
  <si>
    <t>Panelling</t>
  </si>
  <si>
    <t>Pump flange joints</t>
  </si>
  <si>
    <t>Riser</t>
  </si>
  <si>
    <t>Rock sample</t>
  </si>
  <si>
    <t>Roofing</t>
  </si>
  <si>
    <t>Roof cavity</t>
  </si>
  <si>
    <t>Rainwater goods</t>
  </si>
  <si>
    <t>Reheat unit (to ductwork)</t>
  </si>
  <si>
    <t>Retaining wall</t>
  </si>
  <si>
    <t>Safe</t>
  </si>
  <si>
    <t>Switchboard cupboard lining</t>
  </si>
  <si>
    <t>Switchboard backing</t>
  </si>
  <si>
    <t>Splashback lining</t>
  </si>
  <si>
    <t>Switchboard</t>
  </si>
  <si>
    <t>Stored items</t>
  </si>
  <si>
    <t>Shelving</t>
  </si>
  <si>
    <t>Soffit</t>
  </si>
  <si>
    <t>Subfloor</t>
  </si>
  <si>
    <t>Skirting board</t>
  </si>
  <si>
    <t>Sign</t>
  </si>
  <si>
    <t>Service riser</t>
  </si>
  <si>
    <t>Soffit penetration</t>
  </si>
  <si>
    <t>Splashback</t>
  </si>
  <si>
    <t>Shower and bath surrounds</t>
  </si>
  <si>
    <t>Speaker</t>
  </si>
  <si>
    <t>Throughout</t>
  </si>
  <si>
    <t>Toilet cistern</t>
  </si>
  <si>
    <t>Toilet seat</t>
  </si>
  <si>
    <t>Underside of floor</t>
  </si>
  <si>
    <t>Underside of ceiling</t>
  </si>
  <si>
    <t>Underside of roof</t>
  </si>
  <si>
    <t>Urinal backing</t>
  </si>
  <si>
    <t>Underside of tiles</t>
  </si>
  <si>
    <t>Underside of floor tiles</t>
  </si>
  <si>
    <t>Underside of sink</t>
  </si>
  <si>
    <t>Unknown</t>
  </si>
  <si>
    <t>Verandah</t>
  </si>
  <si>
    <t>Void</t>
  </si>
  <si>
    <t>Wall cladding</t>
  </si>
  <si>
    <t>Window frame (between frame and glass)</t>
  </si>
  <si>
    <t>Window frame (between frame and wall)</t>
  </si>
  <si>
    <t>Window frame</t>
  </si>
  <si>
    <t>Water tank</t>
  </si>
  <si>
    <t>Washer</t>
  </si>
  <si>
    <t>Wall(s)</t>
  </si>
  <si>
    <t>Wall beading</t>
  </si>
  <si>
    <t>Waste pipe</t>
  </si>
  <si>
    <t>Water pipe</t>
  </si>
  <si>
    <t>Wall cavity/void</t>
  </si>
  <si>
    <t>Window sill</t>
  </si>
  <si>
    <t>Window infill panels</t>
  </si>
  <si>
    <t>Within kiln</t>
  </si>
  <si>
    <t>Frequency of use</t>
  </si>
  <si>
    <t>Every day</t>
  </si>
  <si>
    <t>Every day with intermittent breaks</t>
  </si>
  <si>
    <t>Once every 3–5 days</t>
  </si>
  <si>
    <t>Every 2–3 weeks</t>
  </si>
  <si>
    <t>Once every 2–3 months</t>
  </si>
  <si>
    <t>Annually or less frequently</t>
  </si>
  <si>
    <t>Internal</t>
  </si>
  <si>
    <t>External</t>
  </si>
  <si>
    <t>Disturbance potential of material</t>
  </si>
  <si>
    <t>Low</t>
  </si>
  <si>
    <t>High</t>
  </si>
  <si>
    <t>Medium</t>
  </si>
  <si>
    <t>Non-friable</t>
  </si>
  <si>
    <t>Friable</t>
  </si>
  <si>
    <t>Textiles (f)</t>
  </si>
  <si>
    <t>Gasket products (f)</t>
  </si>
  <si>
    <t>Insulation products (f)</t>
  </si>
  <si>
    <t>Vinyl products (f)</t>
  </si>
  <si>
    <t>Cement products (f)</t>
  </si>
  <si>
    <t>Other (f)</t>
  </si>
  <si>
    <t>Sample analysis result</t>
  </si>
  <si>
    <t>Disturbance potential</t>
  </si>
  <si>
    <t>Risk of release</t>
  </si>
  <si>
    <t>Positive</t>
  </si>
  <si>
    <t>Assumed Positive</t>
  </si>
  <si>
    <t>Negative</t>
  </si>
  <si>
    <t>Assumed Negative</t>
  </si>
  <si>
    <t>Poor</t>
  </si>
  <si>
    <t>Fair</t>
  </si>
  <si>
    <t>Good</t>
  </si>
  <si>
    <t>Moderate</t>
  </si>
  <si>
    <t>Very High</t>
  </si>
  <si>
    <t>YesNo</t>
  </si>
  <si>
    <t>YES</t>
  </si>
  <si>
    <t>NO</t>
  </si>
  <si>
    <t>Owned or Leased</t>
  </si>
  <si>
    <t>Building Unique ID</t>
  </si>
  <si>
    <t>Public Access?</t>
  </si>
  <si>
    <t>Owned Leased</t>
  </si>
  <si>
    <t>Owned</t>
  </si>
  <si>
    <t>Leased</t>
  </si>
  <si>
    <t>Additional Comments</t>
  </si>
  <si>
    <t>Site Name (if applicable)</t>
  </si>
  <si>
    <t>Building Name</t>
  </si>
  <si>
    <t>INSTRUCTIONS FOR USING</t>
  </si>
  <si>
    <t>Waterproof Membranes and Damp Proof Courses</t>
  </si>
  <si>
    <t>Acoustic pad (Underside of sink)</t>
  </si>
  <si>
    <t>Profiled Roof Sheeting</t>
  </si>
  <si>
    <t>Vinyl Tiles</t>
  </si>
  <si>
    <t>Hessian backed sheet vinyl</t>
  </si>
  <si>
    <t>Gasket(s)</t>
  </si>
  <si>
    <t>Resinous block</t>
  </si>
  <si>
    <t>Fire brick</t>
  </si>
  <si>
    <t>Concrete / levelling compund</t>
  </si>
  <si>
    <t>Electrical cable shrouding</t>
  </si>
  <si>
    <t>Corrugated Roof Sheeting</t>
  </si>
  <si>
    <t>Insulation board</t>
  </si>
  <si>
    <t>Insulation</t>
  </si>
  <si>
    <t>Sprayed insulation (not limpet or vermiculite)</t>
  </si>
  <si>
    <t>SMF Insulation</t>
  </si>
  <si>
    <t>lm</t>
  </si>
  <si>
    <t>m3</t>
  </si>
  <si>
    <t>sqm</t>
  </si>
  <si>
    <t>units</t>
  </si>
  <si>
    <t>not needed</t>
  </si>
  <si>
    <t>Flue cappings</t>
  </si>
  <si>
    <t>Lagging (thermal Insulation)</t>
  </si>
  <si>
    <t>Rope / braided gasket</t>
  </si>
  <si>
    <t>Loose fill insulation</t>
  </si>
  <si>
    <t>Adhesive / glue</t>
  </si>
  <si>
    <t xml:space="preserve">AIB (Insulation Board) </t>
  </si>
  <si>
    <t>Blackjack Adhesive to flooring</t>
  </si>
  <si>
    <t>Caulking / Putty</t>
  </si>
  <si>
    <t>Contaminated materials (e.g. contaminated SMF insulation)</t>
  </si>
  <si>
    <t>Millboard/Paper backed sheet vinyl</t>
  </si>
  <si>
    <t>Naturally occuring</t>
  </si>
  <si>
    <t>Pipe lagging residues</t>
  </si>
  <si>
    <t>Plaster / lath</t>
  </si>
  <si>
    <t>Stair nosing (reinforced compounds, maybe fall under resins)</t>
  </si>
  <si>
    <t>Doona's</t>
  </si>
  <si>
    <t>Fire fighting clothing</t>
  </si>
  <si>
    <t>Matresses</t>
  </si>
  <si>
    <t>Roof products (exc. Sheeting)</t>
  </si>
  <si>
    <t>Room or Area</t>
  </si>
  <si>
    <t>NATA Endorsed Sample number (if available)</t>
  </si>
  <si>
    <t>Identifying Hygiene or Consulting Company</t>
  </si>
  <si>
    <t>External &amp; Internal</t>
  </si>
  <si>
    <t>Urinal</t>
  </si>
  <si>
    <t>Ceiling and walls</t>
  </si>
  <si>
    <t>Eave and porch ceiling</t>
  </si>
  <si>
    <t>Pipework insulation</t>
  </si>
  <si>
    <t>Insulation Products</t>
  </si>
  <si>
    <t>Wall covering</t>
  </si>
  <si>
    <t>Roof</t>
  </si>
  <si>
    <t>Concrete/levelling compound</t>
  </si>
  <si>
    <t>BBQ Top</t>
  </si>
  <si>
    <t>Benchtop lining</t>
  </si>
  <si>
    <t>Bulkhead</t>
  </si>
  <si>
    <t>Cabinet lining</t>
  </si>
  <si>
    <t>Capping</t>
  </si>
  <si>
    <t>Cladding brackets</t>
  </si>
  <si>
    <t>Ductwork insulation</t>
  </si>
  <si>
    <t>Electrical cabinet door lining</t>
  </si>
  <si>
    <t>Flange joints</t>
  </si>
  <si>
    <t>Flue</t>
  </si>
  <si>
    <t>Fireproof cupboard</t>
  </si>
  <si>
    <t>Gas mask</t>
  </si>
  <si>
    <t>Gauze mats</t>
  </si>
  <si>
    <t>Gable lining</t>
  </si>
  <si>
    <t>Gutter</t>
  </si>
  <si>
    <t>Inspection hatch</t>
  </si>
  <si>
    <t>Incinerator</t>
  </si>
  <si>
    <t>Incinerator flue</t>
  </si>
  <si>
    <t>Lift Motor</t>
  </si>
  <si>
    <t>Lightswitch</t>
  </si>
  <si>
    <t>Membrane</t>
  </si>
  <si>
    <t>Penetration packing</t>
  </si>
  <si>
    <t>Reheat unit (To ductwork)</t>
  </si>
  <si>
    <t>Stored item(s)</t>
  </si>
  <si>
    <t>Skirting</t>
  </si>
  <si>
    <t>Sanitary Incinerator</t>
  </si>
  <si>
    <t>Settled on surfaces</t>
  </si>
  <si>
    <t>Window Frame (Between frame and glass)</t>
  </si>
  <si>
    <t>Window Frame (Between frame and wall)</t>
  </si>
  <si>
    <t>Wall and gable lining</t>
  </si>
  <si>
    <t>Window Frame</t>
  </si>
  <si>
    <t>Waterproofing</t>
  </si>
  <si>
    <t>CHECK</t>
  </si>
  <si>
    <t>OLD VALUES</t>
  </si>
  <si>
    <t>NEW VALUES 4 Aug 2017</t>
  </si>
  <si>
    <t>Warnings</t>
  </si>
  <si>
    <t>* Do not use CTRL-C and CTRL-V to copy and paste as this will corrupt the spreadsheet auto-formatting function</t>
  </si>
  <si>
    <t>* Error messages may appear if you copy and paste data from an older version of excel—call 03 9214 7102 if this happens</t>
  </si>
  <si>
    <t>* Incorrect values will appear in red font—double-check your entry if this happens</t>
  </si>
  <si>
    <t>How-to-guide to data entry</t>
  </si>
  <si>
    <t>* Watch the induction video saved on your USB stick</t>
  </si>
  <si>
    <t>* Use the A3 spreadsheet instruction sheet to jog your memory</t>
  </si>
  <si>
    <t>* Refer to the glossary in the instruction manual and/or the fact sheet for definitions of terms</t>
  </si>
  <si>
    <t>* Click on the EXAMPLES tab for tricky entries e.g. safes</t>
  </si>
  <si>
    <t>* Call 03 9214 7102 if you need help</t>
  </si>
  <si>
    <t>Key points</t>
  </si>
  <si>
    <t>* Go to the DATA ENTRY tab to start</t>
  </si>
  <si>
    <t>* Complete all required fields—columns A, B, E-L, N-AH</t>
  </si>
  <si>
    <t>* Complete optional fields if relevant—columns C, D, M, AI</t>
  </si>
  <si>
    <t>* If you answer ‘negative’ or ‘assumed negative’ for the sample analysis in column AB, leave columns AD and AE blank</t>
  </si>
  <si>
    <t xml:space="preserve">* Stop entering data if the building is leased (column L) </t>
  </si>
  <si>
    <t>* Use dropdown arrows to select options</t>
  </si>
  <si>
    <t>* Do not delete pre-populated data—enter a comment (column AI) if information is incorrect</t>
  </si>
  <si>
    <t>Please note</t>
  </si>
  <si>
    <t>* Any asbestos containing material (ACM) that has been entirely removed does not need to be entered into this spreadsheet</t>
  </si>
  <si>
    <t>* Instead, please supply any clearance certificates you have for the building and/or site</t>
  </si>
  <si>
    <t>Barwon Water</t>
  </si>
  <si>
    <t>City West Water</t>
  </si>
  <si>
    <t>Coliban Water</t>
  </si>
  <si>
    <t>Gippsland Water</t>
  </si>
  <si>
    <t>Goulburn Valley Water</t>
  </si>
  <si>
    <t>Lower Murray Water</t>
  </si>
  <si>
    <t>Melbourne Water</t>
  </si>
  <si>
    <t>North East Water</t>
  </si>
  <si>
    <t>South East Water</t>
  </si>
  <si>
    <t>South Gippsland Water</t>
  </si>
  <si>
    <t>Southern Rural Water</t>
  </si>
  <si>
    <t>Western Water</t>
  </si>
  <si>
    <t>Westernport Water</t>
  </si>
  <si>
    <t>Yarra Valley Water</t>
  </si>
  <si>
    <t>Development Victoria</t>
  </si>
  <si>
    <t>Adj to Heating Coils</t>
  </si>
  <si>
    <t>Arc Shield</t>
  </si>
  <si>
    <t>Backing panel box lining</t>
  </si>
  <si>
    <t>Bain marie</t>
  </si>
  <si>
    <t>Ballustrade</t>
  </si>
  <si>
    <t>Bath surround panels</t>
  </si>
  <si>
    <t>Behind heater</t>
  </si>
  <si>
    <t>Boiler Gasket</t>
  </si>
  <si>
    <t>Boxing</t>
  </si>
  <si>
    <t>Ceiling and awning</t>
  </si>
  <si>
    <t>Ceiling and vertical infill panel</t>
  </si>
  <si>
    <t>Ceiling Lining</t>
  </si>
  <si>
    <t>Ceiling Strapping</t>
  </si>
  <si>
    <t>Cistern boxing</t>
  </si>
  <si>
    <t>Contact Panel</t>
  </si>
  <si>
    <t>Contaminated soil</t>
  </si>
  <si>
    <t>Cover battens</t>
  </si>
  <si>
    <t>Culvert cover</t>
  </si>
  <si>
    <t>Cupboard</t>
  </si>
  <si>
    <t>Dado wall</t>
  </si>
  <si>
    <t>Door frame</t>
  </si>
  <si>
    <t>Draining board</t>
  </si>
  <si>
    <t>Drip Guard</t>
  </si>
  <si>
    <t>Duct cover</t>
  </si>
  <si>
    <t>Dumb waiter</t>
  </si>
  <si>
    <t>Eave and awning</t>
  </si>
  <si>
    <t>Electrical board</t>
  </si>
  <si>
    <t>Electrical meter</t>
  </si>
  <si>
    <t>Extraction cover</t>
  </si>
  <si>
    <t>Filing Cabinet</t>
  </si>
  <si>
    <t>Fire Door(s)</t>
  </si>
  <si>
    <t>Fire fighting equipment</t>
  </si>
  <si>
    <t>Fire hose cupboard lining</t>
  </si>
  <si>
    <t>Floor and walls</t>
  </si>
  <si>
    <t>Floor covering lining</t>
  </si>
  <si>
    <t>Floor Underlay</t>
  </si>
  <si>
    <t>Flower Pot(s)</t>
  </si>
  <si>
    <t>Formwork</t>
  </si>
  <si>
    <t>Furnace door seal</t>
  </si>
  <si>
    <t>Fuse box</t>
  </si>
  <si>
    <t>Fuse cartridge</t>
  </si>
  <si>
    <t>Gas meter</t>
  </si>
  <si>
    <t>Gattic cover</t>
  </si>
  <si>
    <t>Gland Packing</t>
  </si>
  <si>
    <t>Incubator lining</t>
  </si>
  <si>
    <t>Infill panels</t>
  </si>
  <si>
    <t>Lining</t>
  </si>
  <si>
    <t>Lower walls</t>
  </si>
  <si>
    <t>Meter box</t>
  </si>
  <si>
    <t>Old electrical cables</t>
  </si>
  <si>
    <t>Panel(s)</t>
  </si>
  <si>
    <t>Partition Wall(s)</t>
  </si>
  <si>
    <t>Partitions</t>
  </si>
  <si>
    <t>Pebblecrete joint</t>
  </si>
  <si>
    <t>Pie warmer</t>
  </si>
  <si>
    <t>Pipework brackets</t>
  </si>
  <si>
    <t>Pipework flange joints</t>
  </si>
  <si>
    <t>Porch</t>
  </si>
  <si>
    <t>Porch ceiling</t>
  </si>
  <si>
    <t>Porch floor</t>
  </si>
  <si>
    <t>Porch stoop</t>
  </si>
  <si>
    <t>Roof covering</t>
  </si>
  <si>
    <t>Seal</t>
  </si>
  <si>
    <t>Seat</t>
  </si>
  <si>
    <t>Shower Cubicle</t>
  </si>
  <si>
    <t>Stairwell</t>
  </si>
  <si>
    <t>Strapping to eave lining</t>
  </si>
  <si>
    <t>Stump packing</t>
  </si>
  <si>
    <t>Switch (Pitch)</t>
  </si>
  <si>
    <t>Switchboard insulation</t>
  </si>
  <si>
    <t>Switchboard internal wall linings</t>
  </si>
  <si>
    <t>Switchboard Lining</t>
  </si>
  <si>
    <t>To beam</t>
  </si>
  <si>
    <t>To walls</t>
  </si>
  <si>
    <t>Trolley</t>
  </si>
  <si>
    <t>Upper wall(s)</t>
  </si>
  <si>
    <t>Valve</t>
  </si>
  <si>
    <t>Vent</t>
  </si>
  <si>
    <t>Vent cover</t>
  </si>
  <si>
    <t>Wall lining</t>
  </si>
  <si>
    <t>Wall strapping</t>
  </si>
  <si>
    <t>Walls and ceiling</t>
  </si>
  <si>
    <t>DoT</t>
  </si>
  <si>
    <t>DJCS</t>
  </si>
  <si>
    <t>DJPR</t>
  </si>
  <si>
    <t>Department of Justice and Community Safety</t>
  </si>
  <si>
    <t>Department of Jobs, Precincts and Regions</t>
  </si>
  <si>
    <t>Department of Transport</t>
  </si>
  <si>
    <t>DPS</t>
  </si>
  <si>
    <t>Department of Parliamentary Services</t>
  </si>
  <si>
    <t>Estimated Year Built</t>
  </si>
  <si>
    <t> Accommodation unit </t>
  </si>
  <si>
    <t> Building nursery </t>
  </si>
  <si>
    <t> Bus shelter </t>
  </si>
  <si>
    <t> Farm annexe </t>
  </si>
  <si>
    <t> Farm depot house </t>
  </si>
  <si>
    <t> Fruit shed </t>
  </si>
  <si>
    <t> Garage </t>
  </si>
  <si>
    <t> Grain storage shed </t>
  </si>
  <si>
    <t> Hay shed </t>
  </si>
  <si>
    <t> Hothouse </t>
  </si>
  <si>
    <t> Housing - Other </t>
  </si>
  <si>
    <t> Office </t>
  </si>
  <si>
    <t> Poultry pen </t>
  </si>
  <si>
    <t> Shed </t>
  </si>
  <si>
    <t> Stables </t>
  </si>
  <si>
    <t> Stockyard </t>
  </si>
  <si>
    <t> Art centre </t>
  </si>
  <si>
    <t> Basketball court </t>
  </si>
  <si>
    <t> Commercial </t>
  </si>
  <si>
    <t> Concert hall </t>
  </si>
  <si>
    <t> Conference centre </t>
  </si>
  <si>
    <t> Film vault </t>
  </si>
  <si>
    <t> Hospital </t>
  </si>
  <si>
    <t> Retail </t>
  </si>
  <si>
    <t> Shop / Kiosk </t>
  </si>
  <si>
    <t> Theatre </t>
  </si>
  <si>
    <t> Visitor centre </t>
  </si>
  <si>
    <t> Workshop </t>
  </si>
  <si>
    <t> Court </t>
  </si>
  <si>
    <t> Juvenile </t>
  </si>
  <si>
    <t> Prison </t>
  </si>
  <si>
    <t> Administration </t>
  </si>
  <si>
    <t> Airbase </t>
  </si>
  <si>
    <t> Ambulance garage </t>
  </si>
  <si>
    <t> Ambulance station </t>
  </si>
  <si>
    <t> Building </t>
  </si>
  <si>
    <t> CFA/MFB </t>
  </si>
  <si>
    <t> Computer centre </t>
  </si>
  <si>
    <t> Crew room </t>
  </si>
  <si>
    <t> Fire pump shed </t>
  </si>
  <si>
    <t> House </t>
  </si>
  <si>
    <t> HQ </t>
  </si>
  <si>
    <t> Other </t>
  </si>
  <si>
    <t> Police Station </t>
  </si>
  <si>
    <t> Residence </t>
  </si>
  <si>
    <t> Shelter shed </t>
  </si>
  <si>
    <t> Toilet </t>
  </si>
  <si>
    <t> Training centre </t>
  </si>
  <si>
    <t> Amenities </t>
  </si>
  <si>
    <t> Apartment </t>
  </si>
  <si>
    <t> Assembly hall </t>
  </si>
  <si>
    <t> Canteen </t>
  </si>
  <si>
    <t> Child care </t>
  </si>
  <si>
    <t> Classroom </t>
  </si>
  <si>
    <t> Community hall </t>
  </si>
  <si>
    <t> Education centre </t>
  </si>
  <si>
    <t> Gymnasium </t>
  </si>
  <si>
    <t> Library </t>
  </si>
  <si>
    <t> Multipurpose hall </t>
  </si>
  <si>
    <t> Pavilion </t>
  </si>
  <si>
    <t> Plant and equipment </t>
  </si>
  <si>
    <t> Plant room </t>
  </si>
  <si>
    <t> Pump house </t>
  </si>
  <si>
    <t> School </t>
  </si>
  <si>
    <t> TAFE </t>
  </si>
  <si>
    <t> Teacher house </t>
  </si>
  <si>
    <t> Control building </t>
  </si>
  <si>
    <t> Depot </t>
  </si>
  <si>
    <t> Museum </t>
  </si>
  <si>
    <t> Transport depot </t>
  </si>
  <si>
    <t> Warehouse </t>
  </si>
  <si>
    <t> Aged Care </t>
  </si>
  <si>
    <t> Bush nursing </t>
  </si>
  <si>
    <t> Community Health Center </t>
  </si>
  <si>
    <t> Day centre </t>
  </si>
  <si>
    <t> Dental clinic </t>
  </si>
  <si>
    <t> Facility </t>
  </si>
  <si>
    <t> Health centre </t>
  </si>
  <si>
    <t> Hostel </t>
  </si>
  <si>
    <t> Nursing home </t>
  </si>
  <si>
    <t> Rehab </t>
  </si>
  <si>
    <t> Specialist clinic </t>
  </si>
  <si>
    <t> Activities shelter </t>
  </si>
  <si>
    <t> Curator house </t>
  </si>
  <si>
    <t> Flat </t>
  </si>
  <si>
    <t> Housing - disability </t>
  </si>
  <si>
    <t> Lodge </t>
  </si>
  <si>
    <t> Communication tower </t>
  </si>
  <si>
    <t> Control room </t>
  </si>
  <si>
    <t> Radio tower </t>
  </si>
  <si>
    <t> Business interruption </t>
  </si>
  <si>
    <t> Consulting rooms </t>
  </si>
  <si>
    <t> Head office </t>
  </si>
  <si>
    <t> Main building </t>
  </si>
  <si>
    <t> Ranger's office </t>
  </si>
  <si>
    <t> Reception </t>
  </si>
  <si>
    <t> Band room </t>
  </si>
  <si>
    <t> Children’s centre </t>
  </si>
  <si>
    <t> Community centre </t>
  </si>
  <si>
    <t> Gallery </t>
  </si>
  <si>
    <t> Hall </t>
  </si>
  <si>
    <t> Information centre </t>
  </si>
  <si>
    <t> Leisure centre </t>
  </si>
  <si>
    <t> Recreation and sport </t>
  </si>
  <si>
    <t> Recreation centre </t>
  </si>
  <si>
    <t> Rotunda </t>
  </si>
  <si>
    <t> Tennis pavilion </t>
  </si>
  <si>
    <t> Train station </t>
  </si>
  <si>
    <t> Youth camp </t>
  </si>
  <si>
    <t> Below Ground asset/Level crossing </t>
  </si>
  <si>
    <t> Bicycle enclosure </t>
  </si>
  <si>
    <t> Control centre (train network) </t>
  </si>
  <si>
    <t> Control centre (tram network) </t>
  </si>
  <si>
    <t> Train maintenance facility </t>
  </si>
  <si>
    <t> Train station precinct </t>
  </si>
  <si>
    <t> Train yard </t>
  </si>
  <si>
    <t> Tram depot </t>
  </si>
  <si>
    <t> Tram substation </t>
  </si>
  <si>
    <t> Building room </t>
  </si>
  <si>
    <t> Research facility </t>
  </si>
  <si>
    <t>ACM Product Group</t>
  </si>
  <si>
    <t>ACM Product Type</t>
  </si>
  <si>
    <t>Sample Result</t>
  </si>
  <si>
    <t>Architrave</t>
  </si>
  <si>
    <t>Baffle</t>
  </si>
  <si>
    <t>Basin</t>
  </si>
  <si>
    <t>Batten(s)</t>
  </si>
  <si>
    <t>Chiller unit</t>
  </si>
  <si>
    <t>Cistern</t>
  </si>
  <si>
    <t>Clearstorey Eaves</t>
  </si>
  <si>
    <t>Core sample</t>
  </si>
  <si>
    <t>Cornices</t>
  </si>
  <si>
    <t>Cover</t>
  </si>
  <si>
    <t>Drain cover</t>
  </si>
  <si>
    <t>Dust</t>
  </si>
  <si>
    <t>End caps</t>
  </si>
  <si>
    <t>Engine/motor</t>
  </si>
  <si>
    <t>Fire curtain</t>
  </si>
  <si>
    <t>Fire door frame</t>
  </si>
  <si>
    <t>Flashing</t>
  </si>
  <si>
    <t>Floor (below screed)</t>
  </si>
  <si>
    <t>Floor Cavity/void</t>
  </si>
  <si>
    <t>Framework (Timber/metal)</t>
  </si>
  <si>
    <t>Furnace</t>
  </si>
  <si>
    <t>Gatic</t>
  </si>
  <si>
    <t>Glove</t>
  </si>
  <si>
    <t>Gutter debris (from AC Roof)</t>
  </si>
  <si>
    <t>Header tank</t>
  </si>
  <si>
    <t>Incubator</t>
  </si>
  <si>
    <t>Kickboards</t>
  </si>
  <si>
    <t>Light fitting</t>
  </si>
  <si>
    <t>Motor room - Debris on floor</t>
  </si>
  <si>
    <t>Overspray</t>
  </si>
  <si>
    <t>Parapet wall</t>
  </si>
  <si>
    <t>Penetration sealant</t>
  </si>
  <si>
    <t>Pipe bracket</t>
  </si>
  <si>
    <t>Pipework joint</t>
  </si>
  <si>
    <t>Plinth</t>
  </si>
  <si>
    <t>Return air plenum</t>
  </si>
  <si>
    <t>Sewer Pit</t>
  </si>
  <si>
    <t>Shower screen</t>
  </si>
  <si>
    <t>Sink unit</t>
  </si>
  <si>
    <t>Strapping/beading</t>
  </si>
  <si>
    <t>Strapping (Walls/ceiling etc.)</t>
  </si>
  <si>
    <t>Suspect Cement Sheet</t>
  </si>
  <si>
    <t>Suspended ceiling</t>
  </si>
  <si>
    <t>Table top</t>
  </si>
  <si>
    <t>Tile backing</t>
  </si>
  <si>
    <t>Underside of bath</t>
  </si>
  <si>
    <t>Wall Panelling</t>
  </si>
  <si>
    <t>Window putty</t>
  </si>
  <si>
    <t>Gasket, friction products and adhesives (f)</t>
  </si>
  <si>
    <t xml:space="preserve">ACM GROUP NAME EXCEL </t>
  </si>
  <si>
    <t>Department of Premier and Cabinet (DPC)</t>
  </si>
  <si>
    <t>Shrine Of Remembrance Trust</t>
  </si>
  <si>
    <t>Independent Broad-Based Anti-Corruption Commission</t>
  </si>
  <si>
    <t>Queen Victoria Women's Centre Trust</t>
  </si>
  <si>
    <t>Victorian Aboriginal Economic Board</t>
  </si>
  <si>
    <t>Victorian Aboriginal Heritage Council</t>
  </si>
  <si>
    <t>Victorian Anzac Centenary Committee</t>
  </si>
  <si>
    <t>Victorian Design Review Panel</t>
  </si>
  <si>
    <t>Victorian Multicultural Commission</t>
  </si>
  <si>
    <t>Victorian Public Sector Commission</t>
  </si>
  <si>
    <t>Victorian Veterans Council</t>
  </si>
  <si>
    <t>Victorian Interpreting and Translating Service (VITS)</t>
  </si>
  <si>
    <t>Victorian Public Sector Commission Advisory Board</t>
  </si>
  <si>
    <t>Office of the Victorian Information Commissioner</t>
  </si>
  <si>
    <t>Office Of The Public Interest Monitor</t>
  </si>
  <si>
    <t>Latrobe Valley Authority</t>
  </si>
  <si>
    <t>Office Of The Victorian Electoral Commissioner</t>
  </si>
  <si>
    <t>Victorian Traditional Owners Funds Ltd</t>
  </si>
  <si>
    <t>Infrastructure Victoria</t>
  </si>
  <si>
    <t>Electoral Boundaries Commission</t>
  </si>
  <si>
    <t>Australia Day Committee (Victoria)</t>
  </si>
  <si>
    <t>Public Records Advisory Council</t>
  </si>
  <si>
    <t>Industrial Relations Victoria</t>
  </si>
  <si>
    <t>Mental Health Royal Commission Secretariat</t>
  </si>
  <si>
    <t>Office of Women</t>
  </si>
  <si>
    <t>Office for Youth</t>
  </si>
  <si>
    <t>Victorian Centre for Data Insights</t>
  </si>
  <si>
    <t>Department of Education and Training (DET)</t>
  </si>
  <si>
    <t>Victorian Institute Of Teaching</t>
  </si>
  <si>
    <t>Judicial College Of Victoria</t>
  </si>
  <si>
    <t>Victorian School Building Authority (VSBA)</t>
  </si>
  <si>
    <t>Ballarat ACFE</t>
  </si>
  <si>
    <t>Diamond Creek ACFE</t>
  </si>
  <si>
    <t>Wangaratta ACFE</t>
  </si>
  <si>
    <t>Warrnambool ACFE</t>
  </si>
  <si>
    <t>Melbourne ACFE</t>
  </si>
  <si>
    <t>Orbost ACFE</t>
  </si>
  <si>
    <t>Castlemaine ACFE</t>
  </si>
  <si>
    <t>Creswick ACFE</t>
  </si>
  <si>
    <t>Wodonga ACFE</t>
  </si>
  <si>
    <t>Victorian Curriculum And Assessment Authority</t>
  </si>
  <si>
    <t>Victorian Registration &amp; Qualifications Authority</t>
  </si>
  <si>
    <t>Barwon South Western Regional Council Of ACFE</t>
  </si>
  <si>
    <t>GOTEC Limited</t>
  </si>
  <si>
    <t>Disciplinary Appeals Board</t>
  </si>
  <si>
    <t>Adult Community And Further Education Board</t>
  </si>
  <si>
    <t>Doncaster Secondary College</t>
  </si>
  <si>
    <t>Pascoe Vale Primary School</t>
  </si>
  <si>
    <t>Pascoe Vale South Primary School</t>
  </si>
  <si>
    <t>Strathmore Secondary College</t>
  </si>
  <si>
    <t>Tinternvale Primary School</t>
  </si>
  <si>
    <t>Tobruk Street Primary School - Morwell</t>
  </si>
  <si>
    <t>Berwick Secondary College</t>
  </si>
  <si>
    <t>Beulah Primary School</t>
  </si>
  <si>
    <t>Beveridge Primary School</t>
  </si>
  <si>
    <t>Beverley Hills Primary School</t>
  </si>
  <si>
    <t>Patterson Lakes Primary School</t>
  </si>
  <si>
    <t>Patterson River Secondary College</t>
  </si>
  <si>
    <t>Kingsbury Primary School</t>
  </si>
  <si>
    <t>Streeton Primary School</t>
  </si>
  <si>
    <t>Sunbury And Macedon Ranges Specialist School</t>
  </si>
  <si>
    <t>Derinya Primary School</t>
  </si>
  <si>
    <t>Derrinallum P-12 College</t>
  </si>
  <si>
    <t>Sunbury College</t>
  </si>
  <si>
    <t>Pembroke Primary School</t>
  </si>
  <si>
    <t>Penders Grove Primary School</t>
  </si>
  <si>
    <t>Sunbury Downs Secondary College</t>
  </si>
  <si>
    <t>Sunbury Heights Primary School</t>
  </si>
  <si>
    <t>Thomastown Secondary College</t>
  </si>
  <si>
    <t>Thomastown West Primary School</t>
  </si>
  <si>
    <t>Thoona Primary School</t>
  </si>
  <si>
    <t>Thornbury High School</t>
  </si>
  <si>
    <t>Peninsula Specialist College</t>
  </si>
  <si>
    <t>Penshurst Primary School</t>
  </si>
  <si>
    <t>Pentland Primary School</t>
  </si>
  <si>
    <t>Dimboola Memorial Secondary College</t>
  </si>
  <si>
    <t>Montmorency Secondary College</t>
  </si>
  <si>
    <t>Montmorency South Primary School</t>
  </si>
  <si>
    <t>Peranbin Primary College</t>
  </si>
  <si>
    <t>Perseverance Primary School</t>
  </si>
  <si>
    <t>Peter Lalor Secondary College</t>
  </si>
  <si>
    <t>Kingsley Park Primary School</t>
  </si>
  <si>
    <t>Kingston Heath Primary School</t>
  </si>
  <si>
    <t>Kingsville Primary School</t>
  </si>
  <si>
    <t>Montpellier Primary School</t>
  </si>
  <si>
    <t>Montrose Primary School</t>
  </si>
  <si>
    <t>Moolap Primary School</t>
  </si>
  <si>
    <t>Kingswood Primary School</t>
  </si>
  <si>
    <t>Moomba Park Primary School</t>
  </si>
  <si>
    <t>Devon Meadows Primary School</t>
  </si>
  <si>
    <t>Pearcedale Primary School</t>
  </si>
  <si>
    <t>Moonambel Primary School</t>
  </si>
  <si>
    <t>Moonee Ponds Primary School</t>
  </si>
  <si>
    <t>Phoenix P-12 Community College</t>
  </si>
  <si>
    <t>Devon North Primary School</t>
  </si>
  <si>
    <t>Dhurringile Primary School</t>
  </si>
  <si>
    <t>Diamond Creek East Primary School</t>
  </si>
  <si>
    <t>Diamond Creek Primary School</t>
  </si>
  <si>
    <t>Diamond Valley College</t>
  </si>
  <si>
    <t>Diamond Valley Special Developmental School</t>
  </si>
  <si>
    <t>Diggers Rest Primary School</t>
  </si>
  <si>
    <t>Moonee Ponds West Primary School</t>
  </si>
  <si>
    <t>Moorabbin Primary School</t>
  </si>
  <si>
    <t>Kismet Park Primary School</t>
  </si>
  <si>
    <t>Knox Central Primary School</t>
  </si>
  <si>
    <t>Moorooduc Primary School</t>
  </si>
  <si>
    <t>Mooroolbark College</t>
  </si>
  <si>
    <t>Dimboola Primary School</t>
  </si>
  <si>
    <t>Knox Gardens Primary School</t>
  </si>
  <si>
    <t>Knox Park Primary School</t>
  </si>
  <si>
    <t>Kongwak Primary School</t>
  </si>
  <si>
    <t>Koo Wee Rup Secondary College</t>
  </si>
  <si>
    <t>Rubicon Outdoor Centre</t>
  </si>
  <si>
    <t>Rupanyup Primary School</t>
  </si>
  <si>
    <t>Rushworth P-12 College</t>
  </si>
  <si>
    <t>Thornbury Primary School</t>
  </si>
  <si>
    <t>Thorpdale Primary School</t>
  </si>
  <si>
    <t>Timbarra P-9 College</t>
  </si>
  <si>
    <t>Bentleigh Secondary College</t>
  </si>
  <si>
    <t>Bentleigh West Primary School</t>
  </si>
  <si>
    <t>Berendale School</t>
  </si>
  <si>
    <t>Billanook Primary School</t>
  </si>
  <si>
    <t>Bimbadeen Heights Primary School</t>
  </si>
  <si>
    <t>Debney Meadows Primary School</t>
  </si>
  <si>
    <t>Dederang Primary School</t>
  </si>
  <si>
    <t>Deepdene Primary School</t>
  </si>
  <si>
    <t>Deer Park North Primary School</t>
  </si>
  <si>
    <t>Dinjerra Primary School</t>
  </si>
  <si>
    <t>Dixons Creek Primary School</t>
  </si>
  <si>
    <t>Don Valley Primary School</t>
  </si>
  <si>
    <t>Donald High School</t>
  </si>
  <si>
    <t>Parkwood Green Primary School</t>
  </si>
  <si>
    <t>Pascoe Vale Girls Secondary College</t>
  </si>
  <si>
    <t>Ruskin Park Primary School</t>
  </si>
  <si>
    <t>Stratford Primary School</t>
  </si>
  <si>
    <t>Strathaird Primary School</t>
  </si>
  <si>
    <t>Timboon P-12 School</t>
  </si>
  <si>
    <t>Berwick Chase Primary School</t>
  </si>
  <si>
    <t>Berwick Fields Primary School</t>
  </si>
  <si>
    <t>Berwick Lodge Primary School</t>
  </si>
  <si>
    <t>Bethal Primary School</t>
  </si>
  <si>
    <t>Bethanga Primary School</t>
  </si>
  <si>
    <t>Donald Primary School</t>
  </si>
  <si>
    <t>Donburn Primary School</t>
  </si>
  <si>
    <t>Doncaster Gardens Primary School</t>
  </si>
  <si>
    <t>Strathewen Primary School</t>
  </si>
  <si>
    <t>Strathfieldsaye Primary School</t>
  </si>
  <si>
    <t>Strathmerton Primary School</t>
  </si>
  <si>
    <t>Strathmore North Primary School</t>
  </si>
  <si>
    <t>Berwick Primary School</t>
  </si>
  <si>
    <t>Big Hill Primary School</t>
  </si>
  <si>
    <t>Deer Park West Primary School</t>
  </si>
  <si>
    <t>Delacombe Primary School</t>
  </si>
  <si>
    <t>Doncaster Primary School</t>
  </si>
  <si>
    <t>Pascoe Vale North Primary School</t>
  </si>
  <si>
    <t>Strathmore Primary School</t>
  </si>
  <si>
    <t>Timor Primary School</t>
  </si>
  <si>
    <t>Andersons Creek Primary School</t>
  </si>
  <si>
    <t>Ballarat Secondary College</t>
  </si>
  <si>
    <t>Ballarat Specialist School</t>
  </si>
  <si>
    <t>Myrtleford P-12 College</t>
  </si>
  <si>
    <t>Nagambie Primary School</t>
  </si>
  <si>
    <t>Nambrok Denison Primary School</t>
  </si>
  <si>
    <t>Balliang East Primary School</t>
  </si>
  <si>
    <t>Balmoral K-12 Community College</t>
  </si>
  <si>
    <t>Frankston Primary School</t>
  </si>
  <si>
    <t>Frankston Special Developmental School</t>
  </si>
  <si>
    <t>Nangiloc Colignan and District Primary School</t>
  </si>
  <si>
    <t>Nanneella Estate Primary School</t>
  </si>
  <si>
    <t>Napoleons Primary School</t>
  </si>
  <si>
    <t>Nar Nar Goon Primary School</t>
  </si>
  <si>
    <t>Naranga Special School</t>
  </si>
  <si>
    <t>Frankston East Primary School</t>
  </si>
  <si>
    <t>Frankston Heights Primary School</t>
  </si>
  <si>
    <t>Frankston High School</t>
  </si>
  <si>
    <t>Furlong Park School For Deaf Children</t>
  </si>
  <si>
    <t>Fyans Park Primary School</t>
  </si>
  <si>
    <t>Gardenvale Primary School</t>
  </si>
  <si>
    <t>Garfield Primary School</t>
  </si>
  <si>
    <t>Geelong East Primary School</t>
  </si>
  <si>
    <t>Geelong High School</t>
  </si>
  <si>
    <t>Warragul Regional College</t>
  </si>
  <si>
    <t>Bairnsdale Secondary College</t>
  </si>
  <si>
    <t>Bairnsdale West Primary School</t>
  </si>
  <si>
    <t>Ballam Park Primary School</t>
  </si>
  <si>
    <t>Geelong South Primary School</t>
  </si>
  <si>
    <t>George Street Primary School - Hamilton</t>
  </si>
  <si>
    <t>Mentone Park Primary School</t>
  </si>
  <si>
    <t>Mentone Primary School</t>
  </si>
  <si>
    <t>Warrandyte High School</t>
  </si>
  <si>
    <t>Warrandyte Primary School</t>
  </si>
  <si>
    <t>Ballarat High School</t>
  </si>
  <si>
    <t>Ballarat North Primary School</t>
  </si>
  <si>
    <t>Menzies Creek Primary School</t>
  </si>
  <si>
    <t>Warrenheip Primary School</t>
  </si>
  <si>
    <t>Warringa Park School</t>
  </si>
  <si>
    <t>Ashwood School</t>
  </si>
  <si>
    <t>Ashwood Secondary College</t>
  </si>
  <si>
    <t>Merbein P-10 College</t>
  </si>
  <si>
    <t>Warrnambool College</t>
  </si>
  <si>
    <t>Meredith Primary School</t>
  </si>
  <si>
    <t>Merino Consolidated School</t>
  </si>
  <si>
    <t>Mooroolbark East Primary School</t>
  </si>
  <si>
    <t>Merri Creek Primary School</t>
  </si>
  <si>
    <t>Mooroopna North Primary School</t>
  </si>
  <si>
    <t>Mooroopna Park Primary School</t>
  </si>
  <si>
    <t>Merrigum Primary School</t>
  </si>
  <si>
    <t>Merrijig Primary School</t>
  </si>
  <si>
    <t>Merrivale Primary School</t>
  </si>
  <si>
    <t>Metung Primary School</t>
  </si>
  <si>
    <t>Mickleham Primary School</t>
  </si>
  <si>
    <t>Middle Indigo Primary School</t>
  </si>
  <si>
    <t>Middle Park Primary School</t>
  </si>
  <si>
    <t>Milawa Primary School</t>
  </si>
  <si>
    <t>Mildura Primary School</t>
  </si>
  <si>
    <t>Mooroopna Primary School</t>
  </si>
  <si>
    <t>Mooroopna Secondary College</t>
  </si>
  <si>
    <t>Aspendale Gardens Primary School</t>
  </si>
  <si>
    <t>Aspendale Primary School</t>
  </si>
  <si>
    <t>Moyhu Primary School</t>
  </si>
  <si>
    <t>Mulgrave Primary School</t>
  </si>
  <si>
    <t>Morang South Primary School</t>
  </si>
  <si>
    <t>Mullauna Secondary College</t>
  </si>
  <si>
    <t>Mordialloc Beach Primary School</t>
  </si>
  <si>
    <t>Mordialloc College</t>
  </si>
  <si>
    <t>Ballarat Primary School (Dana Street)</t>
  </si>
  <si>
    <t>Mullum Primary School</t>
  </si>
  <si>
    <t>Murchison Primary School</t>
  </si>
  <si>
    <t>Murrabit Group School</t>
  </si>
  <si>
    <t>Murrayville Community College</t>
  </si>
  <si>
    <t>Amsleigh Park Primary School</t>
  </si>
  <si>
    <t>Anakie Primary School</t>
  </si>
  <si>
    <t>Murrumbeena Primary School</t>
  </si>
  <si>
    <t>Murtoa College</t>
  </si>
  <si>
    <t>Myrniong Primary School</t>
  </si>
  <si>
    <t>Mount Clear Primary School</t>
  </si>
  <si>
    <t>Mount Dandenong Primary School</t>
  </si>
  <si>
    <t>Mount Duneed Regional Primary School</t>
  </si>
  <si>
    <t>Mount Egerton Primary School</t>
  </si>
  <si>
    <t>Mount Eliza North Primary School</t>
  </si>
  <si>
    <t>Mount Eliza Primary School</t>
  </si>
  <si>
    <t>Mount Eliza Secondary College</t>
  </si>
  <si>
    <t>Mount View Primary School</t>
  </si>
  <si>
    <t>Mount Erin Secondary College</t>
  </si>
  <si>
    <t>Jacana School for Autism</t>
  </si>
  <si>
    <t>Jackson School</t>
  </si>
  <si>
    <t>James Cook Primary School</t>
  </si>
  <si>
    <t>Mount Waverley North Primary School</t>
  </si>
  <si>
    <t>Mount Waverley Primary School</t>
  </si>
  <si>
    <t>Mount Waverley Secondary College</t>
  </si>
  <si>
    <t>Hume Valley School</t>
  </si>
  <si>
    <t>Huntingdale Primary School</t>
  </si>
  <si>
    <t>Mount Evelyn Primary School</t>
  </si>
  <si>
    <t>Mount Macedon Primary School</t>
  </si>
  <si>
    <t>Mount Martha Primary School</t>
  </si>
  <si>
    <t>Huntly Primary School</t>
  </si>
  <si>
    <t>Hurstbridge Primary School</t>
  </si>
  <si>
    <t>Inglewood Primary School</t>
  </si>
  <si>
    <t>Invergordon Primary School</t>
  </si>
  <si>
    <t>Movelle Primary School</t>
  </si>
  <si>
    <t>Mount Pleasant Primary School</t>
  </si>
  <si>
    <t>Mount Pleasant Road Nunawading Primary School</t>
  </si>
  <si>
    <t>Inverleigh Primary School</t>
  </si>
  <si>
    <t>Inverloch Primary School</t>
  </si>
  <si>
    <t>Invermay Primary School</t>
  </si>
  <si>
    <t>Iramoo Primary School</t>
  </si>
  <si>
    <t>Irymple Primary School</t>
  </si>
  <si>
    <t>Irymple Secondary College</t>
  </si>
  <si>
    <t>Irymple South Primary School</t>
  </si>
  <si>
    <t>Ivanhoe East Primary School</t>
  </si>
  <si>
    <t>Ivanhoe Primary School</t>
  </si>
  <si>
    <t>Clarinda Primary School</t>
  </si>
  <si>
    <t>Cohuna Consolidated School</t>
  </si>
  <si>
    <t>Essendon East Keilor District College</t>
  </si>
  <si>
    <t>Gladstone Views Primary School</t>
  </si>
  <si>
    <t>Koonung Secondary College</t>
  </si>
  <si>
    <t>Koorlong Primary School</t>
  </si>
  <si>
    <t>Koroit And District Primary School</t>
  </si>
  <si>
    <t>Korumburra Primary School</t>
  </si>
  <si>
    <t>Dandenong High School</t>
  </si>
  <si>
    <t>Dandenong North Primary School</t>
  </si>
  <si>
    <t>Clarkefield Primary School</t>
  </si>
  <si>
    <t>Cohuna Secondary College</t>
  </si>
  <si>
    <t>Coimadai Primary School</t>
  </si>
  <si>
    <t>Narracan Primary School</t>
  </si>
  <si>
    <t>Clayton North Primary School</t>
  </si>
  <si>
    <t>Colac Primary School</t>
  </si>
  <si>
    <t>Colac Secondary College</t>
  </si>
  <si>
    <t>Dandenong Primary School</t>
  </si>
  <si>
    <t>Dandenong South Primary School</t>
  </si>
  <si>
    <t>Narrawong District Primary School</t>
  </si>
  <si>
    <t>Narre Warren North Primary School</t>
  </si>
  <si>
    <t>Clayton South Primary School</t>
  </si>
  <si>
    <t>Dandenong Valley Special Developmental School</t>
  </si>
  <si>
    <t>Narre Warren South P-12 College</t>
  </si>
  <si>
    <t>Clifton Hill Primary School</t>
  </si>
  <si>
    <t>Clunes Primary School</t>
  </si>
  <si>
    <t>Clyde Primary School</t>
  </si>
  <si>
    <t>Dandenong West Primary School</t>
  </si>
  <si>
    <t>Darley Primary School</t>
  </si>
  <si>
    <t>Nathalia Primary School</t>
  </si>
  <si>
    <t>Essendon North Primary School</t>
  </si>
  <si>
    <t>Essendon Primary School</t>
  </si>
  <si>
    <t>Essex Heights Primary School</t>
  </si>
  <si>
    <t>Euroa Primary School</t>
  </si>
  <si>
    <t>Nathalia Secondary College</t>
  </si>
  <si>
    <t>Natimuk Primary School</t>
  </si>
  <si>
    <t>Chum Creek Primary School</t>
  </si>
  <si>
    <t>Churchill North Primary School</t>
  </si>
  <si>
    <t>Churchill Primary School</t>
  </si>
  <si>
    <t>Coatesville Primary School</t>
  </si>
  <si>
    <t>Cobains Primary School</t>
  </si>
  <si>
    <t>Cobden Primary School</t>
  </si>
  <si>
    <t>Gilmore College For Girls</t>
  </si>
  <si>
    <t>Natte Yallock Primary School</t>
  </si>
  <si>
    <t>Navarre Primary School</t>
  </si>
  <si>
    <t>Neerim District Rural Primary School</t>
  </si>
  <si>
    <t>Neerim District Secondary College</t>
  </si>
  <si>
    <t>Cobram Secondary College</t>
  </si>
  <si>
    <t>Coburg High School</t>
  </si>
  <si>
    <t>Coburg North Primary School</t>
  </si>
  <si>
    <t>Neerim South Primary School</t>
  </si>
  <si>
    <t>Nelson Park School</t>
  </si>
  <si>
    <t>Weeden Heights Primary School</t>
  </si>
  <si>
    <t>Weeroona College Bendigo</t>
  </si>
  <si>
    <t>Wellington Secondary College</t>
  </si>
  <si>
    <t>Coburg Primary School</t>
  </si>
  <si>
    <t>Darraweit Guim Primary School</t>
  </si>
  <si>
    <t>Nepean Special School</t>
  </si>
  <si>
    <t>New Gisborne Primary School</t>
  </si>
  <si>
    <t>Newborough East Primary School</t>
  </si>
  <si>
    <t>Minyip Primary School</t>
  </si>
  <si>
    <t>Mirboo North Primary School</t>
  </si>
  <si>
    <t>Mirboo North Secondary College</t>
  </si>
  <si>
    <t>Mitcham Primary School</t>
  </si>
  <si>
    <t>Moe (Albert Street) Primary School</t>
  </si>
  <si>
    <t>Welshpool and District Primary School</t>
  </si>
  <si>
    <t>Coburg Special Developmental School</t>
  </si>
  <si>
    <t>Coburg West Primary School</t>
  </si>
  <si>
    <t>Dartmoor Primary School</t>
  </si>
  <si>
    <t>Daylesford Primary School</t>
  </si>
  <si>
    <t>Daylesford Secondary College</t>
  </si>
  <si>
    <t>Girgarre Primary School</t>
  </si>
  <si>
    <t>Gisborne Primary School</t>
  </si>
  <si>
    <t>Gisborne Secondary College</t>
  </si>
  <si>
    <t>Newborough Primary School</t>
  </si>
  <si>
    <t>Newcomb Park Primary School</t>
  </si>
  <si>
    <t>Currawa Primary School</t>
  </si>
  <si>
    <t>Dallas Brooks Community Primary School</t>
  </si>
  <si>
    <t>Moe (South Street) Primary School</t>
  </si>
  <si>
    <t>Monbulk College</t>
  </si>
  <si>
    <t>Welton Primary School</t>
  </si>
  <si>
    <t>Wembley Primary School</t>
  </si>
  <si>
    <t>Wendouree Primary School</t>
  </si>
  <si>
    <t>Deans Marsh Primary School</t>
  </si>
  <si>
    <t>Gladstone Park Primary School</t>
  </si>
  <si>
    <t>Werribee Secondary College</t>
  </si>
  <si>
    <t>Werrimull P-12 School</t>
  </si>
  <si>
    <t>Monbulk Primary School</t>
  </si>
  <si>
    <t>Monmia Primary School</t>
  </si>
  <si>
    <t>Mont Albert Primary School</t>
  </si>
  <si>
    <t>Coburn Primary School</t>
  </si>
  <si>
    <t>Cockatoo Primary School</t>
  </si>
  <si>
    <t>Gladstone Park Secondary College</t>
  </si>
  <si>
    <t>Montague Continuing Education Centre</t>
  </si>
  <si>
    <t>Monterey Secondary College</t>
  </si>
  <si>
    <t>Epping Secondary College</t>
  </si>
  <si>
    <t>Epping Views Primary School</t>
  </si>
  <si>
    <t>Korumburra Secondary College</t>
  </si>
  <si>
    <t>Montmorency Primary School</t>
  </si>
  <si>
    <t>Epsom Primary School</t>
  </si>
  <si>
    <t>Eskdale Primary School</t>
  </si>
  <si>
    <t>Koondrook Primary School</t>
  </si>
  <si>
    <t>Kunyung Primary School</t>
  </si>
  <si>
    <t>Kurnai College</t>
  </si>
  <si>
    <t>Werribee Primary School</t>
  </si>
  <si>
    <t>Kurunjang Secondary College</t>
  </si>
  <si>
    <t>Kyabram P-12 College</t>
  </si>
  <si>
    <t>Albany Rise Primary School</t>
  </si>
  <si>
    <t>Camelot Rise Primary School</t>
  </si>
  <si>
    <t>Southmoor Primary School</t>
  </si>
  <si>
    <t>Sovereign Hill School</t>
  </si>
  <si>
    <t>Specimen Hill Primary School</t>
  </si>
  <si>
    <t>Spensley Street Primary School</t>
  </si>
  <si>
    <t>Spotswood Primary School</t>
  </si>
  <si>
    <t>Wantirna College</t>
  </si>
  <si>
    <t>Wantirna Primary School</t>
  </si>
  <si>
    <t>Wantirna South Primary School</t>
  </si>
  <si>
    <t>Waratah Special Developmental School</t>
  </si>
  <si>
    <t>Warburton Primary School</t>
  </si>
  <si>
    <t>Braybrook College</t>
  </si>
  <si>
    <t>Brentwood Park Primary School</t>
  </si>
  <si>
    <t>Brentwood Secondary College</t>
  </si>
  <si>
    <t>Albert Park College</t>
  </si>
  <si>
    <t>Albion North Primary School</t>
  </si>
  <si>
    <t>Albion Primary School</t>
  </si>
  <si>
    <t>Aldercourt Primary School</t>
  </si>
  <si>
    <t>Mossgiel Park Primary School</t>
  </si>
  <si>
    <t>Mount Alexander 7-12 College</t>
  </si>
  <si>
    <t>Mount Beauty Primary School</t>
  </si>
  <si>
    <t>Mount Beauty Secondary College</t>
  </si>
  <si>
    <t>Mount Blowhard Primary School</t>
  </si>
  <si>
    <t>Spring Gully Primary School</t>
  </si>
  <si>
    <t>Spring Parks Primary School</t>
  </si>
  <si>
    <t>Warracknabeal Primary School</t>
  </si>
  <si>
    <t>Warracknabeal Secondary College</t>
  </si>
  <si>
    <t>Yackandandah Primary School</t>
  </si>
  <si>
    <t>Yallourn North Primary School</t>
  </si>
  <si>
    <t>Mount Clear College</t>
  </si>
  <si>
    <t>Tooborac Primary School</t>
  </si>
  <si>
    <t>Toolangi Primary School</t>
  </si>
  <si>
    <t>Toolern Vale and District Primary School</t>
  </si>
  <si>
    <t>Yandoit Primary School</t>
  </si>
  <si>
    <t>Yarra Glen Primary School</t>
  </si>
  <si>
    <t>Yarra Hills Secondary College</t>
  </si>
  <si>
    <t>Alexandra Primary School</t>
  </si>
  <si>
    <t>Toongabbie Primary School</t>
  </si>
  <si>
    <t>Tooradin Primary School</t>
  </si>
  <si>
    <t>Toorak Primary School</t>
  </si>
  <si>
    <t>Toorloo Arm Primary School</t>
  </si>
  <si>
    <t>Torquay P-6 College</t>
  </si>
  <si>
    <t>Trafalgar High School</t>
  </si>
  <si>
    <t>Warracknabeal Special Developmental School</t>
  </si>
  <si>
    <t>Warragul North Primary School</t>
  </si>
  <si>
    <t>Trafalgar Primary School</t>
  </si>
  <si>
    <t>Traralgon (Kosciuszko Street) Primary School</t>
  </si>
  <si>
    <t>Warragul Primary School</t>
  </si>
  <si>
    <t>Alexandra Secondary College</t>
  </si>
  <si>
    <t>Northcote High School</t>
  </si>
  <si>
    <t>Northcote Primary School</t>
  </si>
  <si>
    <t>Northern Bay P-12 College</t>
  </si>
  <si>
    <t>Traralgon (Liddiard Road) Primary School</t>
  </si>
  <si>
    <t>Warrnambool East Primary School</t>
  </si>
  <si>
    <t>Yarra Junction Primary School</t>
  </si>
  <si>
    <t>Yarra Primary School</t>
  </si>
  <si>
    <t>Yarra Ranges Special Developmental School</t>
  </si>
  <si>
    <t>Benalla P-12 College</t>
  </si>
  <si>
    <t>Briagolong Primary School</t>
  </si>
  <si>
    <t>Traralgon (Stockdale Road) Primary School</t>
  </si>
  <si>
    <t>Traralgon College</t>
  </si>
  <si>
    <t>Warrnambool Primary School</t>
  </si>
  <si>
    <t>Briar Hill Primary School</t>
  </si>
  <si>
    <t>Bridgewater Primary School</t>
  </si>
  <si>
    <t>Bright P-12 College</t>
  </si>
  <si>
    <t>Brighton Beach Primary School</t>
  </si>
  <si>
    <t>Brighton Primary School</t>
  </si>
  <si>
    <t>Brighton Secondary College</t>
  </si>
  <si>
    <t>Northern College of the Arts and Technology</t>
  </si>
  <si>
    <t>Traralgon South Primary School</t>
  </si>
  <si>
    <t>Trawalla Primary School</t>
  </si>
  <si>
    <t>Tucker Road Bentleigh Primary School</t>
  </si>
  <si>
    <t>Tullamarine Primary School</t>
  </si>
  <si>
    <t>Warrnambool Special Developmental School</t>
  </si>
  <si>
    <t>Warrnambool West Primary School</t>
  </si>
  <si>
    <t>Watsonia Heights Primary School</t>
  </si>
  <si>
    <t>Broadford Primary School</t>
  </si>
  <si>
    <t>Victorian College For The Deaf</t>
  </si>
  <si>
    <t>Victorian School Of Languages</t>
  </si>
  <si>
    <t>Viewbank College</t>
  </si>
  <si>
    <t>Watsonia North Primary School</t>
  </si>
  <si>
    <t>Watsonia Primary School</t>
  </si>
  <si>
    <t>Wattle Glen Primary School</t>
  </si>
  <si>
    <t>Wattle Park Primary School</t>
  </si>
  <si>
    <t>Wattle View Primary School</t>
  </si>
  <si>
    <t>Broadford Secondary College</t>
  </si>
  <si>
    <t>Northern School For Autism</t>
  </si>
  <si>
    <t>Waverley Meadows Primary School</t>
  </si>
  <si>
    <t>Wedderburn College</t>
  </si>
  <si>
    <t>Wedge Park Primary School</t>
  </si>
  <si>
    <t>Bendigo Primary School</t>
  </si>
  <si>
    <t>Bendigo Senior Secondary College</t>
  </si>
  <si>
    <t>Broadmeadows Primary School</t>
  </si>
  <si>
    <t>Broadmeadows Special Developmental School</t>
  </si>
  <si>
    <t>Bundarra Primary School</t>
  </si>
  <si>
    <t>Bundoora Primary School</t>
  </si>
  <si>
    <t>Norwood Secondary College</t>
  </si>
  <si>
    <t>Viewbank Primary School</t>
  </si>
  <si>
    <t>Wooranna Park Primary School</t>
  </si>
  <si>
    <t>Bendigo South East 7-10 Secondary College</t>
  </si>
  <si>
    <t>Bundoora Secondary College</t>
  </si>
  <si>
    <t>Somers Primary School</t>
  </si>
  <si>
    <t>Somers School Camp</t>
  </si>
  <si>
    <t>Waaia Yalca South Primary School</t>
  </si>
  <si>
    <t>Wahgunyah Primary School</t>
  </si>
  <si>
    <t>Wallan Primary School</t>
  </si>
  <si>
    <t>Wallan Secondary College</t>
  </si>
  <si>
    <t>Wallarano Primary School</t>
  </si>
  <si>
    <t>Mortlake P-12 College</t>
  </si>
  <si>
    <t>Bungaree Primary School</t>
  </si>
  <si>
    <t>Buninyong Primary School</t>
  </si>
  <si>
    <t>Bunyip Primary School</t>
  </si>
  <si>
    <t>Burwood East Primary School</t>
  </si>
  <si>
    <t>Wallaroo Primary School</t>
  </si>
  <si>
    <t>Wallington Primary School</t>
  </si>
  <si>
    <t>Wandiligong Primary School</t>
  </si>
  <si>
    <t>Wandin North Primary School</t>
  </si>
  <si>
    <t>Woori Yallock Primary School</t>
  </si>
  <si>
    <t>Wunghnu Primary School</t>
  </si>
  <si>
    <t>Morwell Park Primary School</t>
  </si>
  <si>
    <t>Morwell Primary School</t>
  </si>
  <si>
    <t>Burwood East Special Developmental School</t>
  </si>
  <si>
    <t>Burwood Heights Primary School</t>
  </si>
  <si>
    <t>Buxton Primary School</t>
  </si>
  <si>
    <t>Cairnlea Park Primary School</t>
  </si>
  <si>
    <t>Somerville Primary School</t>
  </si>
  <si>
    <t>Sorrento Primary School</t>
  </si>
  <si>
    <t>South Gippsland Secondary College</t>
  </si>
  <si>
    <t>Wandin Yallock Primary School</t>
  </si>
  <si>
    <t>Wandong Primary School</t>
  </si>
  <si>
    <t>Wanganui Park Secondary College</t>
  </si>
  <si>
    <t>Wurruk Primary School</t>
  </si>
  <si>
    <t>Wycheproof P-12 College</t>
  </si>
  <si>
    <t>Mossfiel Primary School</t>
  </si>
  <si>
    <t>Caledonian Primary School</t>
  </si>
  <si>
    <t>California Gully Primary School</t>
  </si>
  <si>
    <t>Camberwell High School</t>
  </si>
  <si>
    <t>Camberwell Primary School</t>
  </si>
  <si>
    <t>South Oakleigh Secondary College</t>
  </si>
  <si>
    <t>Wangaratta District Specialist School</t>
  </si>
  <si>
    <t>Wangaratta High School</t>
  </si>
  <si>
    <t>Wyndham Central Secondary College</t>
  </si>
  <si>
    <t>Wyndham Park Primary School</t>
  </si>
  <si>
    <t>Yaapeet Primary School</t>
  </si>
  <si>
    <t>Camberwell South Primary School</t>
  </si>
  <si>
    <t>Cambridge Primary School</t>
  </si>
  <si>
    <t>South Yarra Primary School</t>
  </si>
  <si>
    <t>Southern Cross Primary School</t>
  </si>
  <si>
    <t>Wangaratta Primary School</t>
  </si>
  <si>
    <t>Wangaratta West Primary School</t>
  </si>
  <si>
    <t>St Albans Meadows Primary School</t>
  </si>
  <si>
    <t>St Albans North Primary School</t>
  </si>
  <si>
    <t>Ceres Primary School</t>
  </si>
  <si>
    <t>Chaffey Secondary College</t>
  </si>
  <si>
    <t>Chalcot Lodge Primary School</t>
  </si>
  <si>
    <t>Staughton College</t>
  </si>
  <si>
    <t>Stawell Primary School</t>
  </si>
  <si>
    <t>Rutherglen High School</t>
  </si>
  <si>
    <t>St Albans Primary School</t>
  </si>
  <si>
    <t>Chandler Park Primary School</t>
  </si>
  <si>
    <t>Rutherglen Primary School</t>
  </si>
  <si>
    <t>Rye Primary School</t>
  </si>
  <si>
    <t>Sale College</t>
  </si>
  <si>
    <t>Tungamah Primary School</t>
  </si>
  <si>
    <t>Charles La Trobe P-12 College</t>
  </si>
  <si>
    <t>Sale Primary School</t>
  </si>
  <si>
    <t>Sale Specialist School</t>
  </si>
  <si>
    <t>Tyabb Primary School</t>
  </si>
  <si>
    <t>Tyabb Railway Station Primary School</t>
  </si>
  <si>
    <t>Tyers Primary School</t>
  </si>
  <si>
    <t>Tylden Primary School</t>
  </si>
  <si>
    <t>Tyrrell College</t>
  </si>
  <si>
    <t>San Remo Primary School</t>
  </si>
  <si>
    <t>Sandringham College</t>
  </si>
  <si>
    <t>Ultima Primary School</t>
  </si>
  <si>
    <t>Undera Primary School</t>
  </si>
  <si>
    <t>Underbool Primary School</t>
  </si>
  <si>
    <t>University High School</t>
  </si>
  <si>
    <t>University Park Primary School</t>
  </si>
  <si>
    <t>Stawell Secondary College</t>
  </si>
  <si>
    <t>Upper Ferntree Gully Primary School</t>
  </si>
  <si>
    <t>Upper Plenty Primary School</t>
  </si>
  <si>
    <t>Upper Sandy Creek Primary School</t>
  </si>
  <si>
    <t>Upper Yarra Secondary College</t>
  </si>
  <si>
    <t>Stawell West Primary School</t>
  </si>
  <si>
    <t>Upwey High School</t>
  </si>
  <si>
    <t>Upwey Primary School</t>
  </si>
  <si>
    <t>Stevensville Primary School</t>
  </si>
  <si>
    <t>Upwey South Primary School</t>
  </si>
  <si>
    <t>Stonnington Primary School</t>
  </si>
  <si>
    <t>Yea Primary School</t>
  </si>
  <si>
    <t>Yellingbo Primary School</t>
  </si>
  <si>
    <t>Yering Primary School</t>
  </si>
  <si>
    <t>Yinnar Primary School</t>
  </si>
  <si>
    <t>Yinnar South Primary School</t>
  </si>
  <si>
    <t>Springhurst Primary School</t>
  </si>
  <si>
    <t>Springside P-9 College</t>
  </si>
  <si>
    <t>Springvale Park Special Developmental School</t>
  </si>
  <si>
    <t>Springvale Rise Primary School (interim name)</t>
  </si>
  <si>
    <t>Yuille Park P-8 Community College</t>
  </si>
  <si>
    <t>Zeerust Primary School</t>
  </si>
  <si>
    <t>St Albans East Primary School</t>
  </si>
  <si>
    <t>Castlemaine Secondary College</t>
  </si>
  <si>
    <t>St Albans Heights Primary School</t>
  </si>
  <si>
    <t>Caulfield Junior College</t>
  </si>
  <si>
    <t>Caulfield Primary School</t>
  </si>
  <si>
    <t>Caulfield South Primary School</t>
  </si>
  <si>
    <t>Cavendish Primary School</t>
  </si>
  <si>
    <t>St Kilda Park Primary School</t>
  </si>
  <si>
    <t>St Kilda Primary School</t>
  </si>
  <si>
    <t>St Leonards Primary School</t>
  </si>
  <si>
    <t>Stanhope Primary School</t>
  </si>
  <si>
    <t>Armadale Primary School</t>
  </si>
  <si>
    <t>Arthurs Creek Primary School</t>
  </si>
  <si>
    <t>Ascot Vale Primary School</t>
  </si>
  <si>
    <t>Ascot Vale Special School</t>
  </si>
  <si>
    <t>Ascot Vale West Primary School</t>
  </si>
  <si>
    <t>Ashburton Primary School</t>
  </si>
  <si>
    <t>Ashby Primary School</t>
  </si>
  <si>
    <t>Cobden Technical School</t>
  </si>
  <si>
    <t>Cobram and District Specialist School</t>
  </si>
  <si>
    <t>Cobram Primary School</t>
  </si>
  <si>
    <t>Greensborough Primary School</t>
  </si>
  <si>
    <t>Great Western Primary School</t>
  </si>
  <si>
    <t>Greenhills Primary School</t>
  </si>
  <si>
    <t>Ardeer Primary School</t>
  </si>
  <si>
    <t>Ardeer South Primary School</t>
  </si>
  <si>
    <t>Ardmona Primary School</t>
  </si>
  <si>
    <t>Balnarring Primary School</t>
  </si>
  <si>
    <t>Baltara School</t>
  </si>
  <si>
    <t>Balwyn High School</t>
  </si>
  <si>
    <t>Balwyn North Primary School</t>
  </si>
  <si>
    <t>Araluen Primary School</t>
  </si>
  <si>
    <t>Ararat North Primary School</t>
  </si>
  <si>
    <t>Ararat Secondary College</t>
  </si>
  <si>
    <t>Athol Road Primary School</t>
  </si>
  <si>
    <t>Ararat West Primary School</t>
  </si>
  <si>
    <t>Birchip P-12 School</t>
  </si>
  <si>
    <t>Birmingham Primary School</t>
  </si>
  <si>
    <t>Birralee Primary School</t>
  </si>
  <si>
    <t>Birregurra Primary School</t>
  </si>
  <si>
    <t>Bittern Primary School</t>
  </si>
  <si>
    <t>Taylors Lakes Secondary College</t>
  </si>
  <si>
    <t>Donvale Primary School</t>
  </si>
  <si>
    <t>Black Hill Primary School</t>
  </si>
  <si>
    <t>Black Rock Primary School</t>
  </si>
  <si>
    <t>Dorset Primary School</t>
  </si>
  <si>
    <t>Doveton College</t>
  </si>
  <si>
    <t>Dromana Primary School</t>
  </si>
  <si>
    <t>Blackburn English Language School</t>
  </si>
  <si>
    <t>Blackburn Lake Primary School</t>
  </si>
  <si>
    <t>Dromana Secondary College</t>
  </si>
  <si>
    <t>Auburn South Primary School</t>
  </si>
  <si>
    <t>Drouin Primary School</t>
  </si>
  <si>
    <t>Drouin Secondary College</t>
  </si>
  <si>
    <t>Austin Hospital School</t>
  </si>
  <si>
    <t>Avenel Primary School</t>
  </si>
  <si>
    <t>Avenues Education</t>
  </si>
  <si>
    <t>Avoca Primary School</t>
  </si>
  <si>
    <t>Avondale Primary School</t>
  </si>
  <si>
    <t>Blackburn High School</t>
  </si>
  <si>
    <t>Axedale Primary School</t>
  </si>
  <si>
    <t>Bacchus Marsh College</t>
  </si>
  <si>
    <t>Mentone Girls Secondary College</t>
  </si>
  <si>
    <t>Dookie Primary School</t>
  </si>
  <si>
    <t>Doreen Primary School</t>
  </si>
  <si>
    <t>Melton South Primary School</t>
  </si>
  <si>
    <t>Melton West Primary School</t>
  </si>
  <si>
    <t>Melton Specialist School</t>
  </si>
  <si>
    <t>Auburn High School (interim name)</t>
  </si>
  <si>
    <t>Auburn Primary School</t>
  </si>
  <si>
    <t>Lake Bolac College</t>
  </si>
  <si>
    <t>Lake Charm Primary School</t>
  </si>
  <si>
    <t>Lakes Entrance Primary School</t>
  </si>
  <si>
    <t>Brandon Park Primary School</t>
  </si>
  <si>
    <t>Lakeview Senior College</t>
  </si>
  <si>
    <t>Lalor East Primary School</t>
  </si>
  <si>
    <t>Lalor Gardens Primary School</t>
  </si>
  <si>
    <t>Lalor North Primary School</t>
  </si>
  <si>
    <t>Lalor North Secondary College</t>
  </si>
  <si>
    <t>Lalor Primary School</t>
  </si>
  <si>
    <t>Harkaway Primary School</t>
  </si>
  <si>
    <t>Harrietville Primary School</t>
  </si>
  <si>
    <t>Harrisfield Primary School</t>
  </si>
  <si>
    <t>Harston Primary School</t>
  </si>
  <si>
    <t>Hartwell Primary School</t>
  </si>
  <si>
    <t>Hastings Primary School</t>
  </si>
  <si>
    <t>Lalor Secondary College</t>
  </si>
  <si>
    <t>Box Hill Senior Secondary College</t>
  </si>
  <si>
    <t>Branxholme-Wallacedale Community School</t>
  </si>
  <si>
    <t>Lakes Entrance Secondary College</t>
  </si>
  <si>
    <t>Brauer Secondary College</t>
  </si>
  <si>
    <t>Hampden Specialist School</t>
  </si>
  <si>
    <t>Hampton Park Primary School</t>
  </si>
  <si>
    <t>Hampton Park Secondary College</t>
  </si>
  <si>
    <t>Hawkesdale P12 College</t>
  </si>
  <si>
    <t>Guthrie Street Primary School Shepparton</t>
  </si>
  <si>
    <t>Haddon Primary School</t>
  </si>
  <si>
    <t>Hallam Primary School</t>
  </si>
  <si>
    <t>Hallam Senior Secondary College</t>
  </si>
  <si>
    <t>Lake Boga Primary School</t>
  </si>
  <si>
    <t>Halls Gap Primary School</t>
  </si>
  <si>
    <t>Hamilton (Gray Street) Primary School</t>
  </si>
  <si>
    <t>Box Hill North Primary School</t>
  </si>
  <si>
    <t>Hamilton North Primary School</t>
  </si>
  <si>
    <t>Hamilton Special Developmental School</t>
  </si>
  <si>
    <t>Hamlyn Banks Primary School</t>
  </si>
  <si>
    <t>Hampton Primary School</t>
  </si>
  <si>
    <t>Drouin West Primary School</t>
  </si>
  <si>
    <t>Drummartin Primary School</t>
  </si>
  <si>
    <t>Drummond Primary School</t>
  </si>
  <si>
    <t>Melba Secondary College</t>
  </si>
  <si>
    <t>Templestowe College</t>
  </si>
  <si>
    <t>Mildura Senior College</t>
  </si>
  <si>
    <t>Drysdale Primary School</t>
  </si>
  <si>
    <t>Dunkeld Consolidated School</t>
  </si>
  <si>
    <t>Dunolly Primary School</t>
  </si>
  <si>
    <t>Templestowe Valley Primary School</t>
  </si>
  <si>
    <t>Templeton Primary School</t>
  </si>
  <si>
    <t>Fairfield Primary School</t>
  </si>
  <si>
    <t>Fawkner Primary School</t>
  </si>
  <si>
    <t>Coolaroo South Primary School</t>
  </si>
  <si>
    <t>Copperfield College</t>
  </si>
  <si>
    <t>Eaglehawk North Primary School</t>
  </si>
  <si>
    <t>Eaglehawk Primary School</t>
  </si>
  <si>
    <t>East Bentleigh Primary School</t>
  </si>
  <si>
    <t>Fairhills High School</t>
  </si>
  <si>
    <t>Coral Park Primary School</t>
  </si>
  <si>
    <t>East Doncaster Secondary College</t>
  </si>
  <si>
    <t>Ferntree Gully North Primary School</t>
  </si>
  <si>
    <t>Ferny Creek Primary School</t>
  </si>
  <si>
    <t>Corryong College</t>
  </si>
  <si>
    <t>Templestowe Park Primary School</t>
  </si>
  <si>
    <t>Findon Primary School</t>
  </si>
  <si>
    <t>Mildura South Primary School</t>
  </si>
  <si>
    <t>East Gippsland Specialist School</t>
  </si>
  <si>
    <t>East Loddon P-12 College</t>
  </si>
  <si>
    <t>Fish Creek and District Primary School</t>
  </si>
  <si>
    <t>Fitzroy High School</t>
  </si>
  <si>
    <t>Fitzroy North Primary School</t>
  </si>
  <si>
    <t>Fitzroy Primary School</t>
  </si>
  <si>
    <t>Fleetwood Primary School</t>
  </si>
  <si>
    <t>Flemington Primary School</t>
  </si>
  <si>
    <t>Mildura Specialist School</t>
  </si>
  <si>
    <t>Mildura West Primary School</t>
  </si>
  <si>
    <t>Milgate Primary School</t>
  </si>
  <si>
    <t>Mill Park Heights Primary School</t>
  </si>
  <si>
    <t>Courtenay Gardens Primary School</t>
  </si>
  <si>
    <t>Cowes Primary School</t>
  </si>
  <si>
    <t>Cowwarr Primary School</t>
  </si>
  <si>
    <t>Eastbourne Primary School</t>
  </si>
  <si>
    <t>Eastern Ranges School</t>
  </si>
  <si>
    <t>Eastwood Primary School</t>
  </si>
  <si>
    <t>Echuca College</t>
  </si>
  <si>
    <t>Flowerdale Primary School</t>
  </si>
  <si>
    <t>Footscray City College</t>
  </si>
  <si>
    <t>Craigieburn Primary School</t>
  </si>
  <si>
    <t>Craigieburn Secondary College</t>
  </si>
  <si>
    <t>Craigieburn South Primary School</t>
  </si>
  <si>
    <t>Cranbourne Park Primary School</t>
  </si>
  <si>
    <t>Echuca Primary School</t>
  </si>
  <si>
    <t>Echuca South Primary School</t>
  </si>
  <si>
    <t>Mill Park Primary School</t>
  </si>
  <si>
    <t>Mill Park Secondary College</t>
  </si>
  <si>
    <t>Millwarra Primary School</t>
  </si>
  <si>
    <t>Cranbourne Primary School</t>
  </si>
  <si>
    <t>St Albans Secondary College</t>
  </si>
  <si>
    <t>Cranbourne Secondary College</t>
  </si>
  <si>
    <t>Melbourne Girls College</t>
  </si>
  <si>
    <t>St Andrews Primary School</t>
  </si>
  <si>
    <t>St Arnaud Primary School</t>
  </si>
  <si>
    <t>Melbourne High School</t>
  </si>
  <si>
    <t>Tecoma Primary School</t>
  </si>
  <si>
    <t>Exford Primary School</t>
  </si>
  <si>
    <t>St Arnaud Secondary College</t>
  </si>
  <si>
    <t>Drouin South Primary School</t>
  </si>
  <si>
    <t>St Helena Secondary College</t>
  </si>
  <si>
    <t>Teesdale Primary School</t>
  </si>
  <si>
    <t>Euroa Secondary College</t>
  </si>
  <si>
    <t>St Georges Road Primary School Shepparton</t>
  </si>
  <si>
    <t>Everton Primary School</t>
  </si>
  <si>
    <t>Fairhills Primary School</t>
  </si>
  <si>
    <t>Falls Creek Primary School</t>
  </si>
  <si>
    <t>McGuire College</t>
  </si>
  <si>
    <t>Seymour College</t>
  </si>
  <si>
    <t>Sunshine College</t>
  </si>
  <si>
    <t>Seaspray Primary School</t>
  </si>
  <si>
    <t>Sebastopol Primary School</t>
  </si>
  <si>
    <t>Selby Primary School</t>
  </si>
  <si>
    <t>Serpell Primary School</t>
  </si>
  <si>
    <t>Beaumaris Primary School</t>
  </si>
  <si>
    <t>Beeac Primary School</t>
  </si>
  <si>
    <t>Beechworth Primary School</t>
  </si>
  <si>
    <t>Beechworth Secondary College</t>
  </si>
  <si>
    <t>Mckinnon Secondary College</t>
  </si>
  <si>
    <t>Baxter Primary School</t>
  </si>
  <si>
    <t>Bayles Regional Primary School</t>
  </si>
  <si>
    <t>Bayside P-12 College</t>
  </si>
  <si>
    <t>Bayswater North Primary School</t>
  </si>
  <si>
    <t>Bayswater Secondary College</t>
  </si>
  <si>
    <t>Bayswater South Primary School</t>
  </si>
  <si>
    <t>Bayswater West Primary School</t>
  </si>
  <si>
    <t>Beaconsfield Primary School</t>
  </si>
  <si>
    <t>Belgrave South Primary School</t>
  </si>
  <si>
    <t>Bell Park North Primary School</t>
  </si>
  <si>
    <t>Beaconsfield Upper Primary School</t>
  </si>
  <si>
    <t>Seville Primary School</t>
  </si>
  <si>
    <t>Bell Primary School</t>
  </si>
  <si>
    <t>Bellaire Primary School</t>
  </si>
  <si>
    <t>Bellarine Secondary College</t>
  </si>
  <si>
    <t>Bellbrae Primary School</t>
  </si>
  <si>
    <t>Bellbridge Primary School</t>
  </si>
  <si>
    <t>Belle Vue Park Primary School</t>
  </si>
  <si>
    <t>Beaufort Secondary College</t>
  </si>
  <si>
    <t>Bealiba Primary School</t>
  </si>
  <si>
    <t>Belle Vue Primary School</t>
  </si>
  <si>
    <t>Belmont High School</t>
  </si>
  <si>
    <t>Belmore School</t>
  </si>
  <si>
    <t>Belvedere Park Primary School</t>
  </si>
  <si>
    <t>Mckinnon Primary School</t>
  </si>
  <si>
    <t>Bayside Special Developmental School</t>
  </si>
  <si>
    <t>Bayswater Primary School</t>
  </si>
  <si>
    <t>Meadow Heights Primary School</t>
  </si>
  <si>
    <t>Meadowglen Primary School</t>
  </si>
  <si>
    <t>Meadows Primary School</t>
  </si>
  <si>
    <t>Scoresby Secondary College</t>
  </si>
  <si>
    <t>Seabrook Primary School</t>
  </si>
  <si>
    <t>Seaford North Primary School</t>
  </si>
  <si>
    <t>Beaumaris North Primary School</t>
  </si>
  <si>
    <t>Seaford Park Primary School</t>
  </si>
  <si>
    <t>Seaford Primary School</t>
  </si>
  <si>
    <t>Seaholme Primary School</t>
  </si>
  <si>
    <t>Casterton Secondary College</t>
  </si>
  <si>
    <t>Castlemaine North Primary School</t>
  </si>
  <si>
    <t>Eltham High School</t>
  </si>
  <si>
    <t>Kyneton Secondary College</t>
  </si>
  <si>
    <t>Labertouche Primary School</t>
  </si>
  <si>
    <t>Laburnum Primary School</t>
  </si>
  <si>
    <t>Commercial Road Primary School - Morwell</t>
  </si>
  <si>
    <t>Concongella Primary School</t>
  </si>
  <si>
    <t>Concord School</t>
  </si>
  <si>
    <t>Castlemaine Primary School</t>
  </si>
  <si>
    <t>Maffra Secondary College</t>
  </si>
  <si>
    <t>Eltham Primary School</t>
  </si>
  <si>
    <t>Congupna Primary School</t>
  </si>
  <si>
    <t>Oakwood School</t>
  </si>
  <si>
    <t>Elwood Primary School</t>
  </si>
  <si>
    <t>Emerald Primary School</t>
  </si>
  <si>
    <t>Oberon High School</t>
  </si>
  <si>
    <t>Oberon Primary School</t>
  </si>
  <si>
    <t>Oberon South Primary School</t>
  </si>
  <si>
    <t>Ocean Grove Primary School</t>
  </si>
  <si>
    <t>Park Ridge Primary School</t>
  </si>
  <si>
    <t>Parkdale Primary School</t>
  </si>
  <si>
    <t>Parkdale Secondary College</t>
  </si>
  <si>
    <t>Eppalock Primary School</t>
  </si>
  <si>
    <t>Epping Primary School</t>
  </si>
  <si>
    <t>Emerson School</t>
  </si>
  <si>
    <t>Overport Primary School</t>
  </si>
  <si>
    <t>Pakenham Consolidated School</t>
  </si>
  <si>
    <t>Pakenham Hills Primary School</t>
  </si>
  <si>
    <t>Pakenham Secondary College</t>
  </si>
  <si>
    <t>Officer Primary School</t>
  </si>
  <si>
    <t>Outdoor School</t>
  </si>
  <si>
    <t>Ouyen P-12 College</t>
  </si>
  <si>
    <t>Pakenham Springs Primary School</t>
  </si>
  <si>
    <t>Panmure Primary School</t>
  </si>
  <si>
    <t>Panton Hill Primary School</t>
  </si>
  <si>
    <t>Park Orchards Primary School</t>
  </si>
  <si>
    <t>Numurkah Secondary College</t>
  </si>
  <si>
    <t>Nungurner Primary School</t>
  </si>
  <si>
    <t>Nyora Primary School</t>
  </si>
  <si>
    <t>Oakleigh Primary School</t>
  </si>
  <si>
    <t>Lyndale Greens Primary School</t>
  </si>
  <si>
    <t>Lyndale Secondary College</t>
  </si>
  <si>
    <t>Lyndhurst Secondary College</t>
  </si>
  <si>
    <t>Kyneton Primary School</t>
  </si>
  <si>
    <t>Coleraine Primary School</t>
  </si>
  <si>
    <t>Collingwood College</t>
  </si>
  <si>
    <t>Carnegie Primary School</t>
  </si>
  <si>
    <t>Carranballac P-9 College</t>
  </si>
  <si>
    <t>Eltham North Primary School</t>
  </si>
  <si>
    <t>Carrington Primary School</t>
  </si>
  <si>
    <t>Elwood College</t>
  </si>
  <si>
    <t>Carrum Downs Secondary College</t>
  </si>
  <si>
    <t>Carrum Primary School</t>
  </si>
  <si>
    <t>Carwatha College P-12</t>
  </si>
  <si>
    <t>Emerald Secondary College</t>
  </si>
  <si>
    <t>Mahogany Rise Primary School</t>
  </si>
  <si>
    <t>Maiden Gully Primary School</t>
  </si>
  <si>
    <t>Maldon Primary School</t>
  </si>
  <si>
    <t>Mallacoota P-12 College</t>
  </si>
  <si>
    <t>Malmsbury Primary School</t>
  </si>
  <si>
    <t>Malvern Central School</t>
  </si>
  <si>
    <t>Malvern Primary School</t>
  </si>
  <si>
    <t>Manangatang P-12 College</t>
  </si>
  <si>
    <t>Numurkah Primary School</t>
  </si>
  <si>
    <t>Casterton Primary School</t>
  </si>
  <si>
    <t>Lysterfield Primary School</t>
  </si>
  <si>
    <t>Macarthur Primary School</t>
  </si>
  <si>
    <t>Macarthur Street Primary School</t>
  </si>
  <si>
    <t>Macclesfield Primary School</t>
  </si>
  <si>
    <t>Macedon Primary School</t>
  </si>
  <si>
    <t>Mackellar Primary School</t>
  </si>
  <si>
    <t>Macleod College</t>
  </si>
  <si>
    <t>MacRobertson Girls High School</t>
  </si>
  <si>
    <t>Maffra Primary School</t>
  </si>
  <si>
    <t>Parkmore Primary School</t>
  </si>
  <si>
    <t>Parktone Primary School</t>
  </si>
  <si>
    <t>Parkhill Primary School</t>
  </si>
  <si>
    <t>Nossal High School</t>
  </si>
  <si>
    <t>Nowa Nowa Primary School</t>
  </si>
  <si>
    <t>Nullawarre and District Primary School</t>
  </si>
  <si>
    <t>Nullawil Primary School</t>
  </si>
  <si>
    <t>Oakleigh South Primary School</t>
  </si>
  <si>
    <t>Oatlands Primary School</t>
  </si>
  <si>
    <t>Colac South West Primary School</t>
  </si>
  <si>
    <t>Colac Specialist School</t>
  </si>
  <si>
    <t>Colac West Primary School</t>
  </si>
  <si>
    <t>Colbinabbin Primary School</t>
  </si>
  <si>
    <t>Coldstream Primary School</t>
  </si>
  <si>
    <t>Laharum Primary School</t>
  </si>
  <si>
    <t>Collingwood English Language School</t>
  </si>
  <si>
    <t>Mansfield Secondary College</t>
  </si>
  <si>
    <t>Mandama Primary School</t>
  </si>
  <si>
    <t>Lancaster Primary School</t>
  </si>
  <si>
    <t>Lancefield Primary School</t>
  </si>
  <si>
    <t>Landsborough Primary School</t>
  </si>
  <si>
    <t>Lang Lang Primary School</t>
  </si>
  <si>
    <t>Langley Primary School</t>
  </si>
  <si>
    <t>Langwarrin Park Primary School</t>
  </si>
  <si>
    <t>Langwarrin Primary School</t>
  </si>
  <si>
    <t>Marlo Primary School</t>
  </si>
  <si>
    <t>Marnebek School Cranbourne</t>
  </si>
  <si>
    <t>Lara Lake Primary School</t>
  </si>
  <si>
    <t>Lara Primary School</t>
  </si>
  <si>
    <t>Lara Secondary College</t>
  </si>
  <si>
    <t>Lardner and District Primary School</t>
  </si>
  <si>
    <t>Maribyrnong Secondary College</t>
  </si>
  <si>
    <t>Latrobe Special Developmental School</t>
  </si>
  <si>
    <t>Launching Place Primary School</t>
  </si>
  <si>
    <t>Laurimar Primary School</t>
  </si>
  <si>
    <t>Lavers Hill P-12 College</t>
  </si>
  <si>
    <t>Marlborough Primary School</t>
  </si>
  <si>
    <t>Le Page Primary School</t>
  </si>
  <si>
    <t>Manchester Primary School</t>
  </si>
  <si>
    <t>Leitchville Primary School</t>
  </si>
  <si>
    <t>Lemnos Primary School</t>
  </si>
  <si>
    <t>Maramba Primary School</t>
  </si>
  <si>
    <t>Matthew Flinders Girls Secondary College</t>
  </si>
  <si>
    <t>McClelland Secondary College</t>
  </si>
  <si>
    <t>Marnoo Primary School</t>
  </si>
  <si>
    <t>Marong Primary School</t>
  </si>
  <si>
    <t>Manifold Heights Primary School</t>
  </si>
  <si>
    <t>Manorvale Primary School</t>
  </si>
  <si>
    <t>Mansfield Primary School</t>
  </si>
  <si>
    <t>Maroona Primary School</t>
  </si>
  <si>
    <t>Maryborough Education Centre</t>
  </si>
  <si>
    <t>Western English Language School</t>
  </si>
  <si>
    <t>Western Heights Secondary College</t>
  </si>
  <si>
    <t>Western Port Secondary College</t>
  </si>
  <si>
    <t>Wesburn Primary School</t>
  </si>
  <si>
    <t>Westall Primary School</t>
  </si>
  <si>
    <t>Westall Secondary College</t>
  </si>
  <si>
    <t>Westgarth Primary School</t>
  </si>
  <si>
    <t>Westgrove Primary School</t>
  </si>
  <si>
    <t>Westmeadows Primary School</t>
  </si>
  <si>
    <t>Wheelers Hill Primary School</t>
  </si>
  <si>
    <t>Wheelers Hill Secondary College</t>
  </si>
  <si>
    <t>White Hills Primary School</t>
  </si>
  <si>
    <t>Whitehorse Primary School</t>
  </si>
  <si>
    <t>Whitfield District Primary School</t>
  </si>
  <si>
    <t>Whittington Primary School</t>
  </si>
  <si>
    <t>Whittlesea Primary School</t>
  </si>
  <si>
    <t>Whittlesea Secondary College</t>
  </si>
  <si>
    <t>Westbreen Primary School</t>
  </si>
  <si>
    <t>Whorouly Primary School</t>
  </si>
  <si>
    <t>Willaura Primary School</t>
  </si>
  <si>
    <t>William Ruthven Primary School</t>
  </si>
  <si>
    <t>William Ruthven Secondary College</t>
  </si>
  <si>
    <t>Western Autistic School</t>
  </si>
  <si>
    <t>Williamstown High School</t>
  </si>
  <si>
    <t>Williamstown North Primary School</t>
  </si>
  <si>
    <t>Williamstown Primary School</t>
  </si>
  <si>
    <t>Wodonga Senior Secondary College</t>
  </si>
  <si>
    <t>Wodonga South Primary School</t>
  </si>
  <si>
    <t>Wodonga West Primary School</t>
  </si>
  <si>
    <t>Wonga Park Primary School</t>
  </si>
  <si>
    <t>Wonthaggi North Primary School</t>
  </si>
  <si>
    <t>Wonthaggi Secondary College</t>
  </si>
  <si>
    <t>Woomelang Group School</t>
  </si>
  <si>
    <t>Wooragee Primary School</t>
  </si>
  <si>
    <t>Woolsthorpe Primary School</t>
  </si>
  <si>
    <t>Wonthaggi Primary School</t>
  </si>
  <si>
    <t>Woodville Primary School</t>
  </si>
  <si>
    <t>Woodford Primary School</t>
  </si>
  <si>
    <t>Woodlands Primary School</t>
  </si>
  <si>
    <t>Woodside Primary School</t>
  </si>
  <si>
    <t>Woodend Primary School</t>
  </si>
  <si>
    <t>Bonbeach Primary School</t>
  </si>
  <si>
    <t>Boneo Primary School</t>
  </si>
  <si>
    <t>Boolarra Primary School</t>
  </si>
  <si>
    <t>Boort District P-12 School</t>
  </si>
  <si>
    <t>Boronia Heights Primary School</t>
  </si>
  <si>
    <t>Boronia K-12 College</t>
  </si>
  <si>
    <t>Boronia West Primary School</t>
  </si>
  <si>
    <t>Boroondara Park Primary School</t>
  </si>
  <si>
    <t>Bourchier Street Primary School Shepparton</t>
  </si>
  <si>
    <t>Box Hill High School</t>
  </si>
  <si>
    <t>Bolwarra Primary School</t>
  </si>
  <si>
    <t>Bona Vista Primary School</t>
  </si>
  <si>
    <t>Hopetoun P-12 College</t>
  </si>
  <si>
    <t>Hoppers Crossing Secondary College</t>
  </si>
  <si>
    <t>Horsham College</t>
  </si>
  <si>
    <t>Karingal Heights Primary School</t>
  </si>
  <si>
    <t>Katandra School</t>
  </si>
  <si>
    <t>Katandra West Primary School</t>
  </si>
  <si>
    <t>Keilor Downs Secondary College</t>
  </si>
  <si>
    <t>Old Orchard Primary School</t>
  </si>
  <si>
    <t>Roxburgh Homestead Primary School</t>
  </si>
  <si>
    <t>Roxburgh Park Primary School</t>
  </si>
  <si>
    <t>Roxburgh Rise Primary School</t>
  </si>
  <si>
    <t>Olinda Primary School</t>
  </si>
  <si>
    <t>Omeo Primary School</t>
  </si>
  <si>
    <t>Orbost North Primary School</t>
  </si>
  <si>
    <t>Orbost Primary School</t>
  </si>
  <si>
    <t>Orbost Secondary College</t>
  </si>
  <si>
    <t>Heany Park Primary School</t>
  </si>
  <si>
    <t>Heathcote Primary School</t>
  </si>
  <si>
    <t>Heatherhill Primary School</t>
  </si>
  <si>
    <t>Heatherwood School</t>
  </si>
  <si>
    <t>Heathmont College</t>
  </si>
  <si>
    <t>Camp Hill Primary School</t>
  </si>
  <si>
    <t>Campbellfield Heights Primary School</t>
  </si>
  <si>
    <t>Campbells Creek Primary School</t>
  </si>
  <si>
    <t>Camperdown College</t>
  </si>
  <si>
    <t>Canadian Lead Primary School</t>
  </si>
  <si>
    <t>Cann River P-12 College</t>
  </si>
  <si>
    <t>Canterbury Girls Secondary College</t>
  </si>
  <si>
    <t>Canterbury Primary School</t>
  </si>
  <si>
    <t>Cape Clear Primary School</t>
  </si>
  <si>
    <t>Cardinia Primary School</t>
  </si>
  <si>
    <t>Cardross Primary School</t>
  </si>
  <si>
    <t>Carisbrook Primary School</t>
  </si>
  <si>
    <t>Carlisle River Primary School</t>
  </si>
  <si>
    <t>Carlton Gardens Primary School</t>
  </si>
  <si>
    <t>Carlton North Primary School</t>
  </si>
  <si>
    <t>Carlton Primary School</t>
  </si>
  <si>
    <t>Heathmont East Primary School</t>
  </si>
  <si>
    <t>Heidelberg Primary School</t>
  </si>
  <si>
    <t>Hepburn Primary School</t>
  </si>
  <si>
    <t>Herne Hill Primary School</t>
  </si>
  <si>
    <t>Kangaroo Ground Primary School</t>
  </si>
  <si>
    <t>Kaniva College</t>
  </si>
  <si>
    <t>Orchard Grove Primary School</t>
  </si>
  <si>
    <t>Ormond Primary School</t>
  </si>
  <si>
    <t>Orrvale Primary School</t>
  </si>
  <si>
    <t>Osborne Primary School</t>
  </si>
  <si>
    <t>Osbornes Flat Primary School</t>
  </si>
  <si>
    <t>Rosehill Secondary College</t>
  </si>
  <si>
    <t>Rosewood Downs Primary School</t>
  </si>
  <si>
    <t>Roslyn Primary School</t>
  </si>
  <si>
    <t>Rowellyn Park Primary School</t>
  </si>
  <si>
    <t>Rowville Primary School</t>
  </si>
  <si>
    <t>Rowville Secondary College</t>
  </si>
  <si>
    <t>Charlton College</t>
  </si>
  <si>
    <t>Chatham Primary School</t>
  </si>
  <si>
    <t>Chelsea Heights Primary School</t>
  </si>
  <si>
    <t>Chelsea Primary School</t>
  </si>
  <si>
    <t>Cheltenham East Primary School</t>
  </si>
  <si>
    <t>Cheltenham Primary School</t>
  </si>
  <si>
    <t>Cheltenham Secondary College</t>
  </si>
  <si>
    <t>Chewton Primary School</t>
  </si>
  <si>
    <t>Chiltern Primary School</t>
  </si>
  <si>
    <t>Chilwell Primary School</t>
  </si>
  <si>
    <t>Chirnside Park Primary School</t>
  </si>
  <si>
    <t>Christmas Hills Primary School</t>
  </si>
  <si>
    <t>Karingal Primary School</t>
  </si>
  <si>
    <t>Karoo Primary School</t>
  </si>
  <si>
    <t>Katamatite Primary School</t>
  </si>
  <si>
    <t>Horsham Primary School</t>
  </si>
  <si>
    <t>Horsham Special School</t>
  </si>
  <si>
    <t>Horsham West and Haven Primary School</t>
  </si>
  <si>
    <t>Hughesdale Primary School</t>
  </si>
  <si>
    <t>Jamieson Primary School</t>
  </si>
  <si>
    <t>Jells Park Primary School</t>
  </si>
  <si>
    <t>Jennings Street School</t>
  </si>
  <si>
    <t>Jeparit Primary School</t>
  </si>
  <si>
    <t>Jindivick Primary School</t>
  </si>
  <si>
    <t>John Fawkner Secondary College</t>
  </si>
  <si>
    <t>Kalianna Special School</t>
  </si>
  <si>
    <t>Kalinda Primary School</t>
  </si>
  <si>
    <t>Kallista Primary School</t>
  </si>
  <si>
    <t>Kambrya College</t>
  </si>
  <si>
    <t>Kananook Primary School</t>
  </si>
  <si>
    <t>Kangaroo Flat Primary School</t>
  </si>
  <si>
    <t>Hawthorn West Primary School</t>
  </si>
  <si>
    <t>Hazelwood North Primary School</t>
  </si>
  <si>
    <t>Healesville High School</t>
  </si>
  <si>
    <t>Healesville Primary School</t>
  </si>
  <si>
    <t>Alfredton Primary School</t>
  </si>
  <si>
    <t>Allansford and District Primary School</t>
  </si>
  <si>
    <t>Alphington Primary School</t>
  </si>
  <si>
    <t>Altona North Primary School</t>
  </si>
  <si>
    <t>Blackburn Primary School</t>
  </si>
  <si>
    <t>Boisdale Consolidated School</t>
  </si>
  <si>
    <t>Altona Green Primary School</t>
  </si>
  <si>
    <t>Altona Meadows Primary School</t>
  </si>
  <si>
    <t>Bolinda Primary School</t>
  </si>
  <si>
    <t>Altona Primary School</t>
  </si>
  <si>
    <t>Alvie Consolidated School</t>
  </si>
  <si>
    <t>Amphitheatre Primary School</t>
  </si>
  <si>
    <t>Altona P-9 College</t>
  </si>
  <si>
    <t>Yarrawonga College P-12</t>
  </si>
  <si>
    <t>Yarrunga Primary School</t>
  </si>
  <si>
    <t>Yea High School</t>
  </si>
  <si>
    <t>Elisabeth Murdoch College</t>
  </si>
  <si>
    <t>Cranbourne South Primary School</t>
  </si>
  <si>
    <t>Goroke P-12 College</t>
  </si>
  <si>
    <t>Gowrie Street Primary School Shepparton</t>
  </si>
  <si>
    <t>Great Ryrie Primary School</t>
  </si>
  <si>
    <t>Kew East Primary School</t>
  </si>
  <si>
    <t>Elliminyt Primary School</t>
  </si>
  <si>
    <t>Ellinbank Primary School</t>
  </si>
  <si>
    <t>Elmhurst Primary School</t>
  </si>
  <si>
    <t>Elmore Primary School</t>
  </si>
  <si>
    <t>Elphinstone Primary School</t>
  </si>
  <si>
    <t>Elsternwick Primary School</t>
  </si>
  <si>
    <t>Cranbourne West Primary School</t>
  </si>
  <si>
    <t>Creekside K-9 College</t>
  </si>
  <si>
    <t>Kew High School</t>
  </si>
  <si>
    <t>Kew Primary School</t>
  </si>
  <si>
    <t>Shelford Primary School</t>
  </si>
  <si>
    <t>Shepparton East Primary School</t>
  </si>
  <si>
    <t>Eltham East Primary School</t>
  </si>
  <si>
    <t>Keysborough Primary School</t>
  </si>
  <si>
    <t>Keysborough Secondary College</t>
  </si>
  <si>
    <t>Shepparton High School</t>
  </si>
  <si>
    <t>Kialla Central Primary School</t>
  </si>
  <si>
    <t>Kialla West Primary School</t>
  </si>
  <si>
    <t>Kiewa Valley Primary School</t>
  </si>
  <si>
    <t>Kilberry Valley Primary School</t>
  </si>
  <si>
    <t>Killara Primary School</t>
  </si>
  <si>
    <t>Kilmore Primary School</t>
  </si>
  <si>
    <t>Kinglake Primary School</t>
  </si>
  <si>
    <t>Kinglake West Primary School</t>
  </si>
  <si>
    <t>Sherbourne Primary School</t>
  </si>
  <si>
    <t>Sherbrooke Community School</t>
  </si>
  <si>
    <t>Creswick North Primary School</t>
  </si>
  <si>
    <t>Creswick Primary School</t>
  </si>
  <si>
    <t>Crib Point Primary School</t>
  </si>
  <si>
    <t>Croxton Special School</t>
  </si>
  <si>
    <t>Kings Park Primary School</t>
  </si>
  <si>
    <t>Silvan Primary School</t>
  </si>
  <si>
    <t>Silverton Primary School</t>
  </si>
  <si>
    <t>Croydon Community School</t>
  </si>
  <si>
    <t>Simpson Primary School</t>
  </si>
  <si>
    <t>Skene Street School Stawell</t>
  </si>
  <si>
    <t>Skipton Primary School</t>
  </si>
  <si>
    <t>Skye Primary School</t>
  </si>
  <si>
    <t>Solway Primary School</t>
  </si>
  <si>
    <t>Croydon Hills Primary School</t>
  </si>
  <si>
    <t>Croydon Primary School</t>
  </si>
  <si>
    <t>Croydon Special Developmental School</t>
  </si>
  <si>
    <t>Crusoe 7-10 Secondary College</t>
  </si>
  <si>
    <t>Glendal Primary School</t>
  </si>
  <si>
    <t>Glenferrie Primary School</t>
  </si>
  <si>
    <t>Glengala Sunshine West Primary School</t>
  </si>
  <si>
    <t>Yarra Road Primary School</t>
  </si>
  <si>
    <t>Yarrabah School</t>
  </si>
  <si>
    <t>Glengarry Primary School</t>
  </si>
  <si>
    <t>Glenrowan Primary School</t>
  </si>
  <si>
    <t>Glenroy Secondary College</t>
  </si>
  <si>
    <t>Yarragon Primary School</t>
  </si>
  <si>
    <t>Yarram Primary School</t>
  </si>
  <si>
    <t>Yarram Secondary College</t>
  </si>
  <si>
    <t>Yarraman Oaks Primary School</t>
  </si>
  <si>
    <t>Yarrambat Primary School</t>
  </si>
  <si>
    <t>Echuca Specialist School</t>
  </si>
  <si>
    <t>Yarraville Special Developmental School</t>
  </si>
  <si>
    <t>Yarraville West Primary School</t>
  </si>
  <si>
    <t>Echuca West Primary School</t>
  </si>
  <si>
    <t>Edenhope College</t>
  </si>
  <si>
    <t>Glenroy West Primary School</t>
  </si>
  <si>
    <t>Golden Square Primary School</t>
  </si>
  <si>
    <t>Goonawarra Primary School</t>
  </si>
  <si>
    <t>Goongerah Tubbut P-8 School</t>
  </si>
  <si>
    <t>Goornong Primary School</t>
  </si>
  <si>
    <t>Gordon Primary School</t>
  </si>
  <si>
    <t>Edi Upper Primary School</t>
  </si>
  <si>
    <t>Edithvale Primary School</t>
  </si>
  <si>
    <t>Eildon Primary School</t>
  </si>
  <si>
    <t>Glen Waverley South Primary School</t>
  </si>
  <si>
    <t>Glenallen School</t>
  </si>
  <si>
    <t>Leongatha Secondary College</t>
  </si>
  <si>
    <t>Broadmeadows Valley Primary School</t>
  </si>
  <si>
    <t>Broken Creek Primary School</t>
  </si>
  <si>
    <t>Brookside P-9 College</t>
  </si>
  <si>
    <t>Brunswick East Primary School</t>
  </si>
  <si>
    <t>Foster Primary School</t>
  </si>
  <si>
    <t>Fountain Gate Primary School</t>
  </si>
  <si>
    <t>Leopold Primary School</t>
  </si>
  <si>
    <t>Lightning Reef Primary School</t>
  </si>
  <si>
    <t>Lilydale Heights College</t>
  </si>
  <si>
    <t>Hesket Primary School</t>
  </si>
  <si>
    <t>Heyfield Primary School</t>
  </si>
  <si>
    <t>Heywood Consolidated School</t>
  </si>
  <si>
    <t>Heywood District Secondary College</t>
  </si>
  <si>
    <t>Highlands Primary School</t>
  </si>
  <si>
    <t>Highton Primary School</t>
  </si>
  <si>
    <t>Lilydale High School</t>
  </si>
  <si>
    <t>Abbotsford Primary School</t>
  </si>
  <si>
    <t>Aberfeldie Primary School</t>
  </si>
  <si>
    <t>Highvale Primary School</t>
  </si>
  <si>
    <t>Highvale Secondary College</t>
  </si>
  <si>
    <t>Brunswick North Primary School</t>
  </si>
  <si>
    <t>Brunswick North West Primary School</t>
  </si>
  <si>
    <t>Brunswick Secondary College</t>
  </si>
  <si>
    <t>Ainslie Parklands Primary School</t>
  </si>
  <si>
    <t>Hillsmeade Primary School</t>
  </si>
  <si>
    <t>Brunswick South Primary School</t>
  </si>
  <si>
    <t>Brunswick South West Primary School</t>
  </si>
  <si>
    <t>Hoddles Creek Primary School</t>
  </si>
  <si>
    <t>Bruthen Primary School</t>
  </si>
  <si>
    <t>Buangor Primary School</t>
  </si>
  <si>
    <t>Buchan Primary School</t>
  </si>
  <si>
    <t>Buckley Park College</t>
  </si>
  <si>
    <t>Bullarto Primary School</t>
  </si>
  <si>
    <t>Airly Primary School</t>
  </si>
  <si>
    <t>Alamanda K-9 College</t>
  </si>
  <si>
    <t>Bulleen Heights School</t>
  </si>
  <si>
    <t>Albanvale Primary School</t>
  </si>
  <si>
    <t>Gladysdale Primary School</t>
  </si>
  <si>
    <t>Footscray City Primary School</t>
  </si>
  <si>
    <t>Glen Eira College</t>
  </si>
  <si>
    <t>Glen Huntly Primary School</t>
  </si>
  <si>
    <t>Footscray North Primary School</t>
  </si>
  <si>
    <t>Footscray Primary School</t>
  </si>
  <si>
    <t>Glen Iris Primary School</t>
  </si>
  <si>
    <t>Glen Katherine Primary School</t>
  </si>
  <si>
    <t>Footscray West Primary School</t>
  </si>
  <si>
    <t>Forest Hill College</t>
  </si>
  <si>
    <t>Glen Waverley Primary School</t>
  </si>
  <si>
    <t>Glen Waverley Secondary College</t>
  </si>
  <si>
    <t>Leongatha Primary School</t>
  </si>
  <si>
    <t>Forest Street Primary School</t>
  </si>
  <si>
    <t>Forrest Primary School</t>
  </si>
  <si>
    <t>Bacchus Marsh Primary School</t>
  </si>
  <si>
    <t>Baden Powell P-9 College</t>
  </si>
  <si>
    <t>Badger Creek Primary School</t>
  </si>
  <si>
    <t>Baimbridge College</t>
  </si>
  <si>
    <t>Anglesea Primary School</t>
  </si>
  <si>
    <t>Antonio Park Primary School</t>
  </si>
  <si>
    <t>Apollo Bay P-12 College</t>
  </si>
  <si>
    <t>Apollo Parkways Primary School</t>
  </si>
  <si>
    <t>Appin Park Primary School</t>
  </si>
  <si>
    <t>Apsley Primary School</t>
  </si>
  <si>
    <t>Bairnsdale Primary School</t>
  </si>
  <si>
    <t>Balwyn Primary School</t>
  </si>
  <si>
    <t>Bandiana Primary School</t>
  </si>
  <si>
    <t>Bannockburn Primary School</t>
  </si>
  <si>
    <t>Vermont Secondary College</t>
  </si>
  <si>
    <t>Kennington Primary School</t>
  </si>
  <si>
    <t>Kensington Primary School</t>
  </si>
  <si>
    <t>Melton Primary School</t>
  </si>
  <si>
    <t>Kent Park Primary School</t>
  </si>
  <si>
    <t>Kerang Primary School</t>
  </si>
  <si>
    <t>Kerang South Primary School</t>
  </si>
  <si>
    <t>Melton Secondary College</t>
  </si>
  <si>
    <t>Preston Primary School</t>
  </si>
  <si>
    <t>Preston South Primary School</t>
  </si>
  <si>
    <t>Vermont South Special School</t>
  </si>
  <si>
    <t>Greensborough Secondary College</t>
  </si>
  <si>
    <t>Banyan Fields Primary School</t>
  </si>
  <si>
    <t>Banyule Primary School</t>
  </si>
  <si>
    <t>Preston North East Primary School</t>
  </si>
  <si>
    <t>Preston West Primary School</t>
  </si>
  <si>
    <t>Princes Hill Primary School</t>
  </si>
  <si>
    <t>Verney Road School</t>
  </si>
  <si>
    <t>Victoria University Secondary College</t>
  </si>
  <si>
    <t>Baranduda Primary School</t>
  </si>
  <si>
    <t>Baringa Special School</t>
  </si>
  <si>
    <t>Princes Hill Secondary College</t>
  </si>
  <si>
    <t>Baringhup Primary School</t>
  </si>
  <si>
    <t>Barnawartha Primary School</t>
  </si>
  <si>
    <t>Barwon Heads Primary School</t>
  </si>
  <si>
    <t>Puckapunyal Primary School</t>
  </si>
  <si>
    <t>Pyalong Primary School</t>
  </si>
  <si>
    <t>Pyramid Hill College</t>
  </si>
  <si>
    <t>Greenvale Primary School</t>
  </si>
  <si>
    <t>Barwon Valley School</t>
  </si>
  <si>
    <t>Bass Valley Primary School</t>
  </si>
  <si>
    <t>Greta Valley Primary School</t>
  </si>
  <si>
    <t>Grey Street Primary School (Traralgon)</t>
  </si>
  <si>
    <t>Greythorn Primary School</t>
  </si>
  <si>
    <t>Kerang Technical High School</t>
  </si>
  <si>
    <t>Newcomb Secondary College</t>
  </si>
  <si>
    <t>Quambatook Group School</t>
  </si>
  <si>
    <t>Quarry Hill Primary School</t>
  </si>
  <si>
    <t>Swan Hill College</t>
  </si>
  <si>
    <t>Grovedale College</t>
  </si>
  <si>
    <t>Grovedale Primary School</t>
  </si>
  <si>
    <t>Grovedale West Primary School</t>
  </si>
  <si>
    <t>Swan Hill North Primary School</t>
  </si>
  <si>
    <t>Swan Hill Primary School</t>
  </si>
  <si>
    <t>Gruyere Primary School</t>
  </si>
  <si>
    <t>Gunbower Primary School</t>
  </si>
  <si>
    <t>Newham Primary School</t>
  </si>
  <si>
    <t>Newhaven Primary School</t>
  </si>
  <si>
    <t>Newlands Primary School</t>
  </si>
  <si>
    <t>Swan Hill Specialist School</t>
  </si>
  <si>
    <t>Swan Reach Primary School</t>
  </si>
  <si>
    <t>Swifts Creek P-12 School (Flagstaff Campus)</t>
  </si>
  <si>
    <t>Swifts Creek P-12 School (Tambo Campus)</t>
  </si>
  <si>
    <t>Newlyn Primary School</t>
  </si>
  <si>
    <t>Newmerella Primary School</t>
  </si>
  <si>
    <t>Newport Lakes Primary School</t>
  </si>
  <si>
    <t>Newstead Primary School</t>
  </si>
  <si>
    <t>Keilor Heights Primary School</t>
  </si>
  <si>
    <t>Kerrimuir Primary School</t>
  </si>
  <si>
    <t>Newtown Primary School</t>
  </si>
  <si>
    <t>Nhill College</t>
  </si>
  <si>
    <t>Nichols Point Primary School</t>
  </si>
  <si>
    <t>Nicholson Primary School</t>
  </si>
  <si>
    <t>Swinburne Senior Secondary College</t>
  </si>
  <si>
    <t>Sydenham - Hillside Primary School</t>
  </si>
  <si>
    <t>Niddrie Primary School</t>
  </si>
  <si>
    <t>Sydney Road Community School</t>
  </si>
  <si>
    <t>Keilor Primary School</t>
  </si>
  <si>
    <t>Keilor Views Primary School</t>
  </si>
  <si>
    <t>Melrose Primary School</t>
  </si>
  <si>
    <t>Syndal South Primary School</t>
  </si>
  <si>
    <t>Urquhart Park Primary School</t>
  </si>
  <si>
    <t>Valkstone Primary School</t>
  </si>
  <si>
    <t>Vermont Primary School</t>
  </si>
  <si>
    <t>Lindenow South Primary School</t>
  </si>
  <si>
    <t>Linton Primary School</t>
  </si>
  <si>
    <t>Lismore Primary School</t>
  </si>
  <si>
    <t>Little Bendigo Primary School</t>
  </si>
  <si>
    <t>Little River Primary School</t>
  </si>
  <si>
    <t>Livingstone Primary School</t>
  </si>
  <si>
    <t>Lilydale Primary School</t>
  </si>
  <si>
    <t>Lilydale West Primary School</t>
  </si>
  <si>
    <t>Lindenow Primary School</t>
  </si>
  <si>
    <t>Moreland Primary School</t>
  </si>
  <si>
    <t>Moriac Primary School</t>
  </si>
  <si>
    <t>Mornington Park Primary School</t>
  </si>
  <si>
    <t>Lucknow Primary School</t>
  </si>
  <si>
    <t>Lynall Hall Community School</t>
  </si>
  <si>
    <t>Lynbrook Primary School</t>
  </si>
  <si>
    <t>Noorat Primary School</t>
  </si>
  <si>
    <t>Noorinbee Primary School</t>
  </si>
  <si>
    <t>Norris Bank Primary School</t>
  </si>
  <si>
    <t>North Geelong Secondary College</t>
  </si>
  <si>
    <t>North Melbourne Primary School</t>
  </si>
  <si>
    <t>Longford Primary School</t>
  </si>
  <si>
    <t>Longwarry Primary School</t>
  </si>
  <si>
    <t>Lorne - Aireys Inlet P-12 College</t>
  </si>
  <si>
    <t>Portland South Primary School</t>
  </si>
  <si>
    <t>Powlett River Primary School</t>
  </si>
  <si>
    <t>Ringwood Heights Primary School</t>
  </si>
  <si>
    <t>Ringwood North Primary School</t>
  </si>
  <si>
    <t>Ringwood Secondary College</t>
  </si>
  <si>
    <t>Ripponlea Primary School</t>
  </si>
  <si>
    <t>Lowanna College</t>
  </si>
  <si>
    <t>Lower Plenty Primary School</t>
  </si>
  <si>
    <t>Sandringham East Primary School</t>
  </si>
  <si>
    <t>Sandringham Primary School</t>
  </si>
  <si>
    <t>Sassafras Primary School</t>
  </si>
  <si>
    <t>Reservoir East Primary School</t>
  </si>
  <si>
    <t>Reservoir High School</t>
  </si>
  <si>
    <t>Reservoir Primary School</t>
  </si>
  <si>
    <t>Reservoir West Primary School</t>
  </si>
  <si>
    <t>Richmond Primary School</t>
  </si>
  <si>
    <t>Richmond West Primary School</t>
  </si>
  <si>
    <t>Riddells Creek Primary School</t>
  </si>
  <si>
    <t>Mornington Primary School</t>
  </si>
  <si>
    <t>Mornington Secondary College</t>
  </si>
  <si>
    <t>Mornington Special Developmental School</t>
  </si>
  <si>
    <t>Piangil Primary School</t>
  </si>
  <si>
    <t>Pomonal Primary School</t>
  </si>
  <si>
    <t>Poowong Consolidated School</t>
  </si>
  <si>
    <t>Porepunkah Primary School</t>
  </si>
  <si>
    <t>Port Fairy Consolidated School</t>
  </si>
  <si>
    <t>Port Melbourne Primary School</t>
  </si>
  <si>
    <t>Portland North Primary School</t>
  </si>
  <si>
    <t>Portland Primary School</t>
  </si>
  <si>
    <t>Portland Secondary College</t>
  </si>
  <si>
    <t>River Gum Primary School</t>
  </si>
  <si>
    <t>Roberts McCubbin Primary School</t>
  </si>
  <si>
    <t>Robinvale College</t>
  </si>
  <si>
    <t>Scoresby Primary School</t>
  </si>
  <si>
    <t>Nilma Primary School</t>
  </si>
  <si>
    <t>Noble Park English Language School</t>
  </si>
  <si>
    <t>Noble Park Primary School</t>
  </si>
  <si>
    <t>Noble Park Secondary College</t>
  </si>
  <si>
    <t>Lloyd Street Primary School</t>
  </si>
  <si>
    <t>Loch Primary School</t>
  </si>
  <si>
    <t>Loch Sport Primary School</t>
  </si>
  <si>
    <t>Lockington Consolidated School</t>
  </si>
  <si>
    <t>Noojee Primary School</t>
  </si>
  <si>
    <t>Lockwood Primary School</t>
  </si>
  <si>
    <t>Lockwood South Primary School</t>
  </si>
  <si>
    <t>Pinewood Primary School</t>
  </si>
  <si>
    <t>Plenty Parklands Primary School</t>
  </si>
  <si>
    <t>Point Cook Senior Secondary College</t>
  </si>
  <si>
    <t>Port Phillip Specialist School</t>
  </si>
  <si>
    <t>Portarlington Primary School</t>
  </si>
  <si>
    <t>Sunshine Harvester Primary School</t>
  </si>
  <si>
    <t>Sunshine Heights Primary School</t>
  </si>
  <si>
    <t>Rochester Primary School</t>
  </si>
  <si>
    <t>Rochester Secondary College</t>
  </si>
  <si>
    <t>Rokewood Primary School</t>
  </si>
  <si>
    <t>Rolling Hills Primary School</t>
  </si>
  <si>
    <t>Rollins Primary School</t>
  </si>
  <si>
    <t>Tempy Primary School</t>
  </si>
  <si>
    <t>Terang College</t>
  </si>
  <si>
    <t>The Basin Primary School</t>
  </si>
  <si>
    <t>Sussex Heights Primary School</t>
  </si>
  <si>
    <t>Rosebud Primary School</t>
  </si>
  <si>
    <t>Rosebud Secondary College</t>
  </si>
  <si>
    <t>Rosedale Primary School</t>
  </si>
  <si>
    <t>Queenscliff Primary School</t>
  </si>
  <si>
    <t>Rainbow P-12 College (interim name)</t>
  </si>
  <si>
    <t>Ranfurly Primary School</t>
  </si>
  <si>
    <t>Rangebank Primary School</t>
  </si>
  <si>
    <t>Rangeview Primary School</t>
  </si>
  <si>
    <t>Rawson Primary School</t>
  </si>
  <si>
    <t>Red Cliffs East Primary School</t>
  </si>
  <si>
    <t>Red Cliffs Primary School</t>
  </si>
  <si>
    <t>Red Cliffs Secondary College</t>
  </si>
  <si>
    <t>Red Hill Consolidated School</t>
  </si>
  <si>
    <t>Regency Park Primary School</t>
  </si>
  <si>
    <t>Research Primary School</t>
  </si>
  <si>
    <t>Sunbury West Primary School</t>
  </si>
  <si>
    <t>Sunnycliffs Primary School</t>
  </si>
  <si>
    <t>Sunshine North Primary School</t>
  </si>
  <si>
    <t>Sunshine Primary School</t>
  </si>
  <si>
    <t>Sunshine Special Developmental School</t>
  </si>
  <si>
    <t>Surfside Primary School</t>
  </si>
  <si>
    <t>Surrey Hills Primary School</t>
  </si>
  <si>
    <t>Romsey Primary School</t>
  </si>
  <si>
    <t>Rosamond Special School</t>
  </si>
  <si>
    <t>Rosanna Golf Links Primary School</t>
  </si>
  <si>
    <t>Rosanna Primary School</t>
  </si>
  <si>
    <t>Sunbury Primary School</t>
  </si>
  <si>
    <t>The Grange P-12 College</t>
  </si>
  <si>
    <t>The Lake Primary School</t>
  </si>
  <si>
    <t>The Patch Primary School</t>
  </si>
  <si>
    <t>Thomas Chirnside Primary School</t>
  </si>
  <si>
    <t>Thomas Mitchell Primary School</t>
  </si>
  <si>
    <t>Thomastown East Primary School</t>
  </si>
  <si>
    <t>Thomastown Meadows Primary School</t>
  </si>
  <si>
    <t>Thomastown Primary School</t>
  </si>
  <si>
    <t>Willmott Park Primary School</t>
  </si>
  <si>
    <t>Willow Grove Primary School</t>
  </si>
  <si>
    <t>Willowmavin Primary School</t>
  </si>
  <si>
    <t>Taggerty Primary School</t>
  </si>
  <si>
    <t>Talgarno Primary School</t>
  </si>
  <si>
    <t>Wilmot Road Primary School Shepparton</t>
  </si>
  <si>
    <t>Winchelsea Primary School</t>
  </si>
  <si>
    <t>Tallangatta Primary School</t>
  </si>
  <si>
    <t>Tallangatta Secondary College</t>
  </si>
  <si>
    <t>Winters Flat Primary School</t>
  </si>
  <si>
    <t>Winton Primary School</t>
  </si>
  <si>
    <t>Woady Yaloak Primary School</t>
  </si>
  <si>
    <t>Wodonga Middle Years College</t>
  </si>
  <si>
    <t>Tallangatta Valley Primary School</t>
  </si>
  <si>
    <t>Tallarook Primary School</t>
  </si>
  <si>
    <t>Tallygaroopna Primary School</t>
  </si>
  <si>
    <t>Tambo Upper Primary School</t>
  </si>
  <si>
    <t>Taradale Primary School</t>
  </si>
  <si>
    <t>Tarnagulla Primary School</t>
  </si>
  <si>
    <t>Tarneit P-9 College</t>
  </si>
  <si>
    <t>Wodonga Primary School</t>
  </si>
  <si>
    <t>Tarneit Senior College</t>
  </si>
  <si>
    <t>Tarwin Lower Primary School</t>
  </si>
  <si>
    <t>Tarwin Valley Primary School</t>
  </si>
  <si>
    <t>Tate Street Primary School Geelong</t>
  </si>
  <si>
    <t>Tatura Primary School</t>
  </si>
  <si>
    <t>Tawonga Primary School</t>
  </si>
  <si>
    <t>Taylors Lakes Primary School</t>
  </si>
  <si>
    <t>Swifts Creek P-12 School</t>
  </si>
  <si>
    <t>Diamond Creek Living and Learning Centre</t>
  </si>
  <si>
    <t>Australian Centre of Further Education</t>
  </si>
  <si>
    <t>Albert Park Primary School</t>
  </si>
  <si>
    <t>Ararat Primary School</t>
  </si>
  <si>
    <t>Benton Junior College</t>
  </si>
  <si>
    <t>Fountain Gate Secondary College</t>
  </si>
  <si>
    <t>Grahamvale Primary School</t>
  </si>
  <si>
    <t>Malvern Valley Primary School</t>
  </si>
  <si>
    <t>Moe Primary School</t>
  </si>
  <si>
    <t>Monash Special Developmental School</t>
  </si>
  <si>
    <t>Oak Park Primary School</t>
  </si>
  <si>
    <t>Redesdale Mia Mia Primary School</t>
  </si>
  <si>
    <t>Bendigo Campus</t>
  </si>
  <si>
    <t>Broadmeadows Campus</t>
  </si>
  <si>
    <t>Bendigo Special Developmental School</t>
  </si>
  <si>
    <t>Nyah District Primary School</t>
  </si>
  <si>
    <t>Department of Environment Land Water and Planning (DELWP)</t>
  </si>
  <si>
    <t>Southern Alpine Resort Management Board (Mount Baw Baw Alpine and Lake Mountain)</t>
  </si>
  <si>
    <t>Old Treasury Building Reserve Committee Of Management</t>
  </si>
  <si>
    <t>Central Highlands Region Water Corporation</t>
  </si>
  <si>
    <t>Goulburn-Murray Water</t>
  </si>
  <si>
    <t>GWMWater</t>
  </si>
  <si>
    <t>VicWater</t>
  </si>
  <si>
    <t>Wannon Region Water Corporation</t>
  </si>
  <si>
    <t>Surf Life Saving Victoria</t>
  </si>
  <si>
    <t>Mt Egerton Recreation Reserve Committee Of Management Incorporated</t>
  </si>
  <si>
    <t>Mt Richmond Recreation Reserve Committee Inc</t>
  </si>
  <si>
    <t>Mt Taylor Public Hall &amp; Recreation Reserve Committee Incorporated</t>
  </si>
  <si>
    <t>Muckatah Recreation Reserve Incorporated</t>
  </si>
  <si>
    <t>Muckleford Hall And Recreation Reserve Incorporated</t>
  </si>
  <si>
    <t>Mudgeegonga Hall Reserve Committee Incorporated</t>
  </si>
  <si>
    <t>Mumbannar Recreation Reserve</t>
  </si>
  <si>
    <t>Murchison Recreation Reserve Committee Of Mgmt Inc</t>
  </si>
  <si>
    <t>Murchison River Road Caravan Park Incorporated</t>
  </si>
  <si>
    <t>Murgheboluc Recreation &amp; Public Hall Reserve Com Inc</t>
  </si>
  <si>
    <t>Murmungee Recreation Reserve Committee Incorporated</t>
  </si>
  <si>
    <t>Murrabit Market Playground Reserve Committee Of Management</t>
  </si>
  <si>
    <t>Murrabit Recreation Reserve Committee Of Management</t>
  </si>
  <si>
    <t>North East Waste And Resource Recovery Group</t>
  </si>
  <si>
    <t>North Harrow Recreation Reserve Committee</t>
  </si>
  <si>
    <t>Northern Loch Public Recreation Reserve</t>
  </si>
  <si>
    <t>Lower Bendoc Public Hall &amp; Recreation Reserve C Of M</t>
  </si>
  <si>
    <t>Lower Cape Bridgewater Hall &amp; Recreation Reserve Committee Incorporated</t>
  </si>
  <si>
    <t>Lubeck Soldiers Memorial Park Reserve Committee Incorporated</t>
  </si>
  <si>
    <t>Lurg Public Hall Reserve Committee Of Management</t>
  </si>
  <si>
    <t>Lyons Hall And Recreation Reserve</t>
  </si>
  <si>
    <t>Macarthur Old Racecourse Committee Of Management Inc</t>
  </si>
  <si>
    <t>Macarthur Recreation Reserve Incorporated</t>
  </si>
  <si>
    <t>Jarklin Public Hall Incorporated</t>
  </si>
  <si>
    <t>Jeeralang North Hall Committee Incorporated</t>
  </si>
  <si>
    <t>Jeffcott Public Hall &amp; Recreation Reserve C.O.M.</t>
  </si>
  <si>
    <t>Jeparit Recreation Reserve Committee Of Management Incorporated</t>
  </si>
  <si>
    <t>Jindivick Mechanics Institute Incorporated</t>
  </si>
  <si>
    <t>Joel Joel Public Hall Reserve Incorporated</t>
  </si>
  <si>
    <t>Johanna Public Purposes Reserve Committee</t>
  </si>
  <si>
    <t>Johnny Mullagh Recreation Reserve</t>
  </si>
  <si>
    <t>Johnsonville Public Hall Committee Incorporated</t>
  </si>
  <si>
    <t>Jumbuk Hall Management Committee Incorporated</t>
  </si>
  <si>
    <t>Jung Recreation Reserve Committee Inc.</t>
  </si>
  <si>
    <t>Justice Health Ministerial Advisory Committee</t>
  </si>
  <si>
    <t>Kalkee Recreation Reserve Committee Incorporated</t>
  </si>
  <si>
    <t>Port Fairy Showgrounds Reserve</t>
  </si>
  <si>
    <t>Port Fairy To Warrnambool Rail Trail Committee Inc</t>
  </si>
  <si>
    <t>Port Franklin Public Purposes And Recreation Reserve Incorporated</t>
  </si>
  <si>
    <t>Port Of Geelong</t>
  </si>
  <si>
    <t>Port Of Hastings Development Authority</t>
  </si>
  <si>
    <t>Port Of Portland</t>
  </si>
  <si>
    <t>Port Welshpool Recreation And Mechanics Institute Reserve Committee Incorporated</t>
  </si>
  <si>
    <t>Seaspray Reserves Committee Of Mngmt Incorporated</t>
  </si>
  <si>
    <t>Ventnor Recreation Reserve Committee Of Management Incorporated</t>
  </si>
  <si>
    <t>Victoria Grants Commission</t>
  </si>
  <si>
    <t>Victoria Lagoon Recreation Reserve Committee Incorporated</t>
  </si>
  <si>
    <t>Victoria Park Inverleigh Reserve Committee Of Management Incorporated</t>
  </si>
  <si>
    <t>Victoria Valley Public Hall Reserve Committee</t>
  </si>
  <si>
    <t>Ardmona Recreation Reserve</t>
  </si>
  <si>
    <t>Areegra Recreation Reserve</t>
  </si>
  <si>
    <t>Arnold Public Hall Committee</t>
  </si>
  <si>
    <t>Aubrey Public Hall &amp; Recreation Reserve Committee Incorporated</t>
  </si>
  <si>
    <t>Avenel Museum  Courthouse Public Recreation And Playgound Reserves Committee Incorporated.</t>
  </si>
  <si>
    <t>Avenel Pioneer Park</t>
  </si>
  <si>
    <t>Avenel Recreation Reserve Committee Incorporated</t>
  </si>
  <si>
    <t>Avian Park Raceway (Wangaratta) Management Committee Incorporated</t>
  </si>
  <si>
    <t>Dartmoor Recreation Reserve</t>
  </si>
  <si>
    <t>Tahara Hall And Recreation Reserve Committee Inc</t>
  </si>
  <si>
    <t>Talbot Recreation Reserve Committee Of Management</t>
  </si>
  <si>
    <t>Talbot Soldiers Memorial Park Committee Of Mgmt</t>
  </si>
  <si>
    <t>Talgarno Hall Committee Of Management</t>
  </si>
  <si>
    <t>Tallandoon Recreation Reserve Committee Of Management</t>
  </si>
  <si>
    <t>Buckley Swamp Recreation Reserve Committee Incorporated</t>
  </si>
  <si>
    <t>Buckrabanyule Public Hall Committee Of Management</t>
  </si>
  <si>
    <t>Budgeree Hall Reserve Committee Incorporated</t>
  </si>
  <si>
    <t>Budgerum West Public Purposes Reserve Incorporated</t>
  </si>
  <si>
    <t>Budj Bim Council</t>
  </si>
  <si>
    <t>Buffalo Community Centre Incorporated</t>
  </si>
  <si>
    <t>Buffalo Recreation Reserve Incorporated</t>
  </si>
  <si>
    <t>Building Advisory Council</t>
  </si>
  <si>
    <t>Building Appeals Board</t>
  </si>
  <si>
    <t>Building Practitioners Board</t>
  </si>
  <si>
    <t>Building Regulations Advisory Committee</t>
  </si>
  <si>
    <t>Bullarook Recreation Reserve Committee Incorporated</t>
  </si>
  <si>
    <t>Bullarto Public Hall Committee Incorporated</t>
  </si>
  <si>
    <t>Bullumwaal Hall Committee Incorporated</t>
  </si>
  <si>
    <t>Bumbang Bushland Reserve</t>
  </si>
  <si>
    <t>Murrayville Recreation Reserve Committee Incorporated</t>
  </si>
  <si>
    <t>Murtoa Racecourse &amp; Recreation Reserve Committee Incorporated</t>
  </si>
  <si>
    <t>Murtoa Showyards Reserve Committee Incorporated</t>
  </si>
  <si>
    <t>Myamyn Public Hall, Sports &amp; Showgrounds Reserve Committee Incorporated</t>
  </si>
  <si>
    <t>Myrniong Mechanics Institute Reserve Committee Of Management Incorporated</t>
  </si>
  <si>
    <t>Myrniong Recreation Reserve Committee Incorporated</t>
  </si>
  <si>
    <t>Myrrhee Recreation Reserve</t>
  </si>
  <si>
    <t>Myrtleford Recreation Reserve Incorporated</t>
  </si>
  <si>
    <t>Myrtleford Scout &amp; Guide Hall Reserve (Friendship House) C.O.M.</t>
  </si>
  <si>
    <t>Mysia Recreation Reserve Committee Of Management</t>
  </si>
  <si>
    <t>Nambrok Hall And Recreation Reserve Incorporated</t>
  </si>
  <si>
    <t>Macks Creek Hall Committee Incorporated</t>
  </si>
  <si>
    <t>Macorna Recreation Reserve Incorporated</t>
  </si>
  <si>
    <t>Mag Dam Reserve Committee Incorporated</t>
  </si>
  <si>
    <t>Magorra Park Multi-Sporting Precinct Com Inc</t>
  </si>
  <si>
    <t>Magorra Public Park Committee Of Management Incorporated</t>
  </si>
  <si>
    <t>Majorca Victoria Park Gardens And Public Hall Committee.</t>
  </si>
  <si>
    <t>Maldon Athenaeum Reserve Committee Of Management</t>
  </si>
  <si>
    <t>Maldon Racecourse Reserve Committee Of Management</t>
  </si>
  <si>
    <t>Malone Park Recreation Committee Of Management</t>
  </si>
  <si>
    <t>Kallista Mechanics Institute Hall Committee Of Management Incorproated</t>
  </si>
  <si>
    <t>Kamarooka Recreation Reserve Committee Of Management</t>
  </si>
  <si>
    <t>Kanagulk Memorial Reserve Incorporated</t>
  </si>
  <si>
    <t>Kangaroo Flat Bushland Reserve Committee Of Management</t>
  </si>
  <si>
    <t>Katamatite Racecourse &amp; Recreation Reserve Committee Of M</t>
  </si>
  <si>
    <t>Katandra Recreation Reserve Committee Of Management Incorporated</t>
  </si>
  <si>
    <t>Kawarren Recreation Reserve Committee Incorporated</t>
  </si>
  <si>
    <t>Seaton Reserve Committee Of Management Incorporated</t>
  </si>
  <si>
    <t>Seaview Public Hall Committee Incorporated</t>
  </si>
  <si>
    <t>Sebastian Racecourse And Recreation Reserve Committee Of Management Incorporated</t>
  </si>
  <si>
    <t>Sedgwick Public Hall Recreation And Conservation Reserve Com</t>
  </si>
  <si>
    <t>Serpentine Recreation Reserve Committee Of Management.</t>
  </si>
  <si>
    <t>Serviceton Recreation Reserve Committee Incorporated</t>
  </si>
  <si>
    <t>Seymour Racecourse Reserve Committee Of Management Inc</t>
  </si>
  <si>
    <t>Shady Creek Hall Committee Incorporated</t>
  </si>
  <si>
    <t>Shallow Inlet Camping And Recreation Reserve Incorporated</t>
  </si>
  <si>
    <t>Sheep Hills Recreation Reserve Committee Incorporated</t>
  </si>
  <si>
    <t>Sheep Station Creek Road Reserve Com Inc</t>
  </si>
  <si>
    <t>Victorian Catchment Management Council</t>
  </si>
  <si>
    <t>Victorian Coastal Council</t>
  </si>
  <si>
    <t>Victorian Electrolysis Committee</t>
  </si>
  <si>
    <t>Victorian Environmental Assessment Council</t>
  </si>
  <si>
    <t>Victorian Environmental Water Holder</t>
  </si>
  <si>
    <t>Victorian Mineral Water Committee</t>
  </si>
  <si>
    <t>Avoca Racecourse Reserve Committee Incorporated</t>
  </si>
  <si>
    <t>Axedale Public Purposes Reserve Committee Of Management</t>
  </si>
  <si>
    <t>Axedale Recreation Reserve Committee Of Management Incorporated</t>
  </si>
  <si>
    <t>Ayrford Public Hall Committee Of Management Incorporated</t>
  </si>
  <si>
    <t>Bacchus Marsh Council Trench Reserve Com Inc</t>
  </si>
  <si>
    <t>Badger Creek Hall Management Committee Incorporated</t>
  </si>
  <si>
    <t>Bagshot Recreation Reserve Incorporated</t>
  </si>
  <si>
    <t>Bairnsdale Racecourse &amp; Recreation Reserve C Of M Inc.</t>
  </si>
  <si>
    <t>Baker Golf Club Committee Of Management Incorporated</t>
  </si>
  <si>
    <t>Tallangatta Public Hall Committee Of Management</t>
  </si>
  <si>
    <t>Tanjil South Recreation Reserve Committee Incorporated</t>
  </si>
  <si>
    <t>Tarnagulla Public Hall Committee Of Management</t>
  </si>
  <si>
    <t>Tarnagulla Recreation Parks Committee Of Management Incorporated</t>
  </si>
  <si>
    <t>Tarraville Recreation  Reserve Committee Of Management Incorporated</t>
  </si>
  <si>
    <t>Tarrawingee Hall Reserve</t>
  </si>
  <si>
    <t>Tarrawingee Recreation Reserve Committee Of Management Inc</t>
  </si>
  <si>
    <t>Tarrington Public Park &amp; Recreation Reserve Incorporated</t>
  </si>
  <si>
    <t>Tarrone Recreation Reserve Committee Of Management Incorporated</t>
  </si>
  <si>
    <t>Tarwin Lower Mechanics Institute Committee Of Management Incorporated</t>
  </si>
  <si>
    <t>Bungaree Recreation Reserve Committee Incorporated</t>
  </si>
  <si>
    <t>Bunyip Showgrounds Reserve Com Inc.</t>
  </si>
  <si>
    <t>Burke Road Billabong Committee Of Management Inc</t>
  </si>
  <si>
    <t>Burrumbeet Racecourse And Recreation Reserve Committee Of Management Inc</t>
  </si>
  <si>
    <t>Butson Park Reserve Committee Incorporated</t>
  </si>
  <si>
    <t>Byaduk Mechanics Institute</t>
  </si>
  <si>
    <t>Byaduk Recreation Reserve</t>
  </si>
  <si>
    <t>Byawatha Recreation Reserve</t>
  </si>
  <si>
    <t>Byrneside Public Hall Reserve Incorporated</t>
  </si>
  <si>
    <t>Cabbage Tree Creek Hall C Of M Incorporated</t>
  </si>
  <si>
    <t>Nandaly Public Hall Committee Of Management Incorporated</t>
  </si>
  <si>
    <t>Nandaly Recreation Reserve Committee Of Management Incorporated</t>
  </si>
  <si>
    <t>Nangiloc Public Hall Committee Inc (Part Of Recreation Reserve)</t>
  </si>
  <si>
    <t>Napier Waller Committee Of Management Incorporated</t>
  </si>
  <si>
    <t>Napoleons Memorial Hall Committee Incorporated</t>
  </si>
  <si>
    <t>Napoleons Recreation Reserve Committee Incorporated</t>
  </si>
  <si>
    <t>Narbethong Public Hall Committee Inc</t>
  </si>
  <si>
    <t>Nariel Creek Reserve Incorporated</t>
  </si>
  <si>
    <t>Narrawong Camping And Recreation Reserve Corporation</t>
  </si>
  <si>
    <t>Narrawong Mechanics Hall Incorporated</t>
  </si>
  <si>
    <t>Narre Warren North Hall &amp; Recreation Com Inc</t>
  </si>
  <si>
    <t>Manangatang Public Hall Committee Inc</t>
  </si>
  <si>
    <t>Manangatang Recreation Reserve Inc.</t>
  </si>
  <si>
    <t>Mandurang Recreation Reserve Committee Of Mgmt</t>
  </si>
  <si>
    <t>Mandurang South Recreation Reserve Committee Of Management</t>
  </si>
  <si>
    <t>Mansfield Racecourse Committee Of Management Incorporated</t>
  </si>
  <si>
    <t>Marine Rescue Victoria</t>
  </si>
  <si>
    <t>Market Reserve (Lower Cape Bridgewater)</t>
  </si>
  <si>
    <t>Marlay Point Public Purposes Reserve</t>
  </si>
  <si>
    <t>Kaweka Wildfower Reserve Committee Of Management</t>
  </si>
  <si>
    <t>Kelvin View Public Hall And Recreation Reserve Committee</t>
  </si>
  <si>
    <t>Kenmare Historical Interest Reserve</t>
  </si>
  <si>
    <t>Kennedy Oval-Hamilton</t>
  </si>
  <si>
    <t>Kennedys Creek Public Hall Committee Incorporated</t>
  </si>
  <si>
    <t>Kergunyah Hall Committee Of Management Incorporated</t>
  </si>
  <si>
    <t>Kergunyah Streamside Reserve Committee Of Management</t>
  </si>
  <si>
    <t>Shelford Public Hall Reserve Committee Of Management Inc</t>
  </si>
  <si>
    <t>Shelford Recreation Reserve Committee Of Management Inc.</t>
  </si>
  <si>
    <t>Shepparton Racecourse And Recreation Reserve C Of M Inc</t>
  </si>
  <si>
    <t>Shoreham Foreshore Reserve Incorporated</t>
  </si>
  <si>
    <t>Simpson Recreation Reserve Committee Of Management Incorporated</t>
  </si>
  <si>
    <t>Skipton Mechanics Hall Committee Incorporated</t>
  </si>
  <si>
    <t>Skipton Recreation Reserve Committee Of Management</t>
  </si>
  <si>
    <t>Slaty Creek Hall Reserve Committee Of Management</t>
  </si>
  <si>
    <t>Vinifera Recreation Reserve Committee Of Management Inc.</t>
  </si>
  <si>
    <t>Vite Vite North Public Hall Reserve Committee Of Management Incorporated</t>
  </si>
  <si>
    <t>Wahgunyah Racecourse And Recreation Reserve Committee Of Management Incorporated</t>
  </si>
  <si>
    <t>Wahgunyah School Of Arts Committee Of Management Incorporated</t>
  </si>
  <si>
    <t>Wairewa Public Hall And Recreation Reserve Committee Of Management Inc.</t>
  </si>
  <si>
    <t>Ballan Caravan Park Committee Incorporated</t>
  </si>
  <si>
    <t>Ballan &amp; District Community House and Adult Education</t>
  </si>
  <si>
    <t>Ballan Racecourse And Recreation Reserve Incorporated</t>
  </si>
  <si>
    <t>Ballan Recreation Reserve Committee Incorporated</t>
  </si>
  <si>
    <t>Ballangeich School Hall Committee Of Management Incorporated</t>
  </si>
  <si>
    <t>Ballendella Public Hall &amp; Recreation Reserve Committee Of Management</t>
  </si>
  <si>
    <t>Balliang Public Hall &amp; Recreation Reserve Committee Incorporated</t>
  </si>
  <si>
    <t>Balmoral Mechanics Institute Incorporated</t>
  </si>
  <si>
    <t>Balmoral Showgrounds &amp; Public Recreation Reserve</t>
  </si>
  <si>
    <t>Balnarring Beach Foreshore And Parks Reserve Com Inc</t>
  </si>
  <si>
    <t>Tarwin Lower Recreation Reserve Committee Incorporated</t>
  </si>
  <si>
    <t>Tatong Memorial Hall Committee Incorporated</t>
  </si>
  <si>
    <t>Tatong Recreation Reserve Committee Of Management Inc.</t>
  </si>
  <si>
    <t>Tatura Public Gardens And Recreation Reserve</t>
  </si>
  <si>
    <t>Tatura Racecourse And Recreation Reserve</t>
  </si>
  <si>
    <t>Tawonga Caravan Park Committee Of Management Incorporated</t>
  </si>
  <si>
    <t>Tawonga Recreation Reserve Committee Of Management</t>
  </si>
  <si>
    <t>Teesdale Mechanics Institute Committee Of Management Incorporated</t>
  </si>
  <si>
    <t>Telopea Downs Recreation Reserve Committee Inc.</t>
  </si>
  <si>
    <t>Calivil North Tennis &amp;  Recreation Reserve C.O.M.</t>
  </si>
  <si>
    <t>Calivil Recreation Reserve Committee Of Management</t>
  </si>
  <si>
    <t>Campaspe Park Raceway Reserve Committee Of Management.</t>
  </si>
  <si>
    <t>Campbelltown Recreation And Public Hall Reserve Committee Of Management Incorporated</t>
  </si>
  <si>
    <t>Camperdown - Timboon Rail Trail Management Com. Inc</t>
  </si>
  <si>
    <t>Camperdown Racecourse And Recreation Reserve Committee Incorporated</t>
  </si>
  <si>
    <t>Canabore Recreation Reserve Committee Of Management</t>
  </si>
  <si>
    <t>Caniambo Recreation Reserve</t>
  </si>
  <si>
    <t>Cann River Hall &amp; Recreation Reserve Committee Of Managment Inc.</t>
  </si>
  <si>
    <t>Nathalia South Recreation Reserve Incorporated</t>
  </si>
  <si>
    <t>Natimuk Lake Foreshore Reserve Committee</t>
  </si>
  <si>
    <t>National Parks Advisory Council</t>
  </si>
  <si>
    <t>Natte Yallock Recreation Reserve Incorporated</t>
  </si>
  <si>
    <t>Navarre Public Hall Committee Incorporated</t>
  </si>
  <si>
    <t>Neerim Junction Hall Committee Incorporated</t>
  </si>
  <si>
    <t>Neerim Memorial Hall Committee Incorporated</t>
  </si>
  <si>
    <t>Neerim South Public Hall (Algie Hall) Committee Of Management Incorporated</t>
  </si>
  <si>
    <t>Nelson Public Reserves Committee Of Management Incorporated</t>
  </si>
  <si>
    <t>Nerrena Public Hall Committee Incorporated</t>
  </si>
  <si>
    <t>Marnoo Public Hall Reserve</t>
  </si>
  <si>
    <t>Merbein Racecourse And Recreation Reserve</t>
  </si>
  <si>
    <t>Merbein Recreation Reserve Committee Of Management Inc</t>
  </si>
  <si>
    <t>Meredith Racecourse &amp; Recreation Reserve Committee Incorporated</t>
  </si>
  <si>
    <t>Meredith Recreation Reserve Committee Of Management Incorporated</t>
  </si>
  <si>
    <t>Merino Mechanics Institute</t>
  </si>
  <si>
    <t>Merricks Beach Foreshore Committee Of Management Inc</t>
  </si>
  <si>
    <t>Merrigum  Hall Reserve Committee Incorporated</t>
  </si>
  <si>
    <t>Merrigum Park</t>
  </si>
  <si>
    <t>Merton Recreation And Memorial Hall Reserves Incorporated</t>
  </si>
  <si>
    <t>Metropolitan Waste And Resource Recovery Group</t>
  </si>
  <si>
    <t>Kiewa Memorial Park Reserve Committee Incorporated</t>
  </si>
  <si>
    <t>Kilmany Public Hall &amp; Recreation Reserve Incorporated</t>
  </si>
  <si>
    <t>Kilmore Court House Reserve Committee Of Management Incorporated</t>
  </si>
  <si>
    <t>Kilmore Cricket &amp; Recreation Reserve</t>
  </si>
  <si>
    <t>Kilmore East Recreation Reserve Incorporated</t>
  </si>
  <si>
    <t>Kinglake West Mechanics Institute  Hall &amp; Reserves  Committee  Inc</t>
  </si>
  <si>
    <t>Kingower Cricket And Recreation Reserve</t>
  </si>
  <si>
    <t>Snowy Wilderness Discovery Centre Committee Of Management Incoporated</t>
  </si>
  <si>
    <t>Somers Foreshore Committee Of Management Inc</t>
  </si>
  <si>
    <t>South Gippsland Region Water Corporation</t>
  </si>
  <si>
    <t>South Purrumbete Recreation Reserve</t>
  </si>
  <si>
    <t>Speed Recreation Reserve</t>
  </si>
  <si>
    <t>Wal Wal Recreation Reserve Incorporated</t>
  </si>
  <si>
    <t>Walhalla Board Of Management Incorporated</t>
  </si>
  <si>
    <t>Walkerville Foreshore Committee Incorporated</t>
  </si>
  <si>
    <t>Wallacedale Public Hall Committee Incorporated</t>
  </si>
  <si>
    <t>Wallacedale Recreation Reserve Incorporated</t>
  </si>
  <si>
    <t>Wallan Public Hall Incorporated</t>
  </si>
  <si>
    <t>Wallup Recreation Reserve Committee Incorporated</t>
  </si>
  <si>
    <t>Walpeup Lake Reserve Committee</t>
  </si>
  <si>
    <t>Walpeup Racecourse And Recreation Reserve Committee Inc.</t>
  </si>
  <si>
    <t>Walwa Services Memorial Hall Committee Of Management</t>
  </si>
  <si>
    <t>Walwa Tourist Park Incorporated</t>
  </si>
  <si>
    <t>Wandella Recreation Reserve Committee Of Management</t>
  </si>
  <si>
    <t>Wandiligong Alpine Park Committee Of Management Incorporated</t>
  </si>
  <si>
    <t>Wandiligong Caravan Camping Ground Committee Of Management</t>
  </si>
  <si>
    <t>Bamawm Extension Recreation Reserve Committee Inc</t>
  </si>
  <si>
    <t>Banyena Community Hall Incorporated</t>
  </si>
  <si>
    <t>Baring Recreation Reserve Committee of Management Incorporated</t>
  </si>
  <si>
    <t>Barkers Creek Recreation Reserve Committee Of Management</t>
  </si>
  <si>
    <t>Barkly Park (Taradale) Committee Of Management</t>
  </si>
  <si>
    <t>Barkly Public Hall And Recreation Reserve Committee Incorporated</t>
  </si>
  <si>
    <t>Barmah Public Hall Reserve</t>
  </si>
  <si>
    <t>Barmah Racecourse Reserve Incorporated</t>
  </si>
  <si>
    <t>Barnawartha Recreation Reserve Committee Of Management Incorporated</t>
  </si>
  <si>
    <t>Barwon Coast Committee Of Management Incorporated</t>
  </si>
  <si>
    <t>Tennyson Recreation Reserve Committee Of Management Inc</t>
  </si>
  <si>
    <t>Terang Public Park Reserve Committee Incorporated</t>
  </si>
  <si>
    <t>Terang Recreation Reserve Committee Of Management Inc.</t>
  </si>
  <si>
    <t>Thoona Mechanics Institute And Free Library Reserve</t>
  </si>
  <si>
    <t>Thoona Recreation Reserve Committee Of Management</t>
  </si>
  <si>
    <t>Thorpdale Mechanics Institute Reserve Incorporated</t>
  </si>
  <si>
    <t>Thorpdale Recreation Reserve Committee Of Management Incorporated</t>
  </si>
  <si>
    <t>Thowgla Hall &amp; Recreation Reserve Committee Of Management</t>
  </si>
  <si>
    <t>Cannibal Creek Recreation Reserve Com Inc</t>
  </si>
  <si>
    <t>Cannons Creek Foreshore Reserve</t>
  </si>
  <si>
    <t>Cape Clear Recreation Reserve</t>
  </si>
  <si>
    <t>Capel Sound Foreshore Committee Of Management Inc</t>
  </si>
  <si>
    <t>Caramut Recreation Reserves Incorporated</t>
  </si>
  <si>
    <t>Caramut War Memorial Hall Committee Incorporated</t>
  </si>
  <si>
    <t>Carlisle River Public Hall Committee Incorporated</t>
  </si>
  <si>
    <t>Netherby Community Committee Incorporated</t>
  </si>
  <si>
    <t>Netherby Memorial Park Committee Incorporated</t>
  </si>
  <si>
    <t>Newbridge Public Library Reserve Committee Of Management</t>
  </si>
  <si>
    <t>Newbridge Recreation Reserve Committee Of Management</t>
  </si>
  <si>
    <t>Newbury Public Hall And Recreation Reserve Com</t>
  </si>
  <si>
    <t>Newstead Racecourse Reserve Committee Of Management Incorporated</t>
  </si>
  <si>
    <t>Nhill Lake Reserve Committee Of Management</t>
  </si>
  <si>
    <t>Nhill Racecourse And Recreation Reserve Committee Incorporated</t>
  </si>
  <si>
    <t>Metropolitan/Victorian Planning Authority</t>
  </si>
  <si>
    <t>Mia Mia Recreation Reserve Committee Incorporated</t>
  </si>
  <si>
    <t>Milawa Recreation</t>
  </si>
  <si>
    <t>Millgrove Camp Committee Of Management</t>
  </si>
  <si>
    <t>Milloo Public Hall Reserve Committee Of Management</t>
  </si>
  <si>
    <t>Minhamite Recreation Reserve Committee Incorporated</t>
  </si>
  <si>
    <t>Minimay Recreation And Memorial Hall Reserves Incorporated</t>
  </si>
  <si>
    <t>Daylesford Museum Reserve Committee Of Management Incorporated</t>
  </si>
  <si>
    <t>Daylesford Trotting Track Reserve Committee Incorporated</t>
  </si>
  <si>
    <t>Deddick Recreation Reserve Committee Incorporated</t>
  </si>
  <si>
    <t>Dederang Recreation Reserve</t>
  </si>
  <si>
    <t>Deep Lake Recreation Reserve Committee Of Management</t>
  </si>
  <si>
    <t>Delegate River Public Hall Reserve Committee Of Manangement</t>
  </si>
  <si>
    <t>Denison Recreation Reserve Committee Incorporated</t>
  </si>
  <si>
    <t>Dergholm Recreation Reserve Incorporated</t>
  </si>
  <si>
    <t>Kirkstall Recreation Reserve</t>
  </si>
  <si>
    <t>Km Reedy Reserve Committee Incorporated</t>
  </si>
  <si>
    <t>Koetong - Shelley Development Association Inc</t>
  </si>
  <si>
    <t>Koetong Tennis Courts &amp; Recreation Reserve</t>
  </si>
  <si>
    <t>Kolora Tennis Club Reserve Committee Incorporated</t>
  </si>
  <si>
    <t>Koo Wee Rup Recreation Reserve Com Inc</t>
  </si>
  <si>
    <t>Koondrook Racecourse &amp; Public Recreation Res C.O.M</t>
  </si>
  <si>
    <t>Koondrook Recreation Reserve Committee Inc</t>
  </si>
  <si>
    <t>Koonwarra Mechanics Institute Reserve Committee Of Management Incorporated</t>
  </si>
  <si>
    <t>Koonwarra Memorial Park Reserve Committee Of Management</t>
  </si>
  <si>
    <t>Koonwarra Recreation Committee Incorporated</t>
  </si>
  <si>
    <t>Kooreh Memorial Hall Committee Incorporated</t>
  </si>
  <si>
    <t>Koorlong Public Hall Committee Incorporated</t>
  </si>
  <si>
    <t>Springdale Recreation Reserve Committee Of Management</t>
  </si>
  <si>
    <t>Springhurst Recreation And Community Hall Reserve</t>
  </si>
  <si>
    <t>St Arnaud Racecourse Reserve Committee Of Management</t>
  </si>
  <si>
    <t>Stacey`S Bridge Public Hall Reserve Committee Of Management Incorporated</t>
  </si>
  <si>
    <t>Stanhope Community Hall Committee of Management</t>
  </si>
  <si>
    <t>Wandiligong Preservation Society Incorporated</t>
  </si>
  <si>
    <t>Wandiligong Public Hall Committee Of Management Inc</t>
  </si>
  <si>
    <t>Wandiligong Public Purposes &amp; Old Library Reserve Incorporated</t>
  </si>
  <si>
    <t>Wando Vale Hall Reserve Incorporated</t>
  </si>
  <si>
    <t>Wangaratta Racecourse Reserve Incorporated</t>
  </si>
  <si>
    <t>Wangoom Hall Committee Of Management Incorporated</t>
  </si>
  <si>
    <t>Wareek Public Hall Reserve Committee Of Management</t>
  </si>
  <si>
    <t>Warneet Foreshore Committee Of Management Inc.</t>
  </si>
  <si>
    <t>Warneet Recreation Reserve Committee Of Management Inc</t>
  </si>
  <si>
    <t>Barwon South West Waste And Resource Recovery Group</t>
  </si>
  <si>
    <t>Climate Change Act 2010 Independent Review Committee</t>
  </si>
  <si>
    <t>Club Terrace Community Reserve Com Incorporated</t>
  </si>
  <si>
    <t>Clunes Public Library Reserve Com</t>
  </si>
  <si>
    <t>Clydesdale Public Hall Reserve Committee Incorporated</t>
  </si>
  <si>
    <t>Coal Resources Victoria Advisory Committee</t>
  </si>
  <si>
    <t>Coalville Recreation Reserve Committee Incorporated</t>
  </si>
  <si>
    <t>Cobden Recreation Reserve Committee Of Management Incorporated</t>
  </si>
  <si>
    <t>Cobram Racecourse &amp; Recreation Reserve Comm Of Man Inc</t>
  </si>
  <si>
    <t>Timboon Recreation Reserve Committee Of Management Incorporated</t>
  </si>
  <si>
    <t>Tintaldra Recreation Reserve Committee Of Management</t>
  </si>
  <si>
    <t>Tolmie Mechanics Institute And Recreation Reserve Committee Incorporated</t>
  </si>
  <si>
    <t>Tonimbuk East Hall Com</t>
  </si>
  <si>
    <t>Toolangi Public Recreation Reserve And Camping Reserve</t>
  </si>
  <si>
    <t>Toolleen Recreation Reserve</t>
  </si>
  <si>
    <t>Toolondo Recreation Reserve Incorporated</t>
  </si>
  <si>
    <t>Toomuc Creek Reserve Committee Of Management</t>
  </si>
  <si>
    <t>Toongabbie  Recreation Reserves Committee Incorporated</t>
  </si>
  <si>
    <t>Toongabbie Mechanics Institute Inc</t>
  </si>
  <si>
    <t>Toora Recreation Reserve Committee Of Management Incorporated</t>
  </si>
  <si>
    <t>Tooradin Foreshore Committee Of Management Incorporated</t>
  </si>
  <si>
    <t>Carman's Tunnel Committee Incorporated</t>
  </si>
  <si>
    <t>Carngham Recreation Reserve Committee Of Management Incorporated</t>
  </si>
  <si>
    <t>Carpendeit Public Hall &amp; Rec Committee Of Mgmt Inc</t>
  </si>
  <si>
    <t>Carrajung South Hall And Recreation Reserve Committee Incorporated</t>
  </si>
  <si>
    <t>Carranballac Recreation Reserve Committee Of Management Inc.</t>
  </si>
  <si>
    <t>Carwarp Mechanics Institute Reserve</t>
  </si>
  <si>
    <t>Carlyle Community Centre Reserve</t>
  </si>
  <si>
    <t>Cassilis Recreation Reserve Incorporated</t>
  </si>
  <si>
    <t>Minyip Recreation Reserve  Committee Of Management Incorporated</t>
  </si>
  <si>
    <t>Mirboo North Grain Store Committee Of Management Incorporated</t>
  </si>
  <si>
    <t>Mirboo Recreation Reserve Incorporated</t>
  </si>
  <si>
    <t>Mirranatwa Public Hall &amp; Recreation Reserve Committee Of Management Incorporated</t>
  </si>
  <si>
    <t>Mitchell Park Reserve Committee Of Management</t>
  </si>
  <si>
    <t>Mitiamo Recreation Reserve Committee Of Mgmt</t>
  </si>
  <si>
    <t>Korong Vale Golf Course Committee Of Management</t>
  </si>
  <si>
    <t>Korweinguboora Recreation Reserve Committee Incorporated</t>
  </si>
  <si>
    <t>Kotta Public Hall Reserve Committee Of Management</t>
  </si>
  <si>
    <t>Kotupna School And Nature Reserve Committee Incorporated</t>
  </si>
  <si>
    <t>Kulwin Recreation Reserve Committee Incorporated</t>
  </si>
  <si>
    <t>Kyabram Fauna Park Incorporated</t>
  </si>
  <si>
    <t>Kyabram Racecourse &amp; Recreation Reserve</t>
  </si>
  <si>
    <t>Kyabram Railway Recreation Reserve Incorporated</t>
  </si>
  <si>
    <t>Kyneton &amp; Hanging Rock Racing Club</t>
  </si>
  <si>
    <t>Laanecoorie Mechanics Institute Committee Of Management.</t>
  </si>
  <si>
    <t>Stanhope Recreation Reserve Committee Of Management Inc</t>
  </si>
  <si>
    <t>Stanley Recreation Reserve Incorporated Committee</t>
  </si>
  <si>
    <t>Stanley Spring Ditch &amp; Wetlands Reserve Incorporated</t>
  </si>
  <si>
    <t>Stawell Racing And Equine Centre Committee Incorporated</t>
  </si>
  <si>
    <t>Stewart Park - Avenel</t>
  </si>
  <si>
    <t>Stewart Park Committee Of Management Inc</t>
  </si>
  <si>
    <t>Stanhope Public Park Reserve Committee Of Management</t>
  </si>
  <si>
    <t>Stony Creek Hall Committee Of Management Incorporated</t>
  </si>
  <si>
    <t>Stony Creek Racecourse And Recreation Reserve Incorporated</t>
  </si>
  <si>
    <t>Stradbroke Hall And Recreation Reserve Incorporated</t>
  </si>
  <si>
    <t>Warracknabeal Band And Scout Hall Committee Inc.</t>
  </si>
  <si>
    <t>Warracknabeal Racecourse And Recreation Reserve Incorporated</t>
  </si>
  <si>
    <t>Warracknabeal Show Yards Reserve Committee Incorporated</t>
  </si>
  <si>
    <t>Warrak Recreation Reserve Committee Of Management Incorporated</t>
  </si>
  <si>
    <t>Warrenbayne Recreation Reserve Committee Incorporated</t>
  </si>
  <si>
    <t>Warrenheip Recreation Reserve</t>
  </si>
  <si>
    <t>Warracknabeal Anzac Memorial Park Incorporated</t>
  </si>
  <si>
    <t>Warrion Recreation Reserve Committee Of Management</t>
  </si>
  <si>
    <t>Warrnambool Showgrounds Reserve Incorporated</t>
  </si>
  <si>
    <t>Cobrico Public Hall Reserve Commitee Incorporated</t>
  </si>
  <si>
    <t>Cobrico Recreation Reserve Committee Of Management Incorporated</t>
  </si>
  <si>
    <t>Colac Racecourse Committee Of Management Incorporated</t>
  </si>
  <si>
    <t>Colac Recreation Reserve Committee Of Management Inc</t>
  </si>
  <si>
    <t>Colbinabbin Recreation Reserve Committee Of Mgmt</t>
  </si>
  <si>
    <t>Torrita Recreation Reserve Committee Of Management Inc.</t>
  </si>
  <si>
    <t>Torrumbarry Public Hall Reserve</t>
  </si>
  <si>
    <t>Towong Hall Reserve Committee Of Management</t>
  </si>
  <si>
    <t>Towong Racecourse And Recreation Reserve Committee Of M`Ment</t>
  </si>
  <si>
    <t>Towong Recreation And Camping Reserve Committee Of M`Ment</t>
  </si>
  <si>
    <t>Trafalgar East Hall Committee Incorporated</t>
  </si>
  <si>
    <t>Trafalgar Equestrian Park And Recreation Reserve Committee Of Management Incorporated</t>
  </si>
  <si>
    <t>Traralgon Community Purposes Reserve Committee</t>
  </si>
  <si>
    <t>Trawalla And District Recreation Reserve</t>
  </si>
  <si>
    <t>Catani Recreation Reserve Committee Incorporated</t>
  </si>
  <si>
    <t>Cathcart Recreation Reserve</t>
  </si>
  <si>
    <t>Caulfield Racecourse Reserve Trust</t>
  </si>
  <si>
    <t>Cavendish Recreation Reserve Incorporated</t>
  </si>
  <si>
    <t>Central Coast Regional Coastal Board</t>
  </si>
  <si>
    <t>Central Gippsland Region Water Corporation</t>
  </si>
  <si>
    <t>Mitta Public Park (Mitta Mitta Swimming Pool)</t>
  </si>
  <si>
    <t>Mittyack Public Hall &amp; Recreation Reserves</t>
  </si>
  <si>
    <t>Modella Recreation Reserve Incorporated</t>
  </si>
  <si>
    <t>Molesworth Community Incorporated</t>
  </si>
  <si>
    <t>Molesworth Public Hall Reserve</t>
  </si>
  <si>
    <t>Moliagul Reserves Committee Of Management</t>
  </si>
  <si>
    <t>Molyullah Recreation And Public Hall Reserve Committee Of Management Incorporated</t>
  </si>
  <si>
    <t>Mongans Bridge Camping Park Incorporated Committee</t>
  </si>
  <si>
    <t>Bass Recreation Reserve Committee Incorporated</t>
  </si>
  <si>
    <t>Bayles Fauna Park Inc</t>
  </si>
  <si>
    <t>Bayles Hall Reserve Committee Of Management Incorporated</t>
  </si>
  <si>
    <t>Beaconsfield Recreation Reserve Inc</t>
  </si>
  <si>
    <t>Bealiba Hall and Reserves Committee Incorporated</t>
  </si>
  <si>
    <t>Beauty Spot And Steavenson Falls Reserves</t>
  </si>
  <si>
    <t>Laanecoorie South Recreation Reserve Committee Of Management</t>
  </si>
  <si>
    <t>Laanecoorie-Loddon River Recreation Reserve</t>
  </si>
  <si>
    <t>Laang Bushland Reserve</t>
  </si>
  <si>
    <t>Laang Recreation Reserve Committee Incorporated</t>
  </si>
  <si>
    <t>Lah Recreation Reserve Committee</t>
  </si>
  <si>
    <t>Lake Bolac Foreshore Committee Incorporated</t>
  </si>
  <si>
    <t>Lake Bookar Recreation Reserve Committee Of Management Incorporated</t>
  </si>
  <si>
    <t>Lake Bringalbart Foreshore Reserve Committee Incorporated</t>
  </si>
  <si>
    <t>Lake Bullen Merri - South Beach Committee of Management Inc.</t>
  </si>
  <si>
    <t>Lake Cartcarrong Committee Incorporated</t>
  </si>
  <si>
    <t>Lake Charlegrark Recreation Reserve Committee</t>
  </si>
  <si>
    <t>Lake Charm Public Park Committee Of Management Incorporated</t>
  </si>
  <si>
    <t>Lake Corangamite Committee Of Management Incorporated</t>
  </si>
  <si>
    <t>Lake Elingamite Foreshore Committee Incorporated</t>
  </si>
  <si>
    <t>Stratford Recreation Reserve Committee Of Management Incorporated</t>
  </si>
  <si>
    <t>Strathdownie Memorial Hall And Recreation Reserve Incorporated</t>
  </si>
  <si>
    <t>Streatham Recreation Reserve</t>
  </si>
  <si>
    <t>Stringybark Creek Committee Of Management</t>
  </si>
  <si>
    <t>Stuart Mill Recreation Reserve</t>
  </si>
  <si>
    <t>Suggan Buggan School House Committee Inc.</t>
  </si>
  <si>
    <t>Warrowie Recreation Reserve Committee Of Management Incorporated</t>
  </si>
  <si>
    <t>Watchem Lake &amp; Recreation Reserve Committee Of Management Inc</t>
  </si>
  <si>
    <t>Watchem Public Hall Committee Of Management</t>
  </si>
  <si>
    <t>Waterloo Hall &amp; Recreation Reserve Committee Incorporated</t>
  </si>
  <si>
    <t>Coleraine Court House Reserve Management Committee Incorporated</t>
  </si>
  <si>
    <t>Coliban Region Water Corporation</t>
  </si>
  <si>
    <t>Combienbar Public Hall &amp; Recreation Reserve Committee Incorporated</t>
  </si>
  <si>
    <t>Commissioner For Environmental Sustainability</t>
  </si>
  <si>
    <t>Commissioner For Senior Victorians</t>
  </si>
  <si>
    <t>Concongella Public Hall Committee Incorporated</t>
  </si>
  <si>
    <t>Condah Mechanics Institute And Public Recreation Reserve Incorporated</t>
  </si>
  <si>
    <t>Trentham Mechanics Institute Reserve Committee Of Management Incorporated</t>
  </si>
  <si>
    <t>Trentham and District Historical Society Inc.</t>
  </si>
  <si>
    <t>Trentham Public Park And Recreation Reserve Incorporated</t>
  </si>
  <si>
    <t>Trentham Quarry Street Reserve Committee Incorporated</t>
  </si>
  <si>
    <t>Trentham Sports Ground Reserve Committee Of Management Incorporated</t>
  </si>
  <si>
    <t>Trewalla Recreation Reserve Incorporated</t>
  </si>
  <si>
    <t>Tubbarubba Park &amp; Moorooduc South Recreation Reserves Inc</t>
  </si>
  <si>
    <t>Tubbut Hall Committee Incorporated</t>
  </si>
  <si>
    <t>Tungamah Mechanics Institute And Free Library Reserve Incorporated</t>
  </si>
  <si>
    <t>Tungamah Recreation Reserve</t>
  </si>
  <si>
    <t>Tyers Mechanics Hall Committee Of Management Incorporated</t>
  </si>
  <si>
    <t>Charles Street Recreation Reserve Committee Of Management Incorporated</t>
  </si>
  <si>
    <t>Charlton Court House Committee Of Management Inc.</t>
  </si>
  <si>
    <t>Charlton Plumpton Coursing Reserve Committee Of Management</t>
  </si>
  <si>
    <t>Chatsworth Recreation Committee Of Management Incorporated</t>
  </si>
  <si>
    <t>Cheshunt Hall &amp; Recreation Reserve Com Incorporated</t>
  </si>
  <si>
    <t>Chetwynd Public Hall &amp; Recreation Reserve Committee Incoporated</t>
  </si>
  <si>
    <t>Chiltern Park Recreation Reserve Committee Of Management</t>
  </si>
  <si>
    <t>Chiltern Racecourse Recreation Reserve Com Incorporated</t>
  </si>
  <si>
    <t>Chiltern Valley Recreation Reserve Com</t>
  </si>
  <si>
    <t>Chinaman`S Lagoon Teesdale Committee Of Management Incorporated</t>
  </si>
  <si>
    <t>Purnim Recreation Reserve Incorporated</t>
  </si>
  <si>
    <t>Gormandale Recreation Reserve Committee Incorporated</t>
  </si>
  <si>
    <t>Goroke &amp; District Memorial Hall Reserve Committee Incorporation</t>
  </si>
  <si>
    <t>Goroke Agricultural &amp; Pastoral Society Incorporated</t>
  </si>
  <si>
    <t>Goroke Recreation Reserve Committee</t>
  </si>
  <si>
    <t>Goschen Public Hall And Recreation Reserve</t>
  </si>
  <si>
    <t>Goulburn Valley Region Water Corporation</t>
  </si>
  <si>
    <t>Goulburn Valley Waste And Resource Recovery Group</t>
  </si>
  <si>
    <t>Goulburn-Murray Rural Water Corporation</t>
  </si>
  <si>
    <t>Grampians Central West Waste And Resource Recovery Group</t>
  </si>
  <si>
    <t>Grampians Wimmera Mallee Water Corporation</t>
  </si>
  <si>
    <t>Grand Ridge Rail Trail Committee Of Management Inc</t>
  </si>
  <si>
    <t>Grantville &amp; District Forshore</t>
  </si>
  <si>
    <t>Grantville Recreation Reserve Committee Of Management Inc</t>
  </si>
  <si>
    <t>Granya Public Hall Reserve</t>
  </si>
  <si>
    <t>Granya Public Park</t>
  </si>
  <si>
    <t>Moonambel Public Hall Reserve Committee</t>
  </si>
  <si>
    <t>Moonambel Recreation Reserve Committee Incorporated</t>
  </si>
  <si>
    <t>Moora Racecourse And Recreation Reserve Com</t>
  </si>
  <si>
    <t>Moorngag Public Hall Committee Inc</t>
  </si>
  <si>
    <t>Moorooduc Recreation Reserve Inc</t>
  </si>
  <si>
    <t>Mooroopna Mechanics Hall</t>
  </si>
  <si>
    <t>Beazleys Bridge Recreation &amp; Public Hall Reserves C.O.M. Inc</t>
  </si>
  <si>
    <t>Beckley Park Committee Of Management Incorporated</t>
  </si>
  <si>
    <t>Beeac Recreation Reserve Committee Of Management Incorporated</t>
  </si>
  <si>
    <t>Beechworth Public Recreation (Mountain Bike) and Reserve Committee Incorporated</t>
  </si>
  <si>
    <t>Beechworth Recreation (Mountain Bike) And Conservation Reserve Committee Incorporated</t>
  </si>
  <si>
    <t>Bellarine Bayside Foreshore Committee of Management Inc</t>
  </si>
  <si>
    <t>Bellbird Corner Riverside Reserve Management Committee Incorporated</t>
  </si>
  <si>
    <t>Surveyors Registration Board Of Victoria</t>
  </si>
  <si>
    <t>Sutton Grange Recreation Reserve Committee Of Management</t>
  </si>
  <si>
    <t>Swan Hill Racecourse, Golf &amp; Bowls Recreation Reserve Com Inc</t>
  </si>
  <si>
    <t>Cooma Recreation Reserve Committee of Management</t>
  </si>
  <si>
    <t>Coonooer Bridge Reserves Committee Of Management</t>
  </si>
  <si>
    <t>Cooramook Public Hall And Recreation Reserve</t>
  </si>
  <si>
    <t>Cora Lynn Public Hall &amp; Recreation Reserve</t>
  </si>
  <si>
    <t>Corack East Racecourse Reserve Com Incorporated</t>
  </si>
  <si>
    <t>Corack Public Hall Inc.</t>
  </si>
  <si>
    <t>Corindhap Recreation Reserve Committee Of Management Incorporated</t>
  </si>
  <si>
    <t>Corindhap Soldiers Memorial Hall Committee Incorporated</t>
  </si>
  <si>
    <t>Corinella  Foreshore Reserve Committee Of Management Incorporated</t>
  </si>
  <si>
    <t>Cornish Hill Committee Of Management Incorporated</t>
  </si>
  <si>
    <t>Cornishtown Hall Reserve Committee Of Management Incorporated</t>
  </si>
  <si>
    <t>Tynong Public Hall Committee Of Management Incorporated</t>
  </si>
  <si>
    <t>Tynong Recreation Reserve Committee Of Management Inc</t>
  </si>
  <si>
    <t>Tyrendarra Hall And Recreation Reserve</t>
  </si>
  <si>
    <t>Ullina Reserve And Recreation Park Mgmt Comm Incorporated</t>
  </si>
  <si>
    <t>Undera Public Park And Recreation Reserve Incorporated</t>
  </si>
  <si>
    <t>Underbool Public Recreation Reserves</t>
  </si>
  <si>
    <t>Underbool Recreation Reserves Committee Incorporated</t>
  </si>
  <si>
    <t>Underbool School Bushland Reserve</t>
  </si>
  <si>
    <t>Underbool-Linga Memorial Hall Reserve Inc.</t>
  </si>
  <si>
    <t>Upper Beaconsfield Community Complex Buildings Committee Incorporated</t>
  </si>
  <si>
    <t>Upper Beaconsfield Recreation Reserve Com Incorporated</t>
  </si>
  <si>
    <t>Chinese Museum Of Australian History</t>
  </si>
  <si>
    <t>Chinkapook  Reserves Committee Of Management Inc.</t>
  </si>
  <si>
    <t>Quambatook Memorial Hall Reserve Com</t>
  </si>
  <si>
    <t>Quambatook Recreation Reserve Committee Of Management</t>
  </si>
  <si>
    <t>Queen Meadow Caravan Park Committee Of Management Incorporated</t>
  </si>
  <si>
    <t>Raglan Public Hall And Recreation Reserve Committee Incorporated</t>
  </si>
  <si>
    <t>Rainbow Plantation, Timber And Water Supply Reserves Committee Inc.</t>
  </si>
  <si>
    <t>Raywood Recreation Reserve Committee Of Management</t>
  </si>
  <si>
    <t>Granya Recreation Reserve Com</t>
  </si>
  <si>
    <t>Grassmere Public Hall &amp; Recreation Reserve</t>
  </si>
  <si>
    <t>Grassy Spur Camping Reserve Incorporated</t>
  </si>
  <si>
    <t>Great Ocean Road Coast Committee Inc</t>
  </si>
  <si>
    <t>Great Southern Rail Trail Committee Of Management Incorporated</t>
  </si>
  <si>
    <t>Great Western Public Hall Committee Of Management Inc.</t>
  </si>
  <si>
    <t>Great Western Recreation Reserve Committee Of Management Inc.</t>
  </si>
  <si>
    <t>Green Lake Regional Park Committee Of Management Inc</t>
  </si>
  <si>
    <t>Gregson Park (Minyip) Recreation Reserve Committee Incorporated</t>
  </si>
  <si>
    <t>Morgiana Recreation Reserve Committee Incorporated</t>
  </si>
  <si>
    <t>Mornington Racecourse Committee Of Management</t>
  </si>
  <si>
    <t>Morrisons Recreation Reserve Com Incorporated</t>
  </si>
  <si>
    <t>Mortlake Racecourse Reserve</t>
  </si>
  <si>
    <t>Mortlake Soldiers Memorial Hall Committee Incorporated</t>
  </si>
  <si>
    <t>Bemm River Recreation Reserve Committee Of Management Inc.</t>
  </si>
  <si>
    <t>Benalla Racecourse &amp; Recreation Reserve</t>
  </si>
  <si>
    <t>Benalla Showgrounds And Recreation Reserve C O M Inc.</t>
  </si>
  <si>
    <t>Benambra Public Hall Reserve Committee Of Management Incorporated</t>
  </si>
  <si>
    <t>Bendigo Racecourse Reserve Committee Of Management</t>
  </si>
  <si>
    <t>Bendoc Recreation Reserve Committee Of Management Inc</t>
  </si>
  <si>
    <t>Bengworden Hall &amp; Recreation Reserve Committee Incorporated</t>
  </si>
  <si>
    <t>Benjeroop Public Hall Reserve Committee Of Management</t>
  </si>
  <si>
    <t>Lake Gnotuk Public Reserve Management Committee Incorporated</t>
  </si>
  <si>
    <t>Lake Goldsmith Public Hall</t>
  </si>
  <si>
    <t>Lake Lascelles/Lake Coorong Committee Of Management Incorp.</t>
  </si>
  <si>
    <t>Lake Marmal Memorial Hall And Recreation Reserve Committee Of Management</t>
  </si>
  <si>
    <t>Northwood Public Recreation Reserve</t>
  </si>
  <si>
    <t>Swanpool Bowling Club Reserve Committee Of Management Inc</t>
  </si>
  <si>
    <t>Swanpool Recreation Reserve And Public Hall</t>
  </si>
  <si>
    <t>Swifts Creek Recreation Reserve Committee Incorporated</t>
  </si>
  <si>
    <t>Waurn Ponds Memorial Reserve Committee Incorporated</t>
  </si>
  <si>
    <t>Weerite Public Hall Incorporated</t>
  </si>
  <si>
    <t>Weeroona Incorporated</t>
  </si>
  <si>
    <t>Welshpool Memorial Hall Incorporated</t>
  </si>
  <si>
    <t>Welton Recreation Reserve Committee Of Management</t>
  </si>
  <si>
    <t>Werribee Racecourse &amp; Recreation Reserve Com Inc</t>
  </si>
  <si>
    <t>Eskdale Caravan &amp; Water Reserve Committee Of Management</t>
  </si>
  <si>
    <t>Eskdale Recreation Reserve Committee Inc</t>
  </si>
  <si>
    <t>Euroa Arboretum Committee Of Management Incorporated</t>
  </si>
  <si>
    <t>Euroa Memorial Reserve Committee Of Management Inc</t>
  </si>
  <si>
    <t>Euroa Public Purposes Showgrounds Reserve</t>
  </si>
  <si>
    <t>Evansford Community Centre Committee Of Management Incorporated</t>
  </si>
  <si>
    <t>Everton Public Park Reserve Committee Of Management</t>
  </si>
  <si>
    <t>Corryong Recreation Reserve Incorporated</t>
  </si>
  <si>
    <t>Costerfield Public Hall And Tennis Reserve C.O.M.</t>
  </si>
  <si>
    <t>Cowangie Racecourse &amp; Recreation Reserve Incorporated</t>
  </si>
  <si>
    <t>Cowangie Tennis Club Recreation Reserve Committee Inc</t>
  </si>
  <si>
    <t>Cowleys Creek Recreation Reserve</t>
  </si>
  <si>
    <t>Cowwarr Public Hall Reserve Committee Incorporated</t>
  </si>
  <si>
    <t>Cowwarr Recreaction Resreserve Commmitte Of Management Incorporated</t>
  </si>
  <si>
    <t>Cranbourne Public Hall Com Inc.</t>
  </si>
  <si>
    <t>Cranbourne Training Complex Com Inc</t>
  </si>
  <si>
    <t>Cressy &amp; District Community Centre Incorporated</t>
  </si>
  <si>
    <t>Upper Sandy Creek Recreation Reserve</t>
  </si>
  <si>
    <t>Red Hill Public Hall Incorporated</t>
  </si>
  <si>
    <t>Redbank Reserves Committee Incorporated</t>
  </si>
  <si>
    <t>Redda Park Recreation Reserve Committee Incorporated</t>
  </si>
  <si>
    <t>Redesdale Recreation Reserve</t>
  </si>
  <si>
    <t>Reference Areas Advisory Committee</t>
  </si>
  <si>
    <t>Reg Coote Reserve Committee Incorporated</t>
  </si>
  <si>
    <t>Registrar Of Geographic Names</t>
  </si>
  <si>
    <t>Rheola Pioneers Memorial Park Reserve Committee</t>
  </si>
  <si>
    <t>Rheola Public Hall Reserve Committee Of Management</t>
  </si>
  <si>
    <t>Gregson Park Reserve Committee Of Management</t>
  </si>
  <si>
    <t>Greta Hansonville Public Hall</t>
  </si>
  <si>
    <t>Growth Areas Authority</t>
  </si>
  <si>
    <t>Growth Areas Infrastructure Contribution Hardship Relief Board</t>
  </si>
  <si>
    <t>Gunaikurnai Traditional Owner Land Management Board</t>
  </si>
  <si>
    <t>Gunbower Camping &amp; Recreation Reserve C.O.M.</t>
  </si>
  <si>
    <t>Gunbower Landing Strip Site Committee Of Management</t>
  </si>
  <si>
    <t>Gunbower Racecourse And Recreation Reserve Committee Of Management</t>
  </si>
  <si>
    <t>Gunbower Soldiers Memorial Hall Committee Of Management</t>
  </si>
  <si>
    <t>Gundowring Recreation And Hall Committee Incorporated</t>
  </si>
  <si>
    <t>Gundowring Upper Recreation Reserve Committee Of Management</t>
  </si>
  <si>
    <t>Marnoo Soldiers Memorial Park Reserve Incorporated</t>
  </si>
  <si>
    <t>Marong Recreation Reserve Committee Of Management</t>
  </si>
  <si>
    <t>Marungi Memorial Park Reserve Committee Of Management</t>
  </si>
  <si>
    <t>Maude Recreation Reserve Incorporated</t>
  </si>
  <si>
    <t>Mcmahons Creek Committee Of Mgt</t>
  </si>
  <si>
    <t>Bennison Reserve Committee Of Management Incorporated</t>
  </si>
  <si>
    <t>Beremboke Public Recreation Reserve Committee Of Management</t>
  </si>
  <si>
    <t>Berringama Public Recreation Reserve Committee Of Management</t>
  </si>
  <si>
    <t>Berriwillock Public Hall Reserve</t>
  </si>
  <si>
    <t>Berriwillock Recreation Reserve Inc.</t>
  </si>
  <si>
    <t>Berrys Creek Hall Incorporated</t>
  </si>
  <si>
    <t>Bete Bolong Tennis Club &amp; Hall Reserve Committee Inc.</t>
  </si>
  <si>
    <t>Bethanga Recreation Reserve Committee Of Management Incorporated</t>
  </si>
  <si>
    <t>Bethanga Soldiers Memorial Hall Reserve Incorporated</t>
  </si>
  <si>
    <t>Betley Mechanics Institute Reserve Committee Of Management</t>
  </si>
  <si>
    <t>Beulah &amp; District Community Pool Reserve Committee Incorporated</t>
  </si>
  <si>
    <t>Devenish Public Hall Committee Of Management Inc.</t>
  </si>
  <si>
    <t>Dhelkunya Dja Land Management Board</t>
  </si>
  <si>
    <t>Digby Hall &amp; Recreation Reserves Incorporated</t>
  </si>
  <si>
    <t>Dimboola Community Centre Reserve Committee Incorporated</t>
  </si>
  <si>
    <t>Dingee Public Hall Reserve Committee Of Management</t>
  </si>
  <si>
    <t>Dingee Recreation Reserve Committee Of Management</t>
  </si>
  <si>
    <t>Nowa Nowa Public Hall Reserve Committee Of Management Incorporated</t>
  </si>
  <si>
    <t>Nug Nug Camping Reserve Incorporated</t>
  </si>
  <si>
    <t>Nullawil Recreation Reserve Committee Of Management Incorporated</t>
  </si>
  <si>
    <t>Nyah West Recreation Reserve</t>
  </si>
  <si>
    <t>Nyah West Sports Ground Reserve</t>
  </si>
  <si>
    <t>Nyora Public Hall Committee Of Management</t>
  </si>
  <si>
    <t>Wesley Hill Public Hall Committee Of Management Inc</t>
  </si>
  <si>
    <t>West Castlemaine Progress Association</t>
  </si>
  <si>
    <t>Western Coast Regional Coastal Board</t>
  </si>
  <si>
    <t>Western Region Water Corporation</t>
  </si>
  <si>
    <t>Westernport Region Water Corporation</t>
  </si>
  <si>
    <t>Wharparilla Recreation Reserve Committee Of Management</t>
  </si>
  <si>
    <t>White Cliffs To Camerons Bight Foreshore Reserves Committee Of Management Incorporated</t>
  </si>
  <si>
    <t>Westernport Catchment Management Authority</t>
  </si>
  <si>
    <t>Everton Upper Community Centre</t>
  </si>
  <si>
    <t>Fawcett Mechanics Institute Reserve Committee Of Management Incorporated</t>
  </si>
  <si>
    <t>Fenton`s Creek Recreation Reserve Committee Of Management</t>
  </si>
  <si>
    <t>Ferguson Public Recreation Reserve</t>
  </si>
  <si>
    <t>Fernbank Public Hall Reserve Committee Incorporated</t>
  </si>
  <si>
    <t>Fernvale Recreation Reserve Incorporated</t>
  </si>
  <si>
    <t>Ferny Creek Recreation Reserve Incorporated</t>
  </si>
  <si>
    <t>Fitzroy River Public Purposes Reserve Incorporated</t>
  </si>
  <si>
    <t>Flaggy Creek Hall Committee Of Management Incorporated</t>
  </si>
  <si>
    <t>Cressy Recreation Reserve Committee Incorporated</t>
  </si>
  <si>
    <t>Crib Point Stony Point Foreshore Com Inc.</t>
  </si>
  <si>
    <t>Crowlands Hall And Reserves Incorporated</t>
  </si>
  <si>
    <t>Cudgewa Recreation Reserve</t>
  </si>
  <si>
    <t>Cudgewa School Site Boer War Committee</t>
  </si>
  <si>
    <t>Culgoa Memorial Park And Childrens Playground Reserve</t>
  </si>
  <si>
    <t>Culgoa Recreation Reserve Incorporated</t>
  </si>
  <si>
    <t>Curdies Inlet &amp; Recreation Reserve Committee Of Management</t>
  </si>
  <si>
    <t>Yeodene Public Hall And Recreation Reserve Committee Of M`Ment</t>
  </si>
  <si>
    <t>Yorta Yorta Traditional Owner Land Management Board</t>
  </si>
  <si>
    <t>Yundool School Site Committee Of Management Inc</t>
  </si>
  <si>
    <t>Rhymney Recreation Reserve Committee Incorporated</t>
  </si>
  <si>
    <t>Riddells Creek Mechanics Institute Reserve Com Inc</t>
  </si>
  <si>
    <t>Ripplebrook Recreation Reserve</t>
  </si>
  <si>
    <t>Riverside Recreation Reserve Committee Of Management Incorporated</t>
  </si>
  <si>
    <t>Riverside Sports Park Reserve Committee Of Management</t>
  </si>
  <si>
    <t>Hallora Hall Committee Incorporated</t>
  </si>
  <si>
    <t>Hallora Recreation Reserve Committee Incorporated</t>
  </si>
  <si>
    <t>Halls Gap Caravan Park And Recreation Reserve Committee Of Management Incorporated</t>
  </si>
  <si>
    <t>Hamilton - Coleraine Rail Reserve Committee Inc</t>
  </si>
  <si>
    <t>Hamilton Racecourse Reserve Committee Of Management Incorporated</t>
  </si>
  <si>
    <t>Hamilton Recreation Reserve Incorporated</t>
  </si>
  <si>
    <t>Hansonville Recreation Reserve Committee Of Management</t>
  </si>
  <si>
    <t>Happy Valley Hall Committee</t>
  </si>
  <si>
    <t>Hard Hill Board of Management Incorporated</t>
  </si>
  <si>
    <t>Harkaway Public Hall Committee Incorporated</t>
  </si>
  <si>
    <t>Harrietville Community Hall</t>
  </si>
  <si>
    <t>Meeniyan Mechanics Institute Incorporated</t>
  </si>
  <si>
    <t>Meeniyan Recreation Reserve Committee Of Management Incorporated</t>
  </si>
  <si>
    <t>Beulah Public Purposes Reserve Incorporated</t>
  </si>
  <si>
    <t>Biggara Recreation Reserve Committee Of Management</t>
  </si>
  <si>
    <t>Bill Cole Reserve Committee Of Management</t>
  </si>
  <si>
    <t>Bills Gully Hall And Reserve Committee Incorporated</t>
  </si>
  <si>
    <t>Binginwarri Recreation Reserve Committee Incorporated</t>
  </si>
  <si>
    <t>Birchip Racecourse And Recreation Reserve</t>
  </si>
  <si>
    <t>Birregurra Recreation Reserve Committee Of Management Incorporated</t>
  </si>
  <si>
    <t>Beulah Memorial Recreation Reserve Inc</t>
  </si>
  <si>
    <t>Dixie Hall &amp; Tennis Courts Reserve Committee Of Management</t>
  </si>
  <si>
    <t>Dock Lake Recreation Reserve Incorporated</t>
  </si>
  <si>
    <t>Donald Racecourse Reserve</t>
  </si>
  <si>
    <t>Dooen Public Hall Reserve Incorporated</t>
  </si>
  <si>
    <t>Dooen Recreation Reserve Committee Of Management Incorporated</t>
  </si>
  <si>
    <t>Dookie Recreation &amp; Racecourse Reserve</t>
  </si>
  <si>
    <t>Dorodong Public Hall Reserve</t>
  </si>
  <si>
    <t>Nyora Recreation Reserve Committee Incorporated</t>
  </si>
  <si>
    <t>Office Of Geographic Names</t>
  </si>
  <si>
    <t>Office Of The Commissioner For Environmental Sustainability</t>
  </si>
  <si>
    <t>Officer Public Hall Committee Of Management Incorporated</t>
  </si>
  <si>
    <t>Old Riverside School Site Recreation Reserve</t>
  </si>
  <si>
    <t>Old Shire Hall Coleraine</t>
  </si>
  <si>
    <t>Whittlesea Showgrounds And Recreation Reserves Com Inc</t>
  </si>
  <si>
    <t>Willatook Hall Committee Incorporated</t>
  </si>
  <si>
    <t>Willow Grove Public Hall Reserve</t>
  </si>
  <si>
    <t>Willow Grove Recreation Reserve Committee Of Management Incorporated</t>
  </si>
  <si>
    <t>Willow Park Recreation Reserve Committee</t>
  </si>
  <si>
    <t>Willows Public Purposes And Recreation Reserve</t>
  </si>
  <si>
    <t>Willung Public Hall Incorporated</t>
  </si>
  <si>
    <t>Wimmera Southern Mallee Regional Partnership</t>
  </si>
  <si>
    <t>Windermere Mechanics Institute Committee Of Management Incorporated</t>
  </si>
  <si>
    <t>Flynn Hall Committee Incorporated</t>
  </si>
  <si>
    <t>Forrest Public Hall Committee Incorporated</t>
  </si>
  <si>
    <t>Forrest Recreation Reserve Committee Incorporated</t>
  </si>
  <si>
    <t>Foster Recreation Reserve Committee Of Management Incorporated</t>
  </si>
  <si>
    <t>Fosters Lake Water Hole Reserve Committee Of Management</t>
  </si>
  <si>
    <t>Flowerdale Hall Reserve Committee Of Management</t>
  </si>
  <si>
    <t>Fr Wilton Reserve Committee Of Management Incorporated</t>
  </si>
  <si>
    <t>Framlingham Recreation Reserve Committee Incorporated</t>
  </si>
  <si>
    <t>Franklinford Community Purposes Reserve</t>
  </si>
  <si>
    <t>Dargalong Racecourse &amp; Rec Reserve</t>
  </si>
  <si>
    <t>Dargo Hall/Rec Reserve Committee Incorporated</t>
  </si>
  <si>
    <t>Darlington Mechanics Institute And Recreation Reserve</t>
  </si>
  <si>
    <t>Darnum Recreation Reserve Incorporated</t>
  </si>
  <si>
    <t>Darraweit Guim Memorial Hall Committee Of Management</t>
  </si>
  <si>
    <t>Dartmoor Public Hall &amp; Recreation Reserve</t>
  </si>
  <si>
    <t>Dartmoor Public Park Committee of Management Incorporated</t>
  </si>
  <si>
    <t>Rochester Recreation Reserve Committee Of Management</t>
  </si>
  <si>
    <t>Rokeby Community Reserves And Hall Committee Incorporated</t>
  </si>
  <si>
    <t>Rokewood Recreation Reserve Committee Of Management</t>
  </si>
  <si>
    <t>Romsey Mechanics Institute Reserve Com Inc</t>
  </si>
  <si>
    <t>Rosebud Park And Recreation Reserve Committee Inc</t>
  </si>
  <si>
    <t>Rosedale Public Hall Committee Incorporated</t>
  </si>
  <si>
    <t>Rosedale Racecourse Reserve Incorporated</t>
  </si>
  <si>
    <t>Rosedale Recreation Reserve Incorporated</t>
  </si>
  <si>
    <t>Harrietville Recreation &amp; Caravan Reserve</t>
  </si>
  <si>
    <t>Harrietville Recreation Reserve Committee Incorporated</t>
  </si>
  <si>
    <t>Harrietville Tronoh Dredge Hole Recreation Reserve</t>
  </si>
  <si>
    <t>Hawkesdale Memorial Hall Committee Incorporated</t>
  </si>
  <si>
    <t>Hawkesdale Racecourse Reserve Incorporated</t>
  </si>
  <si>
    <t>Hawkesdale Recreation Reserve Committee Of Management Incorporated</t>
  </si>
  <si>
    <t>Lake Meran Public Purposes Reserve Committee Incorporated</t>
  </si>
  <si>
    <t>Lake Modewarre Committee Of Management Incorporated</t>
  </si>
  <si>
    <t>Lake Omeo Reserve</t>
  </si>
  <si>
    <t>Lake Purrumbete Frontage Reserve Cofm Inc.</t>
  </si>
  <si>
    <t>Lake Rowan Recreation Reserve</t>
  </si>
  <si>
    <t>Lake Tyers Aboriginal Trust Board</t>
  </si>
  <si>
    <t>Lakes Entrance Recreation Reserve Committee Of Management Inc</t>
  </si>
  <si>
    <t>Lakes Entrance Rescue Squad</t>
  </si>
  <si>
    <t>Lancaster Recreation Reserve Incorporated</t>
  </si>
  <si>
    <t>Blackburn Park Reserve</t>
  </si>
  <si>
    <t>Blackwood Crown Reserves Committee Of Management Incorporated</t>
  </si>
  <si>
    <t>Bolwarra Hall And Recreation Reserve Committee Incorporated</t>
  </si>
  <si>
    <t>Bonang Public Hall Committee Of Management Incorporated</t>
  </si>
  <si>
    <t>Bonnie Doon Recreation Reserve Incorporated</t>
  </si>
  <si>
    <t>Boolarra Memorial Park Reserve Incorporated</t>
  </si>
  <si>
    <t>Boolarra Multi Purpose Committee Incorporated</t>
  </si>
  <si>
    <t>Boolarra Museum Reserve Incorporated</t>
  </si>
  <si>
    <t>Boolite Recreation And Public Hall Reserve Committee Incorporated</t>
  </si>
  <si>
    <t>Boorhaman North Recreation Reserve</t>
  </si>
  <si>
    <t>Boorhaman Recreation Reserve Committee Of Management Incorporated</t>
  </si>
  <si>
    <t>Doug Fenwick Reserve Committee Of Management Incorporated</t>
  </si>
  <si>
    <t>Dower Park Reserve Committee Incorporated</t>
  </si>
  <si>
    <t>Dromana Foreshore Committee Of Management Incorporated</t>
  </si>
  <si>
    <t>Drouin South  Hall Committee Incorporated</t>
  </si>
  <si>
    <t>Drumborg Hall And Recreation Reserve Incorporated</t>
  </si>
  <si>
    <t>Dumbalk Recreation Reserve Committee Of Management Incorporated</t>
  </si>
  <si>
    <t>Dundonnell Public Hall</t>
  </si>
  <si>
    <t>Dunkeld Community Centre Committee</t>
  </si>
  <si>
    <t>Dunkeld Public Lands Committee Incorporated</t>
  </si>
  <si>
    <t>Dunkeld Recreation Reserve</t>
  </si>
  <si>
    <t>Orford Recreation And Public Hall Reserve</t>
  </si>
  <si>
    <t>Otway Coast Committee Incorporated</t>
  </si>
  <si>
    <t>Outtrim Reserve Committee Incorporated</t>
  </si>
  <si>
    <t>Oxley Recreation Reserve Committee Of Management Incorporated</t>
  </si>
  <si>
    <t>Paaratte Recreation Reserve Committee Incorporated</t>
  </si>
  <si>
    <t>Painters Island Wangaratta Committee Of Management Inc</t>
  </si>
  <si>
    <t>Wine Industry Ministerial Advisory Committee</t>
  </si>
  <si>
    <t>Winiam Recreation Reserve Committee Incorporated</t>
  </si>
  <si>
    <t>Winnap Recreation Reserve Committee Of Management Incorporated</t>
  </si>
  <si>
    <t>Winslow Mechanics Institute Committee Of Management Inc</t>
  </si>
  <si>
    <t>Winslow Recreation Reserve Incorporated</t>
  </si>
  <si>
    <t>Winton Wetlands Committee Of Management</t>
  </si>
  <si>
    <t>Wiridjil Recreation Reserve Committee Of Management</t>
  </si>
  <si>
    <t>Wombelano Fire Shed Committee Of Management Inc.</t>
  </si>
  <si>
    <t>Wombelano Recreation Reserve Committee</t>
  </si>
  <si>
    <t>Frankston Nature Conservation Reserve Committee Of Management Incorporated</t>
  </si>
  <si>
    <t>Freeburgh Recreation &amp; Public Hall Reserves Committee</t>
  </si>
  <si>
    <t>French Island Reserves Committee Of Management Incorporated</t>
  </si>
  <si>
    <t>Freshwater Lake Reserve Committee Incorporated</t>
  </si>
  <si>
    <t>Fry`S Reserve Committee Of Management Incorporated</t>
  </si>
  <si>
    <t>Gapsted Recreation Reserve Committee Of Management</t>
  </si>
  <si>
    <t>Garabaldi Hall Incorporated</t>
  </si>
  <si>
    <t>Garvoc Recreation Reserve</t>
  </si>
  <si>
    <t>Christmastown Cricket Reserve Com</t>
  </si>
  <si>
    <t>Clarendon Recreation Reserve Committee Of Management Inc.</t>
  </si>
  <si>
    <t>Clear Lake Recreation Reserve Committee Inc</t>
  </si>
  <si>
    <t>Clematis Park Com Inc</t>
  </si>
  <si>
    <t>Clifton Creek Public Hall &amp; Recreation Reserve C Of M</t>
  </si>
  <si>
    <t>Broadwater Community Reserve Incorporated</t>
  </si>
  <si>
    <t>Broughton Public Hall Committee Incorporated</t>
  </si>
  <si>
    <t>Bruarong Community Centre Incorporated</t>
  </si>
  <si>
    <t>Brucknell Recreation Reserve Incorporated</t>
  </si>
  <si>
    <t>Bruthen Mechanics Institute &amp; Recreation Reserve Committee Incorporated</t>
  </si>
  <si>
    <t>Bruthen Public Recreation Reserve Incorporated</t>
  </si>
  <si>
    <t>Bruthen Recreation Reserve Committee Of Management</t>
  </si>
  <si>
    <t>Buchan Racecourse &amp; Recreation Reserve</t>
  </si>
  <si>
    <t>Buchan Recreation Reserve Committee Of Management Inc.</t>
  </si>
  <si>
    <t>Buchan South Public Purposes Reserve Committee Incorporated</t>
  </si>
  <si>
    <t>Alpine Resorts Coordinating Council</t>
  </si>
  <si>
    <t>Bobinawarrah Memorial Hall</t>
  </si>
  <si>
    <t>Emerald Lake Tourist Railway</t>
  </si>
  <si>
    <t>Rowan Park Recreation Reserve</t>
  </si>
  <si>
    <t>Rowsley Hall &amp; Recreation Reserve</t>
  </si>
  <si>
    <t>Ruffy Mechanics Institute Reserve Incorporated</t>
  </si>
  <si>
    <t>Rupanyup Bowls Club Inc.</t>
  </si>
  <si>
    <t>Rupanyup Public Hall Reserve Committee Incorporated</t>
  </si>
  <si>
    <t>Rupanyup Racecourse &amp; Recreation Reserve (Golf Club)</t>
  </si>
  <si>
    <t>Rushworth Community Rooms Committee</t>
  </si>
  <si>
    <t>Rushworth Golf Club Reserve Committee Of Management Inc</t>
  </si>
  <si>
    <t>Rushworth Public Park Reserve Committee Of Management Inc.</t>
  </si>
  <si>
    <t>Heathmere Public Hall And Recreation Reserve Committee Of Management Incorporated</t>
  </si>
  <si>
    <t>Heathmere Public Recreation  And Flora &amp; Fauna Reserve</t>
  </si>
  <si>
    <t>Hedley Hall And Recreation Reserve Committee Incorporated</t>
  </si>
  <si>
    <t>Hepburn Recreation Reserve Committee Of Management Incorporated</t>
  </si>
  <si>
    <t>Heritage Council</t>
  </si>
  <si>
    <t>Heyfield Racecourse Reserve Committee Of Management Incorporated</t>
  </si>
  <si>
    <t>Heytesbury District Historical Society Inc.</t>
  </si>
  <si>
    <t>Heywood Public Gardens Committee Incorporated</t>
  </si>
  <si>
    <t>Lancefield Mechanics Institute Com</t>
  </si>
  <si>
    <t>Lancefield Park Recreation Reserves Incorporated</t>
  </si>
  <si>
    <t>Land Vic</t>
  </si>
  <si>
    <t>Landsborough Memorial Park Incorporated</t>
  </si>
  <si>
    <t>Landsborough Public Hall Committee Incorporated</t>
  </si>
  <si>
    <t>Landsborough Recreation Reserve Incorporated</t>
  </si>
  <si>
    <t>Lang Lang Foreshore Reserve Committee Incorporated</t>
  </si>
  <si>
    <t>Langkoop Hall &amp; Recreation Reserve Committee Incorporated</t>
  </si>
  <si>
    <t>Lauriston Recreation Reserve Committee Of Management</t>
  </si>
  <si>
    <t>Bostocks Creek Public Hall</t>
  </si>
  <si>
    <t>Bowenvale Public Hall Reserve Committee Of Mgmt</t>
  </si>
  <si>
    <t>Boyeo Public Hall &amp;  Recreation Reserve Incorporated</t>
  </si>
  <si>
    <t>Bradvale Recreation Reserve Committee Incorporated</t>
  </si>
  <si>
    <t>Branxholme Conservation Reserve</t>
  </si>
  <si>
    <t>Branxholme Public Hall Reserve</t>
  </si>
  <si>
    <t>Branxholme Recreation Reserve Incorporated</t>
  </si>
  <si>
    <t>Dunluce Public Rec &amp; Playground Reserve</t>
  </si>
  <si>
    <t>Dunns Hill Reserve Committee Of Management Incorporated</t>
  </si>
  <si>
    <t>Dunolly Recreation Reserves Committee</t>
  </si>
  <si>
    <t>Dunrobin Public Hall And Reserve Incorporated</t>
  </si>
  <si>
    <t>Durham Ox Mechanics Institute Committee Of Mgmt</t>
  </si>
  <si>
    <t>Durham Ox Recreation Reserve Committee Of Management Inc</t>
  </si>
  <si>
    <t>East Geelong Recreation Reserve Committee Of Management Incorporated</t>
  </si>
  <si>
    <t>East Gippsland Rail Trail Committee Of Management Incorporated</t>
  </si>
  <si>
    <t>East Gippsland Region Water Corporation (East Gippsland Water)</t>
  </si>
  <si>
    <t>East Shelbourne Recreation Reserve Committee Of Management Incorporated</t>
  </si>
  <si>
    <t>Eastern Recreation Precinct Inc</t>
  </si>
  <si>
    <t>Pakenham South Community Hall Committee Of Management Incorporated</t>
  </si>
  <si>
    <t>Pakenham Upper Public Hall Committee Of Management</t>
  </si>
  <si>
    <t>Pakenham Upper Recreation Reserve Committee Of Management Inc</t>
  </si>
  <si>
    <t>Palmers Road Corridor Project EES</t>
  </si>
  <si>
    <t>Panitya Recreation Reserve Inc.</t>
  </si>
  <si>
    <t>Panmure Recreation Reserve</t>
  </si>
  <si>
    <t>Paradise Hall Committee Incorporated</t>
  </si>
  <si>
    <t>Parkers Reserve Incorporated</t>
  </si>
  <si>
    <t>Wonwondah Recreation Reserve Committee Inc.</t>
  </si>
  <si>
    <t>Wonyip Excelsior Committee Incorporated</t>
  </si>
  <si>
    <t>Wood Street Public Recreation Reserve Com Inc</t>
  </si>
  <si>
    <t>Woodhouse- Nareeb Hall &amp; Recreation Res</t>
  </si>
  <si>
    <t>Woodside Recreation Reserve Committe Of Management Incorporated</t>
  </si>
  <si>
    <t>Woodstock Public Purposes Reserve Comittee Of Management</t>
  </si>
  <si>
    <t>Woodstock West Recreation Reserve Committee Of Management</t>
  </si>
  <si>
    <t>Woodvale Public Hall Committee Of Management Incorporated</t>
  </si>
  <si>
    <t>Woodvale Recreation Reserve Committee Of Management</t>
  </si>
  <si>
    <t>Woolamai Recreation &amp; Racecourse Reserve Com Incorporated</t>
  </si>
  <si>
    <t>Woolsthorpe Hall Committee Incorporated</t>
  </si>
  <si>
    <t>Woolsthorpe Recreation Reserve</t>
  </si>
  <si>
    <t>Geelong Racecourse And Showgrounds Car Park Reserve Committee Incorporated</t>
  </si>
  <si>
    <t>Geelong Traffic Safety Centre And Car Park Reserve Committee Incorporated</t>
  </si>
  <si>
    <t>Gelantipy Public Hall &amp; Recreation Reserve Committee Inc.</t>
  </si>
  <si>
    <t>Gellibrand River Recreation Reserve Committee of Management Incorporated</t>
  </si>
  <si>
    <t>Gentle Annie Reserve Incorporated</t>
  </si>
  <si>
    <t>Geographic Place Names Advisory Panel</t>
  </si>
  <si>
    <t>Gerangamete Public Recreation Reserve</t>
  </si>
  <si>
    <t>Gippsland Lakes And Coast Regional Coastal Board</t>
  </si>
  <si>
    <t>Gippsland Lakes Coordinating Committee</t>
  </si>
  <si>
    <t>Gippsland Lakes Ministerial Advisory Committee</t>
  </si>
  <si>
    <t>Gippsland Plains Rail Trail Incorporated</t>
  </si>
  <si>
    <t>Gippsland Waste And Resource Recovery Group</t>
  </si>
  <si>
    <t>Gippstown Reserve Committee Of Management Incorporated</t>
  </si>
  <si>
    <t>Rutherglen Park Reserve Committee Of Management Incorporated</t>
  </si>
  <si>
    <t>Rutherglen Historic Reserve Committee</t>
  </si>
  <si>
    <t>Rutherglen Racecourse Recreation</t>
  </si>
  <si>
    <t>Sale Racecourse Reserve Committee Of Management Incorporated</t>
  </si>
  <si>
    <t>Sam`S Hut Reserve Bungeet Committee Of Management</t>
  </si>
  <si>
    <t>San Remo Foreshore Committee Of Management Incorporated</t>
  </si>
  <si>
    <t>San Remo Recreation Centre Incorporated</t>
  </si>
  <si>
    <t>Sandford Racecourse And Recreation Reserve</t>
  </si>
  <si>
    <t>Sandhill Lake Mechanics Institute Reserve Committee Of Management</t>
  </si>
  <si>
    <t>Heywood Sports Park</t>
  </si>
  <si>
    <t>Highlands Public Hall Reserve</t>
  </si>
  <si>
    <t>Hill End Hall Committee Incorporated</t>
  </si>
  <si>
    <t>Hinnomunjie Recreation Reserve Incorporated</t>
  </si>
  <si>
    <t>Hogan Park (Emerald) Committee Of Management Incorporated</t>
  </si>
  <si>
    <t>Homerton Hall And Recreation Reserve Committee Of Management Incorporated</t>
  </si>
  <si>
    <t>Hopetoun Racecourse &amp; Recreation Reserve (Golf Course Area)</t>
  </si>
  <si>
    <t>Hordern Vale Hall And Recreation Reserve Incorporated</t>
  </si>
  <si>
    <t>Horsham Showgrounds Committee Of Management Incorporated</t>
  </si>
  <si>
    <t>Hotspur Recreation Reserve Committee Incorporated</t>
  </si>
  <si>
    <t>Lawloit Public Hall Reserve</t>
  </si>
  <si>
    <t>Leitchville Memorial Hall Committee Of Management</t>
  </si>
  <si>
    <t>Leneva Hall Reserve Committee Of Management</t>
  </si>
  <si>
    <t>Leonards Hill Mechanics Institute &amp; Free Library</t>
  </si>
  <si>
    <t>Leongatha Recreation Reserve Committee Of Management Incorporated</t>
  </si>
  <si>
    <t>Lethbridge Hall Com Incorporated</t>
  </si>
  <si>
    <t>Leura Oval Committee Of Management Incorporated</t>
  </si>
  <si>
    <t>Bridgewater Recreation  &amp; Public Park Committee Of Management</t>
  </si>
  <si>
    <t>Bright Court House Committee Incorporated</t>
  </si>
  <si>
    <t>Brim Recreation Reserves</t>
  </si>
  <si>
    <t>Brimpaen Recreation And Public Hall Reserve Committee Incorporated</t>
  </si>
  <si>
    <t>Ecklin Public Hall Committee Of Management</t>
  </si>
  <si>
    <t>Eddington Racecourse And Rec Reserve Committee Of Mgmt</t>
  </si>
  <si>
    <t>Edenhope Flora Reserve Committee Of Management</t>
  </si>
  <si>
    <t>Edenhope Racecourse Committee Of Management</t>
  </si>
  <si>
    <t>Edenhope Showgrounds Reserve Committee</t>
  </si>
  <si>
    <t>Eileen Ramsay Bushland Reserve (Red Cliffs) Committee Inc.</t>
  </si>
  <si>
    <t>Elaine Mechanics Institute Incorporated</t>
  </si>
  <si>
    <t>Patchewollock Airfield Reserve Committee Incorporated</t>
  </si>
  <si>
    <t>Patchewollock Racecourse  Showgrounds &amp; Public Rec`N Reserve</t>
  </si>
  <si>
    <t>Patchewollock Recreation Reserve Incorporated</t>
  </si>
  <si>
    <t>Pax Hill Reserve Committee Of Management Incorporated</t>
  </si>
  <si>
    <t>Peechelba Public Hall &amp; Recreation Reserve Committee Of Management</t>
  </si>
  <si>
    <t>Peechelba Public Purposes &amp; Bushland Reserves Incorporated</t>
  </si>
  <si>
    <t>Penshurst Memorial Hall Committee Of Management Incorporated</t>
  </si>
  <si>
    <t>Penshurst Recreation Reserve Incorporated</t>
  </si>
  <si>
    <t>Woomelang Memorial Park &amp; Childrens Playground And Public Park Reserves</t>
  </si>
  <si>
    <t>Woorndoo Recreation Reserve Committee Of Management Incorporated</t>
  </si>
  <si>
    <t>Woorndoo School Reserve Committee Of Management Incorporated</t>
  </si>
  <si>
    <t>Working Heritage Incorporated</t>
  </si>
  <si>
    <t>World Heritage Management Plan Steering Committee</t>
  </si>
  <si>
    <t>Wulgulmerang Recreation Reserve Committee Of Management Inc</t>
  </si>
  <si>
    <t>Wy Yung Hall And William Mcbriar Reserve Committee</t>
  </si>
  <si>
    <t>Wyeeboo Recreation Reserve</t>
  </si>
  <si>
    <t>Wyuna Recreation Reserve</t>
  </si>
  <si>
    <t>Yaapeet Community Club Incorporated</t>
  </si>
  <si>
    <t>Gladysdale Public Hall Committee Of Management Inc</t>
  </si>
  <si>
    <t>Glen Valley Hall Committee Incorporated</t>
  </si>
  <si>
    <t>Glenaladale Recreation Reserve Committee Of Management Inc</t>
  </si>
  <si>
    <t>Glengarry Mechanics Institute Reserve Incorporated</t>
  </si>
  <si>
    <t>A E Cracknell Recreation Reserve Committee Inc.</t>
  </si>
  <si>
    <t>Akoonah Park Reserve Committee Of Management Incorporated</t>
  </si>
  <si>
    <t>Albert Heaney Oval</t>
  </si>
  <si>
    <t>Alberton Recreation Reserve Committee Incorporated</t>
  </si>
  <si>
    <t>Alberton West Recreation Reserve Committee Of Management Incorporated</t>
  </si>
  <si>
    <t>Alexandra Park Reserve Committee Of Management</t>
  </si>
  <si>
    <t>Amphitheatre Recreation Reserve</t>
  </si>
  <si>
    <t>Sandy Creek Hall And Recreation Reserve Committee Of Management</t>
  </si>
  <si>
    <t>Sandy Point Foreshore Committee Of Management Incorporated</t>
  </si>
  <si>
    <t>Sarsfield Recreation Reserve Committee Of Management Inc.</t>
  </si>
  <si>
    <t>Scientific Advisory Committee</t>
  </si>
  <si>
    <t>Scotts And Cowleys Creek Public Hall Committee Incorporated</t>
  </si>
  <si>
    <t>Scotts Creek Recreation Reserve Committee Of Management Inc</t>
  </si>
  <si>
    <t>Sea Lake Court House Committee Of Management Incorporated</t>
  </si>
  <si>
    <t>Sea Lake Mechanics Institute And Free Library Inc.</t>
  </si>
  <si>
    <t>Sea Lake Recreation Reserve</t>
  </si>
  <si>
    <t>Illabarook And Rokewood Junction And District Memorial Hall Reserve Committee Of Management Inc</t>
  </si>
  <si>
    <t>Inglewood Bowling Green Reserve Committee Of Management</t>
  </si>
  <si>
    <t>Inglewood Golf Club Committee Of Management Inc</t>
  </si>
  <si>
    <t>Inglis Bushland Reserve Committee Of Management Inc</t>
  </si>
  <si>
    <t>Mossiface &amp; Wiseleigh Memorial Hall Committee Incorporated</t>
  </si>
  <si>
    <t>Lexton Racecourse And Recreation Reserve Committee Inc.</t>
  </si>
  <si>
    <t>Licensing Appeals Tribunal (Fisheries)</t>
  </si>
  <si>
    <t>Lilliput Recreation Reserve Committee Of Management</t>
  </si>
  <si>
    <t>Lilydale Reserve Committee Of Management Incorporated</t>
  </si>
  <si>
    <t>Lima School Community Centre Incorporated</t>
  </si>
  <si>
    <t>Lima South Public Hall Reserve Incorporated</t>
  </si>
  <si>
    <t>Lindenow Public Hall</t>
  </si>
  <si>
    <t>Lindenow South Recreation Res Committee Of Management Incorporated</t>
  </si>
  <si>
    <t>Lingbogol Camp Area - Creswick</t>
  </si>
  <si>
    <t>Lismore Recreation Centre Committee Incorporated</t>
  </si>
  <si>
    <t>Electric Line Clearance Consultative Committee</t>
  </si>
  <si>
    <t>Ellerslie &amp; Ballangeich Soldiers Memorial Reserve</t>
  </si>
  <si>
    <t>Elmhurst Recreation Reserve Committee Of Management Incorporated</t>
  </si>
  <si>
    <t>Elmore Recreation &amp; Caravan Park Reserve Committee Of Management Incorporated</t>
  </si>
  <si>
    <t>Elmore Swimming Pool Reserve</t>
  </si>
  <si>
    <t>Eldorado Centennial Park Committee Incorporated</t>
  </si>
  <si>
    <t>Emerald Mechanics Institute And Free Library Com Inc</t>
  </si>
  <si>
    <t>Peronne Memorial Hall Reserve Committee  Of Management  Incorporated</t>
  </si>
  <si>
    <t>Piangil Memorial Park And Recreation Reserves Committee Inc.</t>
  </si>
  <si>
    <t>Pianta Road River Reserve Committee Of Management</t>
  </si>
  <si>
    <t>Pigeon Ponds Hall Reserve Incorporated</t>
  </si>
  <si>
    <t>Pigeon Ponds Recreation Reserve</t>
  </si>
  <si>
    <t>Pine Grove Recreation Reserve Committee Of Management</t>
  </si>
  <si>
    <t>Planning Application Committee</t>
  </si>
  <si>
    <t>Planning Panels Victoria</t>
  </si>
  <si>
    <t>Plumbing Advisory Council</t>
  </si>
  <si>
    <t>Yallourn North Recreation Reserve Committee Incorporated</t>
  </si>
  <si>
    <t>Yambuk Public Hall And Recreation Reserve Committee Inc</t>
  </si>
  <si>
    <t>Yambuk Recreation Reserve Committee Incorporated</t>
  </si>
  <si>
    <t>Yanakie Hall And Recreation Reserve Committee Incorporated</t>
  </si>
  <si>
    <t>Yandoit Mechanics Institute</t>
  </si>
  <si>
    <t>Yandoit Public Park And Recreation Reserve Committee Incorporated</t>
  </si>
  <si>
    <t>Yarck Kanumbra Cricket And Recreation Reserve</t>
  </si>
  <si>
    <t>Yarck Mechanics Institute And Library</t>
  </si>
  <si>
    <t>Glengarry Recreation Reserve Committee Of Management Incorporated</t>
  </si>
  <si>
    <t>Glenloth East Memorial Hall Reserve Committee Of Management</t>
  </si>
  <si>
    <t>Glenmaggie Mechanics Institute Incorporated</t>
  </si>
  <si>
    <t>Glenorchy Racecourse And Recreation Reserve Incorporated</t>
  </si>
  <si>
    <t>Glenpatrick Recreation Reserve Committee Of Management Incorporated</t>
  </si>
  <si>
    <t>Glenrowan Multi Purpose Reserve Committee Of Management</t>
  </si>
  <si>
    <t>Glenrowan Police Paddocks And Scout Hall Reserve Com Inc</t>
  </si>
  <si>
    <t>Glenrowan Public Park Management Committee Incorporated</t>
  </si>
  <si>
    <t>Glenthompson Park And Recreation Reserve</t>
  </si>
  <si>
    <t>Gobur Racecourse &amp; Recreation Reserve</t>
  </si>
  <si>
    <t>Alexandra Showgrounds &amp; Recreation Reserve</t>
  </si>
  <si>
    <t>Allans Flat Recreation Reserve Committee Incorporated</t>
  </si>
  <si>
    <t>Allansford Recreation Reserve Incorporated</t>
  </si>
  <si>
    <t>Alpine Advisory Committee</t>
  </si>
  <si>
    <t>Amphitheatre Mechanics Institute Incorporation</t>
  </si>
  <si>
    <t>Ancona Hall Committee Incorporated</t>
  </si>
  <si>
    <t>Harness Racing Victoria</t>
  </si>
  <si>
    <t>Powelltown Public Hall Reserve Incorporated</t>
  </si>
  <si>
    <t>Powelltown Recreation Reserve Com Incorporated</t>
  </si>
  <si>
    <t>Power Creek Reserve Committee Of Management Inc</t>
  </si>
  <si>
    <t>Powlett Plains Recreation Reserve Committee Of Management</t>
  </si>
  <si>
    <t>Primary Industries Committee Of Management Incorporated</t>
  </si>
  <si>
    <t>Princetown Recreation Reserve Committee Of Management</t>
  </si>
  <si>
    <t>Psyche Bend Historical Reserve Committee</t>
  </si>
  <si>
    <t>Pura Pura Public Hall And Recreation Reserve Committee Of Management Incorporated</t>
  </si>
  <si>
    <t>Purnim Mechanics Institute Incorporated</t>
  </si>
  <si>
    <t>Mount Macedon War Memorial Cross Reserve Incorporation</t>
  </si>
  <si>
    <t>Mount Wallace Hall &amp; Reserve Com Inc</t>
  </si>
  <si>
    <t>Moyhu Recreation Reserve</t>
  </si>
  <si>
    <t>Moyston Public Parks Committee Incorporated</t>
  </si>
  <si>
    <t>Mt Bute Public Hall Committee Incorporated</t>
  </si>
  <si>
    <t>Mt Eckersley Recreation Reserve</t>
  </si>
  <si>
    <t>Mt Egerton Mechanics Institute Reserve Com Inc</t>
  </si>
  <si>
    <t>Nichols Road Recreation Reserve Committee Of Management Incorporated</t>
  </si>
  <si>
    <t>Noorinbee Public Purposes Reserve Committee Incorporated</t>
  </si>
  <si>
    <t>Noradjuha Memorial Hall Committee Incorporated</t>
  </si>
  <si>
    <t>Noradjuha Recreation Reserve Committee Incorporated</t>
  </si>
  <si>
    <t>Loch Sport Foreshore Committee Of Management Incorporated</t>
  </si>
  <si>
    <t>Lockhart Racecourse &amp; Recreation Reserve</t>
  </si>
  <si>
    <t>Lockington Public Hall Committee Of Management Incorporated</t>
  </si>
  <si>
    <t>Loddon Mallee Waste And Resource Recovery Group</t>
  </si>
  <si>
    <t>Logan Recreation Reserve Committee Of Management</t>
  </si>
  <si>
    <t>Longford Hall And Recreation Reserve Committee Incorporated</t>
  </si>
  <si>
    <t>Longwarry Hall Committee Of Management Incorporated</t>
  </si>
  <si>
    <t>Longwarry Recreation Reserve Committee Incorporated</t>
  </si>
  <si>
    <t>Lords Raceway Committee Of Management</t>
  </si>
  <si>
    <t>Emu Creek Recreation Reserve Committee Of Management</t>
  </si>
  <si>
    <t>Emu Plains Racecourse And Recreation Reserve Committee Inc</t>
  </si>
  <si>
    <t>Emu Recreation &amp; Public Hall Reserves Committee Of Management</t>
  </si>
  <si>
    <t>Enfield Recreation Reserve Committee Of Management Incorporated</t>
  </si>
  <si>
    <t>Ensay Mechanics Institute Committee Of Management Incorporated</t>
  </si>
  <si>
    <t>Ensay Recreation Reserve Committee Incorporated</t>
  </si>
  <si>
    <t>Environment Protection Board</t>
  </si>
  <si>
    <t>Inverleigh Mechanics Institute Reserve Committee Of Management Incorporated</t>
  </si>
  <si>
    <t>Point Danger Committee Of Management Incorporated</t>
  </si>
  <si>
    <t>Point King Foreshore Reserve Committee Of Management Inc.</t>
  </si>
  <si>
    <t>Point Leo Foreshore And Public Park Reserves Incorporated</t>
  </si>
  <si>
    <t>Pomborneit Recreation Reserve</t>
  </si>
  <si>
    <t>Poolaijelo Soldiers Memorial Hall Incorporated</t>
  </si>
  <si>
    <t>Poowong East Hall Incorporated</t>
  </si>
  <si>
    <t>Poowong Recreation Committee Incorporated</t>
  </si>
  <si>
    <t>Porepunkah Caravan Park Committee Of Management Incorporated</t>
  </si>
  <si>
    <t>Porepunkah Public Hall &amp; Porepunkah Public Reserve Incorporated</t>
  </si>
  <si>
    <t>Port Albert Racecourse And Recreation Reserve Committee Of Management Incorporated</t>
  </si>
  <si>
    <t>Port Campbell Recreation Reserve Committee Of Management Incorporated</t>
  </si>
  <si>
    <t>Yarragon Public Hall Committee Incorporated</t>
  </si>
  <si>
    <t>Yarrawalla Community Centre Incorporated</t>
  </si>
  <si>
    <t>Yea Racecourse &amp; Recreation Reserve</t>
  </si>
  <si>
    <t>Yendon Recreation Reserve Committee Of Management Incorporated</t>
  </si>
  <si>
    <t>Gonzaga Recreation Reserve Inc</t>
  </si>
  <si>
    <t>Goongerah Hall Reserve Committee Incorporated</t>
  </si>
  <si>
    <t>Gooramadda Public Purposes &amp; Tourist Camp Reserves</t>
  </si>
  <si>
    <t>Goorambat Public Hall Reserve Committee Of Management Inc</t>
  </si>
  <si>
    <t>Goornong Rec Reserve Committee Incorporated</t>
  </si>
  <si>
    <t>Gorae West Public Hall &amp; Recreation Committee Incorporated</t>
  </si>
  <si>
    <t>Gordon Public Park &amp; Recreation Reserve Incorporated</t>
  </si>
  <si>
    <t>Gordon Recreation Reserve Committee Incorporated</t>
  </si>
  <si>
    <t>Gormandale Hall Committee Incorporated</t>
  </si>
  <si>
    <t>Antwerp Recreation Reserve Committee</t>
  </si>
  <si>
    <t>Apollo Bay Mechanics Hall Committee Incorporated</t>
  </si>
  <si>
    <t>Apsley Public Hall &amp; Recreation Reserve Inc.</t>
  </si>
  <si>
    <t>Apsley Racecourse &amp; Recreation Reserve Incorporated</t>
  </si>
  <si>
    <t>Apsley Recreation Reserve Incorporated</t>
  </si>
  <si>
    <t>Ararat Racecourse And Recreation Reserve Committee Incorporated</t>
  </si>
  <si>
    <t>Architects Registration Board Of Victoria</t>
  </si>
  <si>
    <t>Architects Registration Board Of Victoria Tribunals Panel</t>
  </si>
  <si>
    <t>Yackandandah Golf Course and Recreation Reserve Com. Inc</t>
  </si>
  <si>
    <t>Wodonga Racecourse Recreation and Showgrounds Reserve Committee Incorporated</t>
  </si>
  <si>
    <t>Granya Public Park Committee Incorporated</t>
  </si>
  <si>
    <t>Towong Soldiers Memorial Hall Reserve Committee Incorporated</t>
  </si>
  <si>
    <t>El Dorado Muesum Association Incorporated</t>
  </si>
  <si>
    <t>Tarrawingee Community Hall Committee of Management Incorporated</t>
  </si>
  <si>
    <t>Whorouly East Recreation Reserve</t>
  </si>
  <si>
    <t>The Whitlands Progress Association</t>
  </si>
  <si>
    <t>Parklands Albury-Wodonga Ltd</t>
  </si>
  <si>
    <t>Geelong Lawn Tennis Club Incorporated</t>
  </si>
  <si>
    <t>Ballarat Mechanics Institute</t>
  </si>
  <si>
    <t>Clunes Landcare and Waterways Group (Clunes Waterways Reserve Committee Inc)</t>
  </si>
  <si>
    <t>Leonards Hill Mechanics Institute and Free Library</t>
  </si>
  <si>
    <t>Glenlyon Progress Association and Shire Hall</t>
  </si>
  <si>
    <t>Ararat Regional Bio-Links Network Incorporated</t>
  </si>
  <si>
    <t>Callawadda Public Purposes Reserve (Hall Car Park)</t>
  </si>
  <si>
    <t>Mt Egerton Gold Battery Inc.</t>
  </si>
  <si>
    <t>Clunes Neighbourhood House Inc</t>
  </si>
  <si>
    <t>Horsham Cycling Club Inc.</t>
  </si>
  <si>
    <t>Pimpinio Sports and Community Centre Incorporated</t>
  </si>
  <si>
    <t>Nhill Bowling Club Inc</t>
  </si>
  <si>
    <t>Warracknabeal Yarriambiack Creek Development Committee Inc</t>
  </si>
  <si>
    <t>Yaapeet Recreation Reserve</t>
  </si>
  <si>
    <t>Warracknabeal Memorial Swimming Pool Inc.</t>
  </si>
  <si>
    <t>Warracknabeal Bowling Club Inc.</t>
  </si>
  <si>
    <t>Rotary Club of Warracknabeal Incorporated</t>
  </si>
  <si>
    <t>Taradale Historical Group Inc</t>
  </si>
  <si>
    <t>Bendigo Field Naturalists Club Inc</t>
  </si>
  <si>
    <t>Bendigo Woodturners Inc</t>
  </si>
  <si>
    <t>Moonambel Tennis Reserve Incorporated</t>
  </si>
  <si>
    <t>Bealiba Reservoir Committee Inc</t>
  </si>
  <si>
    <t>Castlemaine Historic Society Inc</t>
  </si>
  <si>
    <t>Bendigo Historic Motorcycle Club Inc (Llanelly Public Hall and Reserve).</t>
  </si>
  <si>
    <t>Echuca Historical Society Inc</t>
  </si>
  <si>
    <t>Rotary Club of Rochester Incorporated</t>
  </si>
  <si>
    <t>Lockington Community Care Channel Committee Project Inc.</t>
  </si>
  <si>
    <t>Patho Recreation Reserve Committee of Management</t>
  </si>
  <si>
    <t>Charlton Golf Club Inc</t>
  </si>
  <si>
    <t>Borung Mechanics Institute &amp; Public Hall</t>
  </si>
  <si>
    <t>Hawkesdale &amp; District Development Committee</t>
  </si>
  <si>
    <t>Warrnambool Racing Club Inc</t>
  </si>
  <si>
    <t>Mount Rouse &amp; District Historical Society Incorporated</t>
  </si>
  <si>
    <t>Cavendish Townscape Association Incorporated</t>
  </si>
  <si>
    <t>The Old Courthouse Committee of Management Inc</t>
  </si>
  <si>
    <t>Noojee &amp; District Historical Society Incorporated</t>
  </si>
  <si>
    <t>Noojee Parks and Reserves Committee Incorporated</t>
  </si>
  <si>
    <t>Harrietville Historical Society Inc</t>
  </si>
  <si>
    <t>Harrietville Tronoh Dredgehold Reserve Incorporated</t>
  </si>
  <si>
    <t>Woods Point Progress Association Incorporated</t>
  </si>
  <si>
    <t>Murrindindi-Woodbourne Community Hub Inc</t>
  </si>
  <si>
    <t>Byrneside Tennis Club Incorporated</t>
  </si>
  <si>
    <t>Murrindindi Scenic Reserve Committee of Management</t>
  </si>
  <si>
    <t>Bass Park Extension Reserve Com</t>
  </si>
  <si>
    <t>Cannons Creek Foreshore Reserve Committee Inc</t>
  </si>
  <si>
    <t>Arts Victoria Committee Of Management Incorporated</t>
  </si>
  <si>
    <t>Sassafras Mechanics Institute Reserve Com Incorporated</t>
  </si>
  <si>
    <t>Bend of Islands Conservation Association Incorporated</t>
  </si>
  <si>
    <t>Native Plants &amp; Historic Interest Res.</t>
  </si>
  <si>
    <t>Bumbang Bushland Reserve Committee Incorporated</t>
  </si>
  <si>
    <t>Nyah District Memorial Hall Incorporated</t>
  </si>
  <si>
    <t>Goschen Public Hall and Public Recreation Reserve Committee Inc.</t>
  </si>
  <si>
    <t>Woomelang Memorial Park, Childrens Playground and Public Park Reserves Committee Incorporated</t>
  </si>
  <si>
    <t>Hopetoun Racecourse and Recreation Reserve</t>
  </si>
  <si>
    <t>Mittyack Public Purposes &amp; Recreation Reserves</t>
  </si>
  <si>
    <t>Wood Street Public Recreation Reserve Committee of Management Inc.</t>
  </si>
  <si>
    <t>Snake Valley Golf Club Incorporated</t>
  </si>
  <si>
    <t>Lake Goldsmith Public Hall Reserve</t>
  </si>
  <si>
    <t>Streatham Recreation Reserve Committee of Management</t>
  </si>
  <si>
    <t>Glenorchy Mechanics Institute and Free Library Reserve &amp; Recreation Reserve</t>
  </si>
  <si>
    <t>Brim Recreation Reserve</t>
  </si>
  <si>
    <t>Waranga Camping &amp; Recreation Reserve Committee of Management Incorporated</t>
  </si>
  <si>
    <t>Heathcote Racecourse Reserve Committee Of Management</t>
  </si>
  <si>
    <t>Echuca Racecourse</t>
  </si>
  <si>
    <t>Tragowel Recreation Reserve</t>
  </si>
  <si>
    <t>Cohuna Historical Society Reserve</t>
  </si>
  <si>
    <t>Maryborough (Ladies) Benevolent Society Inc.</t>
  </si>
  <si>
    <t>Carisbrook Racecourse &amp; Recreation Reserve</t>
  </si>
  <si>
    <t>Pioneers and Old Residents Association of Castlemaine Inc.</t>
  </si>
  <si>
    <t>Harcourt North Tennis Club Inc.</t>
  </si>
  <si>
    <t>Glenloth East Hall and Jeruk Recreation (Tennis Courts) Reserves</t>
  </si>
  <si>
    <t>Orford Recreation and Public Hall Reserve Inc.</t>
  </si>
  <si>
    <t>Woodhouse-Nareeb Hall &amp; Recreaton Res.</t>
  </si>
  <si>
    <t>Casterton Racecourse and Recreation Reserve</t>
  </si>
  <si>
    <t>Derghom Recreation Reserve Incorporated</t>
  </si>
  <si>
    <t>Baddaginnie Community Incorporated</t>
  </si>
  <si>
    <t>Glenrown Public Recreation Reserve</t>
  </si>
  <si>
    <t>Alexandra Racecourse &amp; Recreation Reserve</t>
  </si>
  <si>
    <t>Buxton Memorial Hall Reserve</t>
  </si>
  <si>
    <t>Jamieson Community Group &amp; Associated Bodies Incorporated</t>
  </si>
  <si>
    <t>Goulburn Weir Recreation Reserve Committee Incorporated</t>
  </si>
  <si>
    <t>Shepparton Mechanics Institute</t>
  </si>
  <si>
    <t>Murchison Swimming Pool Reserve</t>
  </si>
  <si>
    <t>Kaarimba Public Hall Incorporated</t>
  </si>
  <si>
    <t>Caniambo Recreation Reserve Committee of Management Incorporated</t>
  </si>
  <si>
    <t>Kaarimba Racecourse and Recreation Reserve</t>
  </si>
  <si>
    <t>Koonoomoo Improvement Group</t>
  </si>
  <si>
    <t>Woods Point Crown Reserves</t>
  </si>
  <si>
    <t>Northwood Public Recreation Reserve Incorporated</t>
  </si>
  <si>
    <t>Rushworth Community Cottage Committee Incorporated</t>
  </si>
  <si>
    <t>Lake Buloke Recreation Reserve Committee</t>
  </si>
  <si>
    <t>VFF Farm Tree &amp; Landcare Association Inc (Gazette Land Action Group)</t>
  </si>
  <si>
    <t>Muckatah Land Care Group</t>
  </si>
  <si>
    <t>Gobur Mechanics Institute Reserve</t>
  </si>
  <si>
    <t>Grantville &amp; District Forshore Reserve Committee of Management</t>
  </si>
  <si>
    <t>Marysville Community Golf &amp; Bowls Club Inc</t>
  </si>
  <si>
    <t>Friends of Royal Park Incorporated</t>
  </si>
  <si>
    <t>Chewton Pool Inc</t>
  </si>
  <si>
    <t>Upper Sandy Creek Recreation Reserve Committee Incorporated</t>
  </si>
  <si>
    <t>Woorinen Football Netball Club Incorporated</t>
  </si>
  <si>
    <t>Avoca Sporting and Recreation Committee of Management Inc</t>
  </si>
  <si>
    <t>Rowen Park Committee of Management Incorporated</t>
  </si>
  <si>
    <t>Grenville Recreation Reserve Committee Incorporated</t>
  </si>
  <si>
    <t>Archbolds Ore Treatment Works Inc</t>
  </si>
  <si>
    <t>Wahgunyah Playground Reserve Committee Incorporated</t>
  </si>
  <si>
    <t>Dedrang Recreation Reserve Committee of Management Inc</t>
  </si>
  <si>
    <t>Macarona Recreation Reserve Incorporated</t>
  </si>
  <si>
    <t>Taggerty Public Hall &amp; Public Purposes Res &amp; Mechanics Institute</t>
  </si>
  <si>
    <t>Noradjuha Recreation Reserve Committee Incorproated</t>
  </si>
  <si>
    <t>Ballarat Environment Network Inc</t>
  </si>
  <si>
    <t>Redesdale Recreaton Reserve Committee Incorporated</t>
  </si>
  <si>
    <t>Terang and District Racing Club Inc</t>
  </si>
  <si>
    <t>Greta Sporting Complex Incorporated</t>
  </si>
  <si>
    <t>Ballarat Turf Club Incorporated</t>
  </si>
  <si>
    <t>Myrinong Recreation Reserve Committee Incorporated</t>
  </si>
  <si>
    <t>Lake Marma Public Park and Gardens Reserve Committee</t>
  </si>
  <si>
    <t>Creswick Theatre Company Inc</t>
  </si>
  <si>
    <t>Ballan Golf Club Incorporated</t>
  </si>
  <si>
    <t>Rotary Youth Camp Inc</t>
  </si>
  <si>
    <t>Berringa Community Committee Incorporated</t>
  </si>
  <si>
    <t>Golden Vale Reserve Committtee of Management Incorporated</t>
  </si>
  <si>
    <t>The Flowerdale Sports Club Inc</t>
  </si>
  <si>
    <t>Natimuk Lake Foreshore Reserve</t>
  </si>
  <si>
    <t>Heathcote Agricultural Pastoral and Horticultutal Society Inc.</t>
  </si>
  <si>
    <t>Tallangatta Agricultural and Pastoral Society Incorported</t>
  </si>
  <si>
    <t>Lockington Recreation Reserve</t>
  </si>
  <si>
    <t>Avoca &amp; District Historical Society</t>
  </si>
  <si>
    <t>Mumbanar Recreation Reserve</t>
  </si>
  <si>
    <t>Arawata Public Hall Trust</t>
  </si>
  <si>
    <t>Bass Park Trust</t>
  </si>
  <si>
    <t>Collingwood Children's Farm Incorporated</t>
  </si>
  <si>
    <t>Essendon Historical Society (Moonee Ponds Courthouse)</t>
  </si>
  <si>
    <t>Ferny Creek Horticultural Society Inc.</t>
  </si>
  <si>
    <t>Footscray Mechanics Institute Trust</t>
  </si>
  <si>
    <t>Heidelberg Historical Society Incorporated</t>
  </si>
  <si>
    <t>Inverloch Recreation Reserve Committee Incorporated</t>
  </si>
  <si>
    <t>Labertouche Public Hall Committee Incorporated</t>
  </si>
  <si>
    <t>Neerim North Soldiers Memorial Reserve Incorporated</t>
  </si>
  <si>
    <t>Orbost &amp; District Elderly Peoples Home Inc</t>
  </si>
  <si>
    <t>Rutherglen Park (Bowling Green) Reserved</t>
  </si>
  <si>
    <t>Spicer Reserve (St Andrews) Committee of Management Incorporated</t>
  </si>
  <si>
    <t>State Baseball Softball Centre</t>
  </si>
  <si>
    <t>Tarraville Living History Museum Committee Incorporated</t>
  </si>
  <si>
    <t>The Mint Incorporated</t>
  </si>
  <si>
    <t>The Trustees Trades Hall</t>
  </si>
  <si>
    <t>Trustees of Ninyeunook Mechanics Institute Reserve</t>
  </si>
  <si>
    <t>Whittlesea District Branch of the Helping Hand Association for Persons with an Intellectual Disability Inc.</t>
  </si>
  <si>
    <t>Wingtringham Inc</t>
  </si>
  <si>
    <t>Barkly Park Reserve (Rutherglen) Committee of Management</t>
  </si>
  <si>
    <t>Cardinia Catchment Landcare Inc</t>
  </si>
  <si>
    <t>Post Office Hill Action Group Incorporated</t>
  </si>
  <si>
    <t>Spring Hill Parks Committee Incorporated</t>
  </si>
  <si>
    <t>Mount Baw Baw Alpine Resort</t>
  </si>
  <si>
    <t>Solar Homes</t>
  </si>
  <si>
    <t>Country Fire Authority (CFA)</t>
  </si>
  <si>
    <t>Office Of Public Prosecutions</t>
  </si>
  <si>
    <t>State Emergency Service (SES)</t>
  </si>
  <si>
    <t>Victorian Commission For Gambling And Liquor Regulation</t>
  </si>
  <si>
    <t>Victorian Institute Of Forensic Medicine (VIFM)</t>
  </si>
  <si>
    <t>Honorary Justice Office</t>
  </si>
  <si>
    <t>Emergency Management Victoria (EMV)</t>
  </si>
  <si>
    <t>Victorian Asbestos Eradication Agency (VAEA)</t>
  </si>
  <si>
    <t>Metropolitan Fire And Emergency Services Appeals Commission</t>
  </si>
  <si>
    <t>Ministerial Community Advisory Committee (Custodial Community Permit Program)</t>
  </si>
  <si>
    <t>Motor Car Traders Claims Committee</t>
  </si>
  <si>
    <t>Office Of Crown Counsel &amp; Advising</t>
  </si>
  <si>
    <t>Office Of The Public Advocate</t>
  </si>
  <si>
    <t>Police Registration And Services Board</t>
  </si>
  <si>
    <t>Racing Integrity Commissioner</t>
  </si>
  <si>
    <t>Racing Victoria</t>
  </si>
  <si>
    <t>Reference Group - Road Safety Camera Commissioner</t>
  </si>
  <si>
    <t>Responsible Gambling Ministerial Advisory Council</t>
  </si>
  <si>
    <t>Road Safety Camera Commissioner</t>
  </si>
  <si>
    <t>Victorian Civil and Administrative Tribunal (VCAT)</t>
  </si>
  <si>
    <t>Solicitor-General Of Victoria</t>
  </si>
  <si>
    <t>Victims Of Crime Consultative Committee</t>
  </si>
  <si>
    <t>Victorian Equal Opportunity And Human Rights Commission</t>
  </si>
  <si>
    <t>Victorian Government Solicitor</t>
  </si>
  <si>
    <t>Victorian Law Reform Commission</t>
  </si>
  <si>
    <t>Victorian Legal Admissions Board</t>
  </si>
  <si>
    <t>Office Of The Road Safety Camera Commissioner</t>
  </si>
  <si>
    <t>Victorian Legal Services Board</t>
  </si>
  <si>
    <t>Victorian Legal Services Commissioner</t>
  </si>
  <si>
    <t>Adult Parole Board</t>
  </si>
  <si>
    <t>Appeal Costs Board</t>
  </si>
  <si>
    <t>Business Licensing Authority</t>
  </si>
  <si>
    <t>Office Of Chief Examiner</t>
  </si>
  <si>
    <t>Consumer Affairs</t>
  </si>
  <si>
    <t>Coronial Council Of Victoria</t>
  </si>
  <si>
    <t>Country Fire Authority Appeals Commission</t>
  </si>
  <si>
    <t>Emergency Management Commissioner</t>
  </si>
  <si>
    <t>Estate Agents Council</t>
  </si>
  <si>
    <t>Firearms Appeals Committee</t>
  </si>
  <si>
    <t>Greyhound Racing Victoria</t>
  </si>
  <si>
    <t>Greyhound Racing Victoria Racing Appeals And Disciplinary Board</t>
  </si>
  <si>
    <t>Judicial Entitlements Panel</t>
  </si>
  <si>
    <t>Liquor Control Advisory Council</t>
  </si>
  <si>
    <t>Department of Justice and Community Safety (DJCS)</t>
  </si>
  <si>
    <t>Emergency Services Infrastructure Authority</t>
  </si>
  <si>
    <t>HM Prison Tarrengower</t>
  </si>
  <si>
    <t>Dame Phyllis Frost Centre</t>
  </si>
  <si>
    <t>HM Prison Barwon</t>
  </si>
  <si>
    <t>Beechworth Correctional Centre</t>
  </si>
  <si>
    <t>HM Prison Dhurringile</t>
  </si>
  <si>
    <t>HM Prison Langi Kal Kal</t>
  </si>
  <si>
    <t>Judy Lazarus Transition Centre</t>
  </si>
  <si>
    <t>Wulgunggo Ngalu Learning Place</t>
  </si>
  <si>
    <t>Pyramid Hill Fire Station</t>
  </si>
  <si>
    <t>Quambatook Fire Station</t>
  </si>
  <si>
    <t>Raywood Fire Station</t>
  </si>
  <si>
    <t>Redbank Fire Station</t>
  </si>
  <si>
    <t>Redesdale Fire Station</t>
  </si>
  <si>
    <t>Tarcombe Fire Station</t>
  </si>
  <si>
    <t>North Geelong District Maintenance Office</t>
  </si>
  <si>
    <t>Scoresby Residence No 2</t>
  </si>
  <si>
    <t>VEMTC West Sale</t>
  </si>
  <si>
    <t>Victorian Emergency Management Institute</t>
  </si>
  <si>
    <t>Nelson Fire Station</t>
  </si>
  <si>
    <t>Queenscliff Fire Station</t>
  </si>
  <si>
    <t>Rainbow Fire Station</t>
  </si>
  <si>
    <t>Red Cliffs Fire Station</t>
  </si>
  <si>
    <t>Red Hill Fire Station</t>
  </si>
  <si>
    <t>Stanhope Fire Station</t>
  </si>
  <si>
    <t>Wando Vale Fire Station</t>
  </si>
  <si>
    <t>Fulham Correctional Centre</t>
  </si>
  <si>
    <t>Hopkins Correctional Centre</t>
  </si>
  <si>
    <t>Malmsbury Youth Justice Centre</t>
  </si>
  <si>
    <t>Invermay Siren Box</t>
  </si>
  <si>
    <t>Jarklin Siren Box</t>
  </si>
  <si>
    <t>Karramomus Siren Box</t>
  </si>
  <si>
    <t>Katamatite Siren Box</t>
  </si>
  <si>
    <t>Katandra Siren Box</t>
  </si>
  <si>
    <t>Kelvin View Siren Box</t>
  </si>
  <si>
    <t>Kerang Siren Box</t>
  </si>
  <si>
    <t>Kergunyah Siren Box</t>
  </si>
  <si>
    <t>Kernot-Grantville Siren Box</t>
  </si>
  <si>
    <t>Killawarra Siren Box</t>
  </si>
  <si>
    <t>Knowsley Siren Box</t>
  </si>
  <si>
    <t>Koonda Siren Box</t>
  </si>
  <si>
    <t>Koondrook Siren Box</t>
  </si>
  <si>
    <t>Kyneton Siren Box</t>
  </si>
  <si>
    <t>Lalbert Siren Box</t>
  </si>
  <si>
    <t>Landsborough Siren Box</t>
  </si>
  <si>
    <t>Lawloit Siren Box</t>
  </si>
  <si>
    <t>Leeor Siren Box</t>
  </si>
  <si>
    <t>Leneva Siren Box</t>
  </si>
  <si>
    <t>Lurg Siren Box</t>
  </si>
  <si>
    <t>Lyons Siren Box</t>
  </si>
  <si>
    <t>Maiden Gully Siren Box</t>
  </si>
  <si>
    <t>Maindample Siren Box</t>
  </si>
  <si>
    <t>Mandaurang Siren Box</t>
  </si>
  <si>
    <t>Marnoo Siren Box</t>
  </si>
  <si>
    <t>Meringur Siren Box</t>
  </si>
  <si>
    <t>Merton Siren Box</t>
  </si>
  <si>
    <t>Metcalfe Siren Box</t>
  </si>
  <si>
    <t>Miepoll Siren Box</t>
  </si>
  <si>
    <t>Mitiamo Siren Box</t>
  </si>
  <si>
    <t>Minyip Siren Box</t>
  </si>
  <si>
    <t>Modewarre Siren Box</t>
  </si>
  <si>
    <t>Molka Siren Box</t>
  </si>
  <si>
    <t>Moorilim Siren Box</t>
  </si>
  <si>
    <t>Mount Martha Siren Box</t>
  </si>
  <si>
    <t>Muckatah Siren Box</t>
  </si>
  <si>
    <t>Myrniong Siren Box</t>
  </si>
  <si>
    <t>Myrrhee Siren Box</t>
  </si>
  <si>
    <t>Mysia Siren Box</t>
  </si>
  <si>
    <t>Nandaly Siren Box</t>
  </si>
  <si>
    <t>Nariel Valley Siren Box</t>
  </si>
  <si>
    <t>Naringal Siren Box</t>
  </si>
  <si>
    <t>Narre Warren North Siren Box</t>
  </si>
  <si>
    <t>Navarre Siren Box</t>
  </si>
  <si>
    <t>Netherby Siren Box</t>
  </si>
  <si>
    <t>Newbridge Siren Box</t>
  </si>
  <si>
    <t>Nhill Siren Box</t>
  </si>
  <si>
    <t>Noradjuha Siren Box</t>
  </si>
  <si>
    <t>Norong Siren Box</t>
  </si>
  <si>
    <t>Nullawil Siren Box</t>
  </si>
  <si>
    <t>Boort Siren Box</t>
  </si>
  <si>
    <t>Hawkesdale LCF</t>
  </si>
  <si>
    <t>Moe DMO</t>
  </si>
  <si>
    <t>Mount Evelyn DMO</t>
  </si>
  <si>
    <t>Murchison</t>
  </si>
  <si>
    <t>Murrayville Vacant Building</t>
  </si>
  <si>
    <t>Ararat Magistrates Court</t>
  </si>
  <si>
    <t>Bacchus Marsh Magistrates Court</t>
  </si>
  <si>
    <t>Bairnsdale Magistrates Court</t>
  </si>
  <si>
    <t>Shepparton Magistrates Court</t>
  </si>
  <si>
    <t>Wonthaggi Magistrates Court</t>
  </si>
  <si>
    <t>William Cooper Justice Centre (Old County Court)</t>
  </si>
  <si>
    <t>Werribee Magistrates Court</t>
  </si>
  <si>
    <t>Wangaratta Magistrates Court</t>
  </si>
  <si>
    <t>Swan Hill Magistrates Court</t>
  </si>
  <si>
    <t>Supreme Court of Victoria</t>
  </si>
  <si>
    <t>Stawell Magistrates Court</t>
  </si>
  <si>
    <t>St Arnaud Magistrates Court</t>
  </si>
  <si>
    <t>Seymour Magistrates Court</t>
  </si>
  <si>
    <t>Sale Magistrates Court</t>
  </si>
  <si>
    <t>Benalla Magistrates Court</t>
  </si>
  <si>
    <t>Bendigo Magistrates Court</t>
  </si>
  <si>
    <t>Broadmeadows Magistrates Court</t>
  </si>
  <si>
    <t>Castlemaine Magistrates Court</t>
  </si>
  <si>
    <t>Neighbourhood Justice Centre</t>
  </si>
  <si>
    <t>Cobram Magistrates Court</t>
  </si>
  <si>
    <t>Colac Magistrates Court</t>
  </si>
  <si>
    <t>Warracknabeal Police Station</t>
  </si>
  <si>
    <t>Alexandra Police Station</t>
  </si>
  <si>
    <t>Altona North Police Station</t>
  </si>
  <si>
    <t>Anglesea Police Station</t>
  </si>
  <si>
    <t>Ashburton Police Station</t>
  </si>
  <si>
    <t>Avondale Heights Police Station</t>
  </si>
  <si>
    <t>Bannockburn Police Station</t>
  </si>
  <si>
    <t>Beechworth Police Station</t>
  </si>
  <si>
    <t>Benalla Police Station</t>
  </si>
  <si>
    <t>Bethanga Police Station</t>
  </si>
  <si>
    <t>Bridgewater Police Station</t>
  </si>
  <si>
    <t>Birchip Police Station</t>
  </si>
  <si>
    <t>Bright Police Station</t>
  </si>
  <si>
    <t>Broadmeadows Police Station</t>
  </si>
  <si>
    <t>Buchan Police Station</t>
  </si>
  <si>
    <t>Buninyong Police Station</t>
  </si>
  <si>
    <t>Camberwell Police Station</t>
  </si>
  <si>
    <t>Camperdown Police Station</t>
  </si>
  <si>
    <t>Cavendish Police Station</t>
  </si>
  <si>
    <t>Burwood Police Station</t>
  </si>
  <si>
    <t>Cheltenham Police Station</t>
  </si>
  <si>
    <t>Chiltern Police Station</t>
  </si>
  <si>
    <t>Clayton Police Station</t>
  </si>
  <si>
    <t>Cohuna Police Station</t>
  </si>
  <si>
    <t>Colac Police Station</t>
  </si>
  <si>
    <t>Collingwood Police Station</t>
  </si>
  <si>
    <t>Coleraine Police Station</t>
  </si>
  <si>
    <t>Corio Police Station</t>
  </si>
  <si>
    <t>Corryong Police Station</t>
  </si>
  <si>
    <t>Cressy Police Station</t>
  </si>
  <si>
    <t>Culgoa Police Station</t>
  </si>
  <si>
    <t>Doncaster Police Station</t>
  </si>
  <si>
    <t>Dimboola Police Station</t>
  </si>
  <si>
    <t>Donald Police Residence</t>
  </si>
  <si>
    <t>Dookie Police Station</t>
  </si>
  <si>
    <t>Dromana Police Station</t>
  </si>
  <si>
    <t>Drouin Police Station</t>
  </si>
  <si>
    <t>Dunkeld Police Station</t>
  </si>
  <si>
    <t>Eaglehawk Police Station</t>
  </si>
  <si>
    <t>Echuca Police Station</t>
  </si>
  <si>
    <t>Erica Police Station</t>
  </si>
  <si>
    <t>Euroa Police Station</t>
  </si>
  <si>
    <t>Fitzroy Police Station</t>
  </si>
  <si>
    <t>Flemington Police Station</t>
  </si>
  <si>
    <t>Foster Police Station</t>
  </si>
  <si>
    <t>Gordon Police Station</t>
  </si>
  <si>
    <t>Greensborough Police Station</t>
  </si>
  <si>
    <t>Hamilton Police Station</t>
  </si>
  <si>
    <t>Hastings Police Station</t>
  </si>
  <si>
    <t>Heathcote Police Station</t>
  </si>
  <si>
    <t>Heyfield Police Station</t>
  </si>
  <si>
    <t>Hopetoun Police Station</t>
  </si>
  <si>
    <t>Horsham Police Station</t>
  </si>
  <si>
    <t>Inglewood Police Station</t>
  </si>
  <si>
    <t>Inverleigh Police Station</t>
  </si>
  <si>
    <t>Kaniva Police Station</t>
  </si>
  <si>
    <t>Kerang Police Station</t>
  </si>
  <si>
    <t>Lake Boga Police Station</t>
  </si>
  <si>
    <t>Lakes Entrance Police Station</t>
  </si>
  <si>
    <t>Laverton Police Station</t>
  </si>
  <si>
    <t>Linton Police Station</t>
  </si>
  <si>
    <t>Macedon Police Station</t>
  </si>
  <si>
    <t>Maffra Police Station</t>
  </si>
  <si>
    <t>Maldon Police Station</t>
  </si>
  <si>
    <t>Mallacoota Police Station</t>
  </si>
  <si>
    <t>Malvern Police Station</t>
  </si>
  <si>
    <t>Mansfield Police Station</t>
  </si>
  <si>
    <t>Meredith Police Station</t>
  </si>
  <si>
    <t>Mitta Mitta Police Station</t>
  </si>
  <si>
    <t>Monbulk Police Station</t>
  </si>
  <si>
    <t>Mooroolbark Police Station</t>
  </si>
  <si>
    <t>Mortlake Police Station</t>
  </si>
  <si>
    <t>Mount Beauty Police Station</t>
  </si>
  <si>
    <t>Murchison Police Station</t>
  </si>
  <si>
    <t>Murrumbeena Police Station</t>
  </si>
  <si>
    <t>Nagambie Police Station</t>
  </si>
  <si>
    <t>Neerim South Police Station</t>
  </si>
  <si>
    <t>Nelson Police Station</t>
  </si>
  <si>
    <t>Newstead Police Station</t>
  </si>
  <si>
    <t>Omeo Police Station</t>
  </si>
  <si>
    <t>Orbost Police Station</t>
  </si>
  <si>
    <t>Penshurst Police Station</t>
  </si>
  <si>
    <t>Piangil Police Station</t>
  </si>
  <si>
    <t>Port Fairy Police Station</t>
  </si>
  <si>
    <t>Portland Police Station</t>
  </si>
  <si>
    <t>Preston East Police Station</t>
  </si>
  <si>
    <t>Pyalong Police Station</t>
  </si>
  <si>
    <t>Pyramid Hill Police Station</t>
  </si>
  <si>
    <t>Queenscliff Police Station</t>
  </si>
  <si>
    <t>Riddells Creek Police Station</t>
  </si>
  <si>
    <t>Ouyen Police Station</t>
  </si>
  <si>
    <t>Rochester Police Station</t>
  </si>
  <si>
    <t>Rokewood Police Station</t>
  </si>
  <si>
    <t>Sea Lake Police Station</t>
  </si>
  <si>
    <t>Rosebud Police Station</t>
  </si>
  <si>
    <t>Rushworth Police Station</t>
  </si>
  <si>
    <t>Rutherglen Police Station</t>
  </si>
  <si>
    <t>Sorrento Police Station</t>
  </si>
  <si>
    <t>South Melbourne Police Station</t>
  </si>
  <si>
    <t>St Arnaud Police Station</t>
  </si>
  <si>
    <t>St Kilda Police Station</t>
  </si>
  <si>
    <t>Stratford Police Station</t>
  </si>
  <si>
    <t>Tallangatta Police Station</t>
  </si>
  <si>
    <t>Tangambalanga Police Station</t>
  </si>
  <si>
    <t>Terang Police Station</t>
  </si>
  <si>
    <t>Toora Police Station</t>
  </si>
  <si>
    <t>Underbool Police Station</t>
  </si>
  <si>
    <t>Walwa Police Station</t>
  </si>
  <si>
    <t>Warburton Police Station</t>
  </si>
  <si>
    <t>Wedderburn Police Station</t>
  </si>
  <si>
    <t>Whittlesea Police Station</t>
  </si>
  <si>
    <t>Woomelang Police Station</t>
  </si>
  <si>
    <t>Wycheproof Police Station</t>
  </si>
  <si>
    <t>Yackandandah Police Station</t>
  </si>
  <si>
    <t>Yea Police Station</t>
  </si>
  <si>
    <t>Robinvale Police Station</t>
  </si>
  <si>
    <t>Corryong Magistrates Court</t>
  </si>
  <si>
    <t>Dromana Magistrates Court</t>
  </si>
  <si>
    <t>Hamilton Magistrates Court</t>
  </si>
  <si>
    <t>Heidelberg Magistrates Court</t>
  </si>
  <si>
    <t>Horsham Magistrates Court</t>
  </si>
  <si>
    <t>Kerang Magistrates Court</t>
  </si>
  <si>
    <t>Korumburra Magistrates Court</t>
  </si>
  <si>
    <t>Mansfield Magistrates Court</t>
  </si>
  <si>
    <t>Maryborough Magistrates Court</t>
  </si>
  <si>
    <t>Moe Magistrates Court</t>
  </si>
  <si>
    <t>Myrtleford Magistrates Court</t>
  </si>
  <si>
    <t>Nhill Magistrates Court</t>
  </si>
  <si>
    <t>Orbost Magistrates Court</t>
  </si>
  <si>
    <t>Portland Magistrates Court</t>
  </si>
  <si>
    <t>Robinvale Magistrates Court</t>
  </si>
  <si>
    <t>SES</t>
  </si>
  <si>
    <t>CSV</t>
  </si>
  <si>
    <t>Department of Treasury and Finance (DTF)</t>
  </si>
  <si>
    <t>Victorian Ports Corporation Melbourne (VPCM)</t>
  </si>
  <si>
    <t>Victorian Funds Management Corporation</t>
  </si>
  <si>
    <t>Victorian Managed Insurance Authority (VMIA)</t>
  </si>
  <si>
    <t>Victorian Plantation Corporation</t>
  </si>
  <si>
    <t>WorkSafe Victoria (WSV)</t>
  </si>
  <si>
    <t>Snowy Hydro Limited</t>
  </si>
  <si>
    <t>State Electricity Commission Of Victoria</t>
  </si>
  <si>
    <t>State Trustees Limited</t>
  </si>
  <si>
    <t>Community Support Fund - Community Advisory Council</t>
  </si>
  <si>
    <t>Department of Treasury and Finance Land and Property Group)</t>
  </si>
  <si>
    <t>Department of Treasury and Finance Accommodation Services</t>
  </si>
  <si>
    <t>Young Farmers Finance Council</t>
  </si>
  <si>
    <t>Rural Finance Corporation Of Victoria</t>
  </si>
  <si>
    <t>Land Tax Hardship Relief Board</t>
  </si>
  <si>
    <t>Emergency Services Superannuation Board</t>
  </si>
  <si>
    <t>Victorian Economic Development Agency</t>
  </si>
  <si>
    <t>Australian Centre For The Moving Image (ACMI)</t>
  </si>
  <si>
    <t>Department of Jobs, Precincts and Regions (DJPR)</t>
  </si>
  <si>
    <t>Geelong Performing Arts Centre (GPAC)</t>
  </si>
  <si>
    <t>State Library Of Victoria (SLV)</t>
  </si>
  <si>
    <t>Port of Melbourne Operations Pty Ltd</t>
  </si>
  <si>
    <t>Port Lessor</t>
  </si>
  <si>
    <t>Multicultural Business Ministerial Council</t>
  </si>
  <si>
    <t>Murray Valley Wine Grape Industry Development Committee</t>
  </si>
  <si>
    <t>Northern Victorian Fresh Tomato Industry Development Committee</t>
  </si>
  <si>
    <t>Port Of Gippsland</t>
  </si>
  <si>
    <t>Veterinary Practitioners Registration Board Of Victoria Panel Hearings</t>
  </si>
  <si>
    <t>Veterinary Practitioners Regulation Board</t>
  </si>
  <si>
    <t>Victoria Trade And Investment Office Pty Ltd</t>
  </si>
  <si>
    <t>Victorian Agricultural Chemicals Advisory Committee</t>
  </si>
  <si>
    <t>Victorian Agriculture Advisory Council</t>
  </si>
  <si>
    <t>Victorian Broiler Industry Negotiation Committee</t>
  </si>
  <si>
    <t>Swine Industry Projects Advisory Committee</t>
  </si>
  <si>
    <t>Museums Board Of Victoria</t>
  </si>
  <si>
    <t>Mallee Regional Partnership</t>
  </si>
  <si>
    <t>Sheep And Goat Compensation Advisory Committee</t>
  </si>
  <si>
    <t>Sheep And Goat Identification Advisory Committee</t>
  </si>
  <si>
    <t>Victorian Fisheries Authority</t>
  </si>
  <si>
    <t>Small Business Ministerial Council</t>
  </si>
  <si>
    <t>Snobs Creek Fish Production And Liberation Advisory Board</t>
  </si>
  <si>
    <t>Victorian Rail Track Corporation</t>
  </si>
  <si>
    <t>Victorian Railway Crossing Safety Steering Committee</t>
  </si>
  <si>
    <t>Victorian Regional Channels Authority</t>
  </si>
  <si>
    <t>Victorian Strawberry Industry Development Committee</t>
  </si>
  <si>
    <t>Victorian Strawberry Industry Development Corp</t>
  </si>
  <si>
    <t>Visit Victoria</t>
  </si>
  <si>
    <t>Visitor Economy Ministerial Advisory Committee</t>
  </si>
  <si>
    <t>Technical Review Board</t>
  </si>
  <si>
    <t>National Gallery Of Victoria (NGV)</t>
  </si>
  <si>
    <t>National Livestock Identification System Implementation Advisory Committee</t>
  </si>
  <si>
    <t>Sport And Recreation Camps</t>
  </si>
  <si>
    <t>Defence Council Victoria</t>
  </si>
  <si>
    <t>Agricultural Research And Extension Animal Ethics Committee</t>
  </si>
  <si>
    <t>Barwon Regional Partnership</t>
  </si>
  <si>
    <t>Mining Warden</t>
  </si>
  <si>
    <t>Ministerial Freight Advisory Council</t>
  </si>
  <si>
    <t>Tourism Victoria</t>
  </si>
  <si>
    <t>Transport Industry Council</t>
  </si>
  <si>
    <t>Cattle Compensation Advisory Committee</t>
  </si>
  <si>
    <t>Central Highlands Regional Partnership</t>
  </si>
  <si>
    <t>Goulburn Regional Partnership</t>
  </si>
  <si>
    <t>Recreational Fishing Grants Working Group</t>
  </si>
  <si>
    <t>Great South Coast Regional Partnership</t>
  </si>
  <si>
    <t>Greater Sunraysia Pest Free Area Industry Development Committee</t>
  </si>
  <si>
    <t>Regional Development Advisory Committee</t>
  </si>
  <si>
    <t>Fisheries Advisory Council</t>
  </si>
  <si>
    <t>Fisheries Cost Recovery Standing Committee</t>
  </si>
  <si>
    <t>Young Farmers Ministerial Advisory Council</t>
  </si>
  <si>
    <t>Melbourne Market Authority</t>
  </si>
  <si>
    <t>Melbourne Metro Rail Authority</t>
  </si>
  <si>
    <t>Docklands Studios Melbourne Pty Ltd</t>
  </si>
  <si>
    <t>Forestry Industry Council</t>
  </si>
  <si>
    <t>Dairy Food Safety Victoria Selection Committee</t>
  </si>
  <si>
    <t>Ovens Murray Regional Partnership</t>
  </si>
  <si>
    <t>Future Industries Ministerial Advisory Council</t>
  </si>
  <si>
    <t>Brown Coal Innovation Australia Limited</t>
  </si>
  <si>
    <t>Launch Victoria</t>
  </si>
  <si>
    <t>Royal Melbourne Showgrounds</t>
  </si>
  <si>
    <t>Rural Assistance Commissioner</t>
  </si>
  <si>
    <t>Earth Resources Ministerial Advisory Council</t>
  </si>
  <si>
    <t>Gippsland Regional Partnership</t>
  </si>
  <si>
    <t>Advanced Manufacturing Advisory Council</t>
  </si>
  <si>
    <t>Infrastructure Reference Panel</t>
  </si>
  <si>
    <t>Level Crossing Removal Authority</t>
  </si>
  <si>
    <t>Library Board Of Victoria</t>
  </si>
  <si>
    <t>Emergency Closures Advisory Committee</t>
  </si>
  <si>
    <t>Phytogene Pty Ltd</t>
  </si>
  <si>
    <t>Harness Racing Victoria Racing Appeals And Disciplinary Board</t>
  </si>
  <si>
    <t>Primesafe Selection Committee</t>
  </si>
  <si>
    <t>Public Transport Access Committee</t>
  </si>
  <si>
    <t>Public Transport Development Authority (part of PTV)</t>
  </si>
  <si>
    <t>Loddon Campaspe Regional Partnership</t>
  </si>
  <si>
    <t>Animal Welfare Advisory Committee</t>
  </si>
  <si>
    <t>Apicultural Industry Advisory Committee</t>
  </si>
  <si>
    <t>Business Victoria</t>
  </si>
  <si>
    <t>Priority Precincts Authority</t>
  </si>
  <si>
    <t>Office of Suburban Development</t>
  </si>
  <si>
    <t>Jobs and Innovation</t>
  </si>
  <si>
    <t>Social and Economic Inclusion</t>
  </si>
  <si>
    <t>Aboriginal Economic Development</t>
  </si>
  <si>
    <t>Beaufort And Skipton Health Service</t>
  </si>
  <si>
    <t>Department of Health and Human Services (DHHS)</t>
  </si>
  <si>
    <t>Edenhope And District Memorial Hospital</t>
  </si>
  <si>
    <t>Gippsland Southern Health Service</t>
  </si>
  <si>
    <t>Mallee Track Health And Community Service</t>
  </si>
  <si>
    <t>Rochester And Elmore District Health Service</t>
  </si>
  <si>
    <t>Terang And Mortlake Health Service</t>
  </si>
  <si>
    <t>The Royal Children's Hospital Foundation Ltd</t>
  </si>
  <si>
    <t>Tweddle Child And Family Health Service</t>
  </si>
  <si>
    <t>Victorian Consultative Council On Anaesthetic Mortality And Morbidity</t>
  </si>
  <si>
    <t>Victorian Institute Of Sport</t>
  </si>
  <si>
    <t>Yarram And District Health Service</t>
  </si>
  <si>
    <t>Melbourne Cricket Ground Trust (MCG)</t>
  </si>
  <si>
    <t>Jacaranda Village</t>
  </si>
  <si>
    <t>Avoca Cemetery Trust</t>
  </si>
  <si>
    <t>Apollo Bay Cemetery Trust</t>
  </si>
  <si>
    <t>Ararat Cemetery Trust</t>
  </si>
  <si>
    <t>Arthurs Creek Cemetery Trust</t>
  </si>
  <si>
    <t>Bethanga Cemetery Trust</t>
  </si>
  <si>
    <t>Clunes Cemetery Trust</t>
  </si>
  <si>
    <t>Drouin Cemetery Trust</t>
  </si>
  <si>
    <t>Drouin West Cemetery Trust</t>
  </si>
  <si>
    <t>Elmhurst Cemetery Trust</t>
  </si>
  <si>
    <t>Ensay Cemetery Trust</t>
  </si>
  <si>
    <t>Epping Cemetery Trust</t>
  </si>
  <si>
    <t>Franklinford Cemetery Trust</t>
  </si>
  <si>
    <t>Hopetoun Cemetery Trust</t>
  </si>
  <si>
    <t>Gobur Cemetery Trust</t>
  </si>
  <si>
    <t>Rochester Cemetery Trust</t>
  </si>
  <si>
    <t>Macedon Cemetery Trust</t>
  </si>
  <si>
    <t>Nathalia Cemetery Trust</t>
  </si>
  <si>
    <t>Phillip Island Cemetery Trust</t>
  </si>
  <si>
    <t>Runnymede Cemetery Trust</t>
  </si>
  <si>
    <t>Tatura Cemetery Trust</t>
  </si>
  <si>
    <t>Tongala Cemetery Trust</t>
  </si>
  <si>
    <t>Barnawartha Cemetery Trust</t>
  </si>
  <si>
    <t>Traralgon Cemetery Trust</t>
  </si>
  <si>
    <t>Trentham Cemetery Trust</t>
  </si>
  <si>
    <t>Upper Yarra Cemetery Trust</t>
  </si>
  <si>
    <t>Wycheproof Cemetery Trust</t>
  </si>
  <si>
    <t>Banyule Cemeteries Trust</t>
  </si>
  <si>
    <t>Mystic Park Cemetery Trust</t>
  </si>
  <si>
    <t>Benalla Cemetery Trust</t>
  </si>
  <si>
    <t>Bright Cemetery Trust</t>
  </si>
  <si>
    <t>Cann River Cemetery Trust</t>
  </si>
  <si>
    <t>Carlsrhue Cemetery Trust</t>
  </si>
  <si>
    <t>Donald Public Cemetery Trust</t>
  </si>
  <si>
    <t>Eldorado Cemetery Trust</t>
  </si>
  <si>
    <t>Great Western Cemetery Trust</t>
  </si>
  <si>
    <t>Horsham Cemetery Trust</t>
  </si>
  <si>
    <t>Kyneton Cemetery Trust</t>
  </si>
  <si>
    <t>Kangaroo Ground Cemetery Trust</t>
  </si>
  <si>
    <t>Kerang Cemetery Trust</t>
  </si>
  <si>
    <t>Learmonth Cemetery Trust</t>
  </si>
  <si>
    <t>Melbourne Chevra Kadisha Cemetery Trust</t>
  </si>
  <si>
    <t>Merbein Cemetery Trust</t>
  </si>
  <si>
    <t>Milawa Cemetery Trust</t>
  </si>
  <si>
    <t>Myrtleford Lawn Cemetery Trust</t>
  </si>
  <si>
    <t>Newstead Cemetery Trust</t>
  </si>
  <si>
    <t>Burrum Burrum Cemetery Trust</t>
  </si>
  <si>
    <t>Numurkah Wunghnu Cemetery Trust</t>
  </si>
  <si>
    <t>Muckleford Cemetery Trust</t>
  </si>
  <si>
    <t>Murchison Cemetery Trust</t>
  </si>
  <si>
    <t>Murrayville Cemetery Trust</t>
  </si>
  <si>
    <t>Lorquon Cemetery Trust</t>
  </si>
  <si>
    <t>Jeparit Cemetery Trust</t>
  </si>
  <si>
    <t>John Foord (Wahgunyah) Public Cemetery</t>
  </si>
  <si>
    <t>Joyce's Creek Cemetery Trust</t>
  </si>
  <si>
    <t>Jung (Jerro) Cemetery Trust</t>
  </si>
  <si>
    <t>Portland (North) Cemetery Trust</t>
  </si>
  <si>
    <t>Portland (South) Cemetery Trust</t>
  </si>
  <si>
    <t>Vaughan Cemetery Trust</t>
  </si>
  <si>
    <t>Victorian Cancer Agency Consultative Council</t>
  </si>
  <si>
    <t>Ashens Cemetery Trust</t>
  </si>
  <si>
    <t>Avenel Cemetery Trust</t>
  </si>
  <si>
    <t>Talgarno Cemetery Trust</t>
  </si>
  <si>
    <t>Tallangatta Cemetery Trust</t>
  </si>
  <si>
    <t>Bullarto Cemetery Trust</t>
  </si>
  <si>
    <t>Bumberrah Cemetery Trust</t>
  </si>
  <si>
    <t>Murtoa Cemetery Trust</t>
  </si>
  <si>
    <t>Mysia Cemetery Trust</t>
  </si>
  <si>
    <t>Nagambie Cemetery Trust</t>
  </si>
  <si>
    <t>Nandaly Cemetery Trust</t>
  </si>
  <si>
    <t>Maddingley Cemetery Trust</t>
  </si>
  <si>
    <t>Maffra Cemetery Trust</t>
  </si>
  <si>
    <t>Majorca Cemetery Trust</t>
  </si>
  <si>
    <t>Mallacoota Cemetery Trust</t>
  </si>
  <si>
    <t>Malmsbury Cemetery Trust</t>
  </si>
  <si>
    <t>Kardinia Park Advisory Committee</t>
  </si>
  <si>
    <t>Karnak Cemetery Trust</t>
  </si>
  <si>
    <t>Katamatite Cemetery Trust</t>
  </si>
  <si>
    <t>Katandra Cemetery Trust</t>
  </si>
  <si>
    <t>Katyil Cemetery Trust</t>
  </si>
  <si>
    <t>Seymour Cemetery Trust</t>
  </si>
  <si>
    <t>Sheep Hills Cemetery Trust</t>
  </si>
  <si>
    <t>Victorian Clinical Council</t>
  </si>
  <si>
    <t>Victorian Disability Advisory Council</t>
  </si>
  <si>
    <t>Victorian Pharmacy Authority</t>
  </si>
  <si>
    <t>Bairnsdale Cemetery Trust</t>
  </si>
  <si>
    <t>Tallarook Cemetery Trust</t>
  </si>
  <si>
    <t>Taradale Cemetery Trust</t>
  </si>
  <si>
    <t>Tarnagulla Cemetery Trust</t>
  </si>
  <si>
    <t>Tarrawingee Cemetery Trust</t>
  </si>
  <si>
    <t>Tarrayoukyan Cemetery Trust</t>
  </si>
  <si>
    <t>Tarwin Lower Cemetery Trust</t>
  </si>
  <si>
    <t>Bung Bong &amp; Wareek Cemetery Trust</t>
  </si>
  <si>
    <t>Bungaree Cemetery Trust</t>
  </si>
  <si>
    <t>Buninyong Cemetery Trust</t>
  </si>
  <si>
    <t>Bunyip Cemetery Trust</t>
  </si>
  <si>
    <t>Byaduk Cemetery Trust</t>
  </si>
  <si>
    <t>Byaduk North Cemetery Trust</t>
  </si>
  <si>
    <t>Narimga Cemetery Trust</t>
  </si>
  <si>
    <t>Narracan Cemetery Trust</t>
  </si>
  <si>
    <t>Narrawong Cemetery Trust</t>
  </si>
  <si>
    <t>Manangatang Cemetery Trust</t>
  </si>
  <si>
    <t>Marlo Cemetery Trust</t>
  </si>
  <si>
    <t>Kenmare Cemetery Trust</t>
  </si>
  <si>
    <t>Shelford Cemetery Trust</t>
  </si>
  <si>
    <t>Shooting Sports Facilities Program Advisory Committee</t>
  </si>
  <si>
    <t>Skipton Cemetery Trust</t>
  </si>
  <si>
    <t>Smeaton Cemetery Trust</t>
  </si>
  <si>
    <t>Smythesdale Cemetery Trust</t>
  </si>
  <si>
    <t>Violet Town Cemetery Trust</t>
  </si>
  <si>
    <t>Waitchie Cemetery Trust</t>
  </si>
  <si>
    <t>Ballan Cemetery Trust</t>
  </si>
  <si>
    <t>Ballangeich Cemetery Trust</t>
  </si>
  <si>
    <t>Tatyoon Cemetery Trust</t>
  </si>
  <si>
    <t>Tawonga Cemetery Trust</t>
  </si>
  <si>
    <t>Teesdale Cemetery Trust</t>
  </si>
  <si>
    <t>Camperdown Cemetery Trust</t>
  </si>
  <si>
    <t>Natimuk Cemetery Trust</t>
  </si>
  <si>
    <t>Natte Yallock Cemetery Trust</t>
  </si>
  <si>
    <t>Navarre Cemetery Trust</t>
  </si>
  <si>
    <t>Nelson Cemetery Trust</t>
  </si>
  <si>
    <t>Meredith Cemetery Trust</t>
  </si>
  <si>
    <t>Meringur Cemetery Trust</t>
  </si>
  <si>
    <t>Merino Cemetery Trust</t>
  </si>
  <si>
    <t>Kialla Cemetery Trust</t>
  </si>
  <si>
    <t>Kiata Cemetery Trust</t>
  </si>
  <si>
    <t>Kiewa Cemetery Trust</t>
  </si>
  <si>
    <t>Kilcunda Cemetery Trust</t>
  </si>
  <si>
    <t>Kilnoorat Cemetery Trust</t>
  </si>
  <si>
    <t>Kinglake Ranges Cemetery Trust</t>
  </si>
  <si>
    <t>Kingower Cemetery Trust</t>
  </si>
  <si>
    <t>Speed Cemetery Trust</t>
  </si>
  <si>
    <t>Walhalla Cemetery Trust</t>
  </si>
  <si>
    <t>Wallan Cemetery Trust</t>
  </si>
  <si>
    <t>Walpeup Cemetery Trust</t>
  </si>
  <si>
    <t>Walwa Cemetery Trust</t>
  </si>
  <si>
    <t>Bambra Cemetery Trust</t>
  </si>
  <si>
    <t>Bannerton Cemetery Trust</t>
  </si>
  <si>
    <t>Bannockburn Cemetery Trust</t>
  </si>
  <si>
    <t>Baringhup Cemetery Trust</t>
  </si>
  <si>
    <t>Barkly Cemetery Trust</t>
  </si>
  <si>
    <t>Barmah Cemetery Trust</t>
  </si>
  <si>
    <t>Terang Cemetery Trust</t>
  </si>
  <si>
    <t>Terrapee Cemetery Trust</t>
  </si>
  <si>
    <t>Thoona Cemetery Trust</t>
  </si>
  <si>
    <t>Thorpdale Cemetery Trust</t>
  </si>
  <si>
    <t>Cape Bridgewater Cemetery Trust</t>
  </si>
  <si>
    <t>Cape Clear Cemetery Trust</t>
  </si>
  <si>
    <t>Caramut Cemetery Trust</t>
  </si>
  <si>
    <t>Carisbrook Cemetery Trust</t>
  </si>
  <si>
    <t>Netherby Cemetery Trust</t>
  </si>
  <si>
    <t>Newbridge Cemetery Trust</t>
  </si>
  <si>
    <t>Nhill Cemetery Trust</t>
  </si>
  <si>
    <t>Mildura Base Hospital Community Advisory Board</t>
  </si>
  <si>
    <t>Minimay Cemetery Trust</t>
  </si>
  <si>
    <t>Deep Lead Cemetery Trust</t>
  </si>
  <si>
    <t>Human Research Ethics Committee</t>
  </si>
  <si>
    <t>Dergholm Cemetery Trust</t>
  </si>
  <si>
    <t>Derrinallum Cemetery Trust</t>
  </si>
  <si>
    <t>Koetong Cemetery Trust</t>
  </si>
  <si>
    <t>Koondrook Cemetery Trust</t>
  </si>
  <si>
    <t>Spring Hill Cemetery Trust</t>
  </si>
  <si>
    <t>Spring Lead Cemetery Trust</t>
  </si>
  <si>
    <t>St Arnaud Cemetery Trust</t>
  </si>
  <si>
    <t>Staffordshire Reef Cemetery Trust</t>
  </si>
  <si>
    <t>Cobden Cemetery Trust</t>
  </si>
  <si>
    <t>Timor Cemetery Trust</t>
  </si>
  <si>
    <t>Tooan Cemetery Trust</t>
  </si>
  <si>
    <t>Toolamba Cemetery Trust</t>
  </si>
  <si>
    <t>Toongabbie Cemetery Trust</t>
  </si>
  <si>
    <t>Toora Cemetery Trust</t>
  </si>
  <si>
    <t>Carlyle Cemetery Trust</t>
  </si>
  <si>
    <t>Carngham Cemetery Trust</t>
  </si>
  <si>
    <t>Carrajung Cemetery Trust</t>
  </si>
  <si>
    <t>Carwarp Cemetery Trust</t>
  </si>
  <si>
    <t>Cassilis Cemetery Trust</t>
  </si>
  <si>
    <t>Casterton (New) Cemetery Trust</t>
  </si>
  <si>
    <t>Castlemaine Cemetery Trust</t>
  </si>
  <si>
    <t>Ministerial Advisory Committee On Allied Health</t>
  </si>
  <si>
    <t>Ministerial Advisory Committee On Surgical Services</t>
  </si>
  <si>
    <t>Ministerial Advisory Council For The Victorian Health System Statewide Service And Infrastructure Plan</t>
  </si>
  <si>
    <t>Ministerial Advisory Council On Nursing And Midwifery</t>
  </si>
  <si>
    <t>Ministerial Council For Volunteers</t>
  </si>
  <si>
    <t>Minyip Cemetery Trust</t>
  </si>
  <si>
    <t>Miram Cemetery Trust</t>
  </si>
  <si>
    <t>Mirboo North Cemetery Trust</t>
  </si>
  <si>
    <t>Mitiamo Cemetery Trust</t>
  </si>
  <si>
    <t>Mitta Mitta Cemetery Trust</t>
  </si>
  <si>
    <t>Werona and Kooroocheang Cemetery Trust</t>
  </si>
  <si>
    <t>Korong Vale Cemetery Trust</t>
  </si>
  <si>
    <t>Korumburra Cemetery Trust</t>
  </si>
  <si>
    <t>Kyabram Cemetery Trust</t>
  </si>
  <si>
    <t>Stanley Cemetery Trust</t>
  </si>
  <si>
    <t>State Netball And Hockey Centre Advisory Committee</t>
  </si>
  <si>
    <t>State Trauma Committee</t>
  </si>
  <si>
    <t>Steiglitz Cemetery Trust</t>
  </si>
  <si>
    <t>Stratford Cemetery Trust</t>
  </si>
  <si>
    <t>Wangaratta Cemetery Trust</t>
  </si>
  <si>
    <t>Warracknabeal Cemetery Trust</t>
  </si>
  <si>
    <t>Warragul Cemetery Trust</t>
  </si>
  <si>
    <t>Coghills Creek Cemetery Trust</t>
  </si>
  <si>
    <t>Cohuna Cemetery Trust</t>
  </si>
  <si>
    <t>Colbinabbin Cemetery Trust</t>
  </si>
  <si>
    <t>Coleraine Cemetery Trust</t>
  </si>
  <si>
    <t>Towaninnie Cemetery Trust</t>
  </si>
  <si>
    <t>Tower Hill Cemetery Trust</t>
  </si>
  <si>
    <t>Trafalgar Cemetery Trust</t>
  </si>
  <si>
    <t>Cathcart Cemetery Trust</t>
  </si>
  <si>
    <t>Cathkin Cemetery Trust</t>
  </si>
  <si>
    <t>Cavendish Cemetery Trust</t>
  </si>
  <si>
    <t>Moliagul Cemetery Trust</t>
  </si>
  <si>
    <t>Moonambel Cemetery Trust</t>
  </si>
  <si>
    <t>Bealiba Cemetery Trust</t>
  </si>
  <si>
    <t>Beaufort Cemetery Trust</t>
  </si>
  <si>
    <t>Laen North Cemetery Trust</t>
  </si>
  <si>
    <t>Lake Boga Cemetery Trust</t>
  </si>
  <si>
    <t>Lake Bolac Cemetery Trust</t>
  </si>
  <si>
    <t>Strathbogie Cemetery Trust</t>
  </si>
  <si>
    <t>Strathdownie East Cemetery Trust</t>
  </si>
  <si>
    <t>Streatham Cemetery Trust</t>
  </si>
  <si>
    <t>Stuart Mill Cemetery Trust</t>
  </si>
  <si>
    <t>Suitability Panel</t>
  </si>
  <si>
    <t>Sunbury Cemetery Trust</t>
  </si>
  <si>
    <t>Watchem Cemetery Trust</t>
  </si>
  <si>
    <t>Waterloo Cemetery Trust</t>
  </si>
  <si>
    <t>Waubra Cemetery Trust</t>
  </si>
  <si>
    <t>Ferntree Gully Cemetery Trust</t>
  </si>
  <si>
    <t>Commission For Children And Young People</t>
  </si>
  <si>
    <t>Concongella Cemetery Trust</t>
  </si>
  <si>
    <t>Condah Cemetery Trust</t>
  </si>
  <si>
    <t>Tungamah Cemetery Trust</t>
  </si>
  <si>
    <t>Tutye Cemetery Trust</t>
  </si>
  <si>
    <t>Tyaak Cemetery Trust</t>
  </si>
  <si>
    <t>Tylden Cemetery Trust</t>
  </si>
  <si>
    <t>Charlton Cemetery Trust</t>
  </si>
  <si>
    <t>Chetwynd Cemetery Trust</t>
  </si>
  <si>
    <t>Chewton Cemetery Trust</t>
  </si>
  <si>
    <t>Chiltern (New) Cemetery Trust</t>
  </si>
  <si>
    <t>Pyramid Hill Cemetery Trust</t>
  </si>
  <si>
    <t>Quambatook Cemetery Trust</t>
  </si>
  <si>
    <t>Gowangardie Cemetery Trust</t>
  </si>
  <si>
    <t>Granite Flat Cemetery Trust</t>
  </si>
  <si>
    <t>Grantville Cemetery Trust</t>
  </si>
  <si>
    <t>Granya Cemetery Trust</t>
  </si>
  <si>
    <t>Moondarra Cemetery Trust</t>
  </si>
  <si>
    <t>Moonlight Head Cemetery Trust</t>
  </si>
  <si>
    <t>Moorngag Cemetery Trust</t>
  </si>
  <si>
    <t>Mooroopna Cemetery Trust</t>
  </si>
  <si>
    <t>Beenak Cemetery Trust</t>
  </si>
  <si>
    <t>Bellbrae Cemetery Trust</t>
  </si>
  <si>
    <t>Bellellen Cemetery Trust</t>
  </si>
  <si>
    <t>Sutton Grange Cemetery Trust</t>
  </si>
  <si>
    <t>Swan Hill Cemetery Trust</t>
  </si>
  <si>
    <t>Consultative Council On Obstetric And Paediatric Mortality And Morbidity</t>
  </si>
  <si>
    <t>Coongulmerang Cemetery Trust</t>
  </si>
  <si>
    <t>Corack Cemetery Trust</t>
  </si>
  <si>
    <t>Corinella Cemetery Trust</t>
  </si>
  <si>
    <t>Corop Cemetery Trust</t>
  </si>
  <si>
    <t>Ultima Cemetery Trust</t>
  </si>
  <si>
    <t>Underbool Cemetery Trust</t>
  </si>
  <si>
    <t>Quantong Cemetery Trust</t>
  </si>
  <si>
    <t>Queenstown Cemetery Trust</t>
  </si>
  <si>
    <t>Radiation Advisory Committee</t>
  </si>
  <si>
    <t>Rainbow Cemetery Trust</t>
  </si>
  <si>
    <t>Raywood Cemetery Trust</t>
  </si>
  <si>
    <t>Red Cliffs Cemetery Trust</t>
  </si>
  <si>
    <t>Gray's Bridge Cemetery Trust</t>
  </si>
  <si>
    <t>Graytown Cemetery Trust</t>
  </si>
  <si>
    <t>Green Hill Cemetery Trust</t>
  </si>
  <si>
    <t>Green Lake Cemetery Trust</t>
  </si>
  <si>
    <t>Greendale Cemetery Trust</t>
  </si>
  <si>
    <t>Morrisons Cemetery Trust</t>
  </si>
  <si>
    <t>Mortlake Cemetery Trust</t>
  </si>
  <si>
    <t>Benambra Cemetery Trust</t>
  </si>
  <si>
    <t>Bendigo Cemeteries Trust</t>
  </si>
  <si>
    <t>Bendoc Cemetery Trust</t>
  </si>
  <si>
    <t>Swanwater West Cemetery Trust</t>
  </si>
  <si>
    <t>Wedderburn Cemetery Trust</t>
  </si>
  <si>
    <t>Welshpool Cemetery Trust</t>
  </si>
  <si>
    <t>Eureka (Chinkapook) Cemetery Trust</t>
  </si>
  <si>
    <t>Euroa Cemetery Trust</t>
  </si>
  <si>
    <t>Council Of Board Chairs</t>
  </si>
  <si>
    <t>Cowangie Cemetery Trust</t>
  </si>
  <si>
    <t>Cranbourne Cemetery Trust</t>
  </si>
  <si>
    <t>Cressy Cemetery Trust</t>
  </si>
  <si>
    <t>Redbank Cemetery Trust</t>
  </si>
  <si>
    <t>Redcastle Cemetery Trust</t>
  </si>
  <si>
    <t>Rheola Cemetery Trust</t>
  </si>
  <si>
    <t>Greta Cemetery Trust</t>
  </si>
  <si>
    <t>Guildford Cemetery Trust</t>
  </si>
  <si>
    <t>Marong Cemetery Trust</t>
  </si>
  <si>
    <t>Maryborough Cemetery Trust</t>
  </si>
  <si>
    <t>Maryknoll Cemetery Trust</t>
  </si>
  <si>
    <t>Marysville Cemetery Trust</t>
  </si>
  <si>
    <t>Matlock Cemetery Trust</t>
  </si>
  <si>
    <t>Berriwillock Cemetery Trust</t>
  </si>
  <si>
    <t>Berwick And Harkaway Cemetery Trust</t>
  </si>
  <si>
    <t>Beulah Cemetery Trust</t>
  </si>
  <si>
    <t>Devenish Cemetery Trust</t>
  </si>
  <si>
    <t>Digby Cemetery Trust</t>
  </si>
  <si>
    <t>Disability Services Board</t>
  </si>
  <si>
    <t>Numurkah Cemetery Trust</t>
  </si>
  <si>
    <t>Nurrabiel Cemetery Trust</t>
  </si>
  <si>
    <t>Nurse/Midwife To Patient Ratio Improvements Taskforce</t>
  </si>
  <si>
    <t>Nyah Cemetery Trust</t>
  </si>
  <si>
    <t>Nyora Cemetery Trust</t>
  </si>
  <si>
    <t>Whitefield Cemetery Trust</t>
  </si>
  <si>
    <t>Family Violence Housing Assistance Implementation Taskforce</t>
  </si>
  <si>
    <t>Crib Point Cemetery Trust</t>
  </si>
  <si>
    <t>Crowlands Cemetery Trust</t>
  </si>
  <si>
    <t>Remembrance Parks - Central Victoria (Bendigo Cemetery)</t>
  </si>
  <si>
    <t>Youth Parole Board</t>
  </si>
  <si>
    <t>Riddell's Creek Cemetery Trust</t>
  </si>
  <si>
    <t>Ripplebrook Cemetery Trust</t>
  </si>
  <si>
    <t>Robinvale Cemetery Trust</t>
  </si>
  <si>
    <t>Harcourt Cemetery Trust</t>
  </si>
  <si>
    <t>Harrietville Cemetery Trust</t>
  </si>
  <si>
    <t>Meeniyan Cemetery Trust</t>
  </si>
  <si>
    <t>State Sports Centres Trust (Melbourne Sports Hub)</t>
  </si>
  <si>
    <t>Mental Health Complaints Commissioner</t>
  </si>
  <si>
    <t>Mental Health Expert Taskforce</t>
  </si>
  <si>
    <t>Mental Health Tribunal</t>
  </si>
  <si>
    <t>Birchip Cemetery Trust</t>
  </si>
  <si>
    <t>Disability Services Commissioner</t>
  </si>
  <si>
    <t>Donnybrook Cemetery Trust</t>
  </si>
  <si>
    <t>Dookie Cemetery Trust</t>
  </si>
  <si>
    <t>Dookie East Cemetery Trust</t>
  </si>
  <si>
    <t>Omeo Cemetery Trust</t>
  </si>
  <si>
    <t>Whroo Cemetery Trust</t>
  </si>
  <si>
    <t>Wickliffe Cemetery Trust</t>
  </si>
  <si>
    <t>Willaura Cemetery Trust</t>
  </si>
  <si>
    <t>Willow Grove Cemetery Trust</t>
  </si>
  <si>
    <t>Footscray Cemetery Trust</t>
  </si>
  <si>
    <t>Foster Cemetery Trust</t>
  </si>
  <si>
    <t>Dahwedarre Cemetery Trust</t>
  </si>
  <si>
    <t>Dargo Cemetery Trust</t>
  </si>
  <si>
    <t>Darraweit Guim Cemetery Trust</t>
  </si>
  <si>
    <t>Dartmoor Cemetery Trust</t>
  </si>
  <si>
    <t>Hamilton Cemetery Trust</t>
  </si>
  <si>
    <t>Lorne Community Health Service</t>
  </si>
  <si>
    <t>Rokewood Cemetery Trust</t>
  </si>
  <si>
    <t>Rosebery Cemetery Trust</t>
  </si>
  <si>
    <t>Rosedale Cemetery Trust</t>
  </si>
  <si>
    <t>Harrow Cemetery Trust</t>
  </si>
  <si>
    <t>Hawkesdale Cemetery Trust</t>
  </si>
  <si>
    <t>Hazelwood Cemetery Trust</t>
  </si>
  <si>
    <t>Health Innovation And Reform Council</t>
  </si>
  <si>
    <t>Heathcote Cemetery Trust</t>
  </si>
  <si>
    <t>Lake Rowan Cemetery Trust</t>
  </si>
  <si>
    <t>Lakes Entrance Cemetery Trust</t>
  </si>
  <si>
    <t>Lalbert Cemetery Trust</t>
  </si>
  <si>
    <t>Blackheath Cemetery</t>
  </si>
  <si>
    <t>Blackwood Cemetery Trust</t>
  </si>
  <si>
    <t>Boinka Cemetery Trust</t>
  </si>
  <si>
    <t>Boolara Cemetery Trust</t>
  </si>
  <si>
    <t>Boorhaman Cemetery Trust</t>
  </si>
  <si>
    <t>Boort Cemetery Trust</t>
  </si>
  <si>
    <t>Dowling Forest Cemetery Trust</t>
  </si>
  <si>
    <t>Drik Drik Cemetery Trust</t>
  </si>
  <si>
    <t>Dunkeld Cemetery Trust</t>
  </si>
  <si>
    <t>Orbost Cemetery Trust</t>
  </si>
  <si>
    <t>Ouyen Cemetery Trust</t>
  </si>
  <si>
    <t>Pakenham Cemetery Trust</t>
  </si>
  <si>
    <t>Winiam Cemetery Trust</t>
  </si>
  <si>
    <t>Winton Cemetery Trust</t>
  </si>
  <si>
    <t>Wodonga Cemetery Trust</t>
  </si>
  <si>
    <t>Frankston Memorial Park</t>
  </si>
  <si>
    <t>French Island Cemetery Trust</t>
  </si>
  <si>
    <t>Fryerstown Cemetery Trust</t>
  </si>
  <si>
    <t>Garvoc Cemetery Trust</t>
  </si>
  <si>
    <t>Chinkapook - Eureka Cemetery Trust</t>
  </si>
  <si>
    <t>Clarendon Cemetery Trust</t>
  </si>
  <si>
    <t>Clear Lake Cemetery Trust</t>
  </si>
  <si>
    <t>Bruthen Cemetery Trust</t>
  </si>
  <si>
    <t>Buangor Cemetery Trust</t>
  </si>
  <si>
    <t>Buchan Cemetery Trust</t>
  </si>
  <si>
    <t>Greyhound And Harness Racing Authority</t>
  </si>
  <si>
    <t>Therapeutic Treatment Board</t>
  </si>
  <si>
    <t>VICSERV (Psychiatric Disability Services of Vic)</t>
  </si>
  <si>
    <t>Victorian Agency For Health Information</t>
  </si>
  <si>
    <t>Victorian Children's Council</t>
  </si>
  <si>
    <t>Rothwell Cemetery Trust</t>
  </si>
  <si>
    <t>Rupanyup Cemetery Trust</t>
  </si>
  <si>
    <t>Rushworth Cemetery Trust</t>
  </si>
  <si>
    <t>Hexham Cemetery Trust</t>
  </si>
  <si>
    <t>Heyfield Cemetery Trust</t>
  </si>
  <si>
    <t>Heywood Cemetery Trust</t>
  </si>
  <si>
    <t>Landsborough Cemetery Trust</t>
  </si>
  <si>
    <t>Boram Boram Cemetery Trust</t>
  </si>
  <si>
    <t>Bowman Forest Cemetery Trust</t>
  </si>
  <si>
    <t>Branxholme Cemetery Trust</t>
  </si>
  <si>
    <t>Briagolong Cemetery Trust</t>
  </si>
  <si>
    <t>Dunolly (New) Cemetery Trust</t>
  </si>
  <si>
    <t>Durham Ox Cemetery Trust</t>
  </si>
  <si>
    <t>Panmure Cemetery Trust</t>
  </si>
  <si>
    <t>Woodend Cemetery Trust</t>
  </si>
  <si>
    <t>Woods Point Cemetery Trust</t>
  </si>
  <si>
    <t>Woodside Cemetery Trust</t>
  </si>
  <si>
    <t>Woolsthorpe Cemetery Trust</t>
  </si>
  <si>
    <t>Woomelang Cemetery Trust</t>
  </si>
  <si>
    <t>Gembrook Cemetery Trust</t>
  </si>
  <si>
    <t>Gipsy Point Cemetery Trust</t>
  </si>
  <si>
    <t>Rye Cemetery Trust</t>
  </si>
  <si>
    <t>Sale Cemetery Trust</t>
  </si>
  <si>
    <t>Sandford Cemetery Trust</t>
  </si>
  <si>
    <t>Sandy Creek Cemetery Trust</t>
  </si>
  <si>
    <t>Hotspur Cemetery Trust</t>
  </si>
  <si>
    <t>Leongatha Cemetery Trust</t>
  </si>
  <si>
    <t>Lethbridge Cemetery Trust</t>
  </si>
  <si>
    <t>Bridgewater Cemetery Trust</t>
  </si>
  <si>
    <t>Brim Cemetery Trust</t>
  </si>
  <si>
    <t>Brimpaen Cemetery Trust</t>
  </si>
  <si>
    <t>Broadford Cemetery Trust</t>
  </si>
  <si>
    <t>East Gippsland Shire Cemetery Trust</t>
  </si>
  <si>
    <t>Echuca Cemetery Trust</t>
  </si>
  <si>
    <t>Eddington Cemetery Trust</t>
  </si>
  <si>
    <t>Eganstown Cemetery Trust</t>
  </si>
  <si>
    <t>Eildon Weir Cemetery Trust</t>
  </si>
  <si>
    <t>Elaine Cemetery Trust</t>
  </si>
  <si>
    <t>Patho Cemetery Trust</t>
  </si>
  <si>
    <t>Patient Review Panel</t>
  </si>
  <si>
    <t>Patient Safety Advisory Committee</t>
  </si>
  <si>
    <t>Woorak Cemetery Trust</t>
  </si>
  <si>
    <t>Woorndoo Cemetery Trust</t>
  </si>
  <si>
    <t>Woosang Cemetery Trust</t>
  </si>
  <si>
    <t>Wunghnu Cemetery Trust</t>
  </si>
  <si>
    <t>Wychitella Cemetery Trust</t>
  </si>
  <si>
    <t>Yabba Cemetery Trust</t>
  </si>
  <si>
    <t>Aberfeldy Cemetery Trust</t>
  </si>
  <si>
    <t>Adass Israel Cemetery Trust</t>
  </si>
  <si>
    <t>Alberton Cemetery Trust</t>
  </si>
  <si>
    <t>Alexandra Cemetery Trust</t>
  </si>
  <si>
    <t>Youth Affairs Council of Victoria</t>
  </si>
  <si>
    <t>Moe Cemetery Trust</t>
  </si>
  <si>
    <t>Science, Medical Research And Technology Panel</t>
  </si>
  <si>
    <t>Scotts Creek Cemetery Trust</t>
  </si>
  <si>
    <t>Independent Medical Advisory Committee On Medicinal Cannabis</t>
  </si>
  <si>
    <t>Inglewood Cemetery Trust</t>
  </si>
  <si>
    <t>Mount Cole Cemetery Trust</t>
  </si>
  <si>
    <t>Mount Egerton Cemetery Trust</t>
  </si>
  <si>
    <t>Lexton Cemetery Trust</t>
  </si>
  <si>
    <t>Linton Cemetery Trust</t>
  </si>
  <si>
    <t>Ellerslie Cemetery Trust</t>
  </si>
  <si>
    <t>Elmore Cemetery Trust</t>
  </si>
  <si>
    <t>Elphinstone Cemetery Trust</t>
  </si>
  <si>
    <t>Emerald Cemetery Trust</t>
  </si>
  <si>
    <t>Perinatal Services Advisory Committee</t>
  </si>
  <si>
    <t>Pimpinio Cemetery Trust</t>
  </si>
  <si>
    <t>Stawell Cemetery Trust (Pleasant Creek)</t>
  </si>
  <si>
    <t>Yalca North Cemetery Trust</t>
  </si>
  <si>
    <t>Yallourn Cemetery Trust</t>
  </si>
  <si>
    <t>Yambuk Cemetery Trust</t>
  </si>
  <si>
    <t>Yan Yean Cemetery Trust</t>
  </si>
  <si>
    <t>Yarck Cemetery Trust</t>
  </si>
  <si>
    <t>Yackandandah Cemetery Trust</t>
  </si>
  <si>
    <t>Yarra Park Advisory Committee</t>
  </si>
  <si>
    <t>Glengower Cemetery Trust</t>
  </si>
  <si>
    <t>Glenlyon Cemetery Trust</t>
  </si>
  <si>
    <t>Glenmaggie Cemetery Trust</t>
  </si>
  <si>
    <t>Glenorchy Cemetery Trust</t>
  </si>
  <si>
    <t>Glenthompson Cemetery Trust</t>
  </si>
  <si>
    <t>Ambulance Performance And Policy Consultative Committee</t>
  </si>
  <si>
    <t>Amherst Cemetery Trust</t>
  </si>
  <si>
    <t>Amphitheatre Cemetery Trust</t>
  </si>
  <si>
    <t>Professional Boxing And Combat Sports Board</t>
  </si>
  <si>
    <t>Mount Prospect Cemetery Trust</t>
  </si>
  <si>
    <t>Moyston Cemetery Trust</t>
  </si>
  <si>
    <t>Nillumbik Cemetery Trust</t>
  </si>
  <si>
    <t>Nirranda Cemetery Trust</t>
  </si>
  <si>
    <t>Noradjuha Cemetery Trust</t>
  </si>
  <si>
    <t>Lochiel Cemetery Trust</t>
  </si>
  <si>
    <t>Lockwood Cemetery Trust</t>
  </si>
  <si>
    <t>Longwood Cemetery Trust</t>
  </si>
  <si>
    <t>Inverleigh Cemetery Trust</t>
  </si>
  <si>
    <t>Inverloch Cemetery Trust</t>
  </si>
  <si>
    <t>Pine Lodge Cemetery Trust</t>
  </si>
  <si>
    <t>Polkemmet Cemetery Trust</t>
  </si>
  <si>
    <t>Pompapiel Cemetery Trust</t>
  </si>
  <si>
    <t>Poowong Cemetery Trust</t>
  </si>
  <si>
    <t>Port Campbell Cemetery Trust</t>
  </si>
  <si>
    <t>Yarragon Cemetery Trust</t>
  </si>
  <si>
    <t>Yarram Cemetery Trust</t>
  </si>
  <si>
    <t>Yarrawonga And District Cemetery Trust</t>
  </si>
  <si>
    <t>Yarrayne Cemetery Trust</t>
  </si>
  <si>
    <t>Yaugher Cemetery Trust</t>
  </si>
  <si>
    <t>Yea Cemetery</t>
  </si>
  <si>
    <t>Goornong Cemetery Trust</t>
  </si>
  <si>
    <t>Gordon (New) Cemetery Trust</t>
  </si>
  <si>
    <t>Gormandale Cemetery Trust</t>
  </si>
  <si>
    <t>Antwerp Cemetery Trust</t>
  </si>
  <si>
    <t>Apsley Cemetery Trust</t>
  </si>
  <si>
    <t>Altona Memorial Park</t>
  </si>
  <si>
    <t>Heidelberg &amp; Greensborough Cemetery</t>
  </si>
  <si>
    <t>Warringal Cemetery</t>
  </si>
  <si>
    <t>Fawkner Crematorium &amp; Memorial Park</t>
  </si>
  <si>
    <t>Keilor Cemetery</t>
  </si>
  <si>
    <t>Preston Cemetery</t>
  </si>
  <si>
    <t>Templestowe Cemetery</t>
  </si>
  <si>
    <t>Werribee Cemetery</t>
  </si>
  <si>
    <t>Williamstown Cemetery</t>
  </si>
  <si>
    <t>Anderson Creek Cemetery</t>
  </si>
  <si>
    <t>Altona North Ambulance Branch</t>
  </si>
  <si>
    <t>Caulfield Hospital</t>
  </si>
  <si>
    <t>Geelong Eastern Cemetery</t>
  </si>
  <si>
    <t>Geelong Memorial Park and Crematorium</t>
  </si>
  <si>
    <t>Lorne Cemetery</t>
  </si>
  <si>
    <t>Queenscliff Cemetery</t>
  </si>
  <si>
    <t>Warncoort Cemetery</t>
  </si>
  <si>
    <t>Western Cemetery</t>
  </si>
  <si>
    <t>Winchelsea Cemetery</t>
  </si>
  <si>
    <t>Myrtleford Hospital</t>
  </si>
  <si>
    <t>Mount Beauty Hospital</t>
  </si>
  <si>
    <t>Bright Hospital</t>
  </si>
  <si>
    <t>Geelong Private Hospital</t>
  </si>
  <si>
    <t>McKellar Centre</t>
  </si>
  <si>
    <t>University Hospital Geelong</t>
  </si>
  <si>
    <t>Mornington Ambulance Branch</t>
  </si>
  <si>
    <t>Mount Waverley Ambulance Branch</t>
  </si>
  <si>
    <t>Murchison Ambulance Branch</t>
  </si>
  <si>
    <t>Myrtleford Ambulance Branch</t>
  </si>
  <si>
    <t>North Geelong Ambulance Branch</t>
  </si>
  <si>
    <t>Numurkah Ambulance Branch</t>
  </si>
  <si>
    <t>Woods Point Ambulance Branch</t>
  </si>
  <si>
    <t>Alfred Hospital</t>
  </si>
  <si>
    <t>Sandringham Hospital</t>
  </si>
  <si>
    <t>Victorian Health and Human Services Building Authority (VHHSBA)</t>
  </si>
  <si>
    <t>Ballarat Ambulance Branch</t>
  </si>
  <si>
    <t>Cranbourne Ambulance Branch</t>
  </si>
  <si>
    <t>Ouyen Ambulance Branch</t>
  </si>
  <si>
    <t>Nunawading Branch Ambulance</t>
  </si>
  <si>
    <t>Broadmeadows Ambulance Branch</t>
  </si>
  <si>
    <t>Avoca Ambulance Branch</t>
  </si>
  <si>
    <t>Bacchus Marsh Ambulance Branch</t>
  </si>
  <si>
    <t>Bairnsdale Ambulance Branch</t>
  </si>
  <si>
    <t>Ballan Ambulance Branch</t>
  </si>
  <si>
    <t>Bayside Ambulance Branch</t>
  </si>
  <si>
    <t>Beaufort Ambulance Branch</t>
  </si>
  <si>
    <t>Beechworth Ambulance Branch</t>
  </si>
  <si>
    <t>Belgrave Ambulance Branch</t>
  </si>
  <si>
    <t>Benalla Ambulance Branch</t>
  </si>
  <si>
    <t>Bright Ambulance Branch</t>
  </si>
  <si>
    <t>Brighton East Branch</t>
  </si>
  <si>
    <t>Camberwell Ambulance Branch</t>
  </si>
  <si>
    <t>Camperdown Ambulance Branch</t>
  </si>
  <si>
    <t>Cann River Ambulance Branch</t>
  </si>
  <si>
    <t>Casterton Ambulance Branch</t>
  </si>
  <si>
    <t>Castlemaine Branch</t>
  </si>
  <si>
    <t>Caulfield South Ambulance Branch</t>
  </si>
  <si>
    <t>Charlton Ambulance Branch</t>
  </si>
  <si>
    <t>Cobram Ambulance Branch</t>
  </si>
  <si>
    <t>Cohuna Ambulance Branch</t>
  </si>
  <si>
    <t>Colac Ambulance Branch</t>
  </si>
  <si>
    <t>Coleraine Ambulance Branch</t>
  </si>
  <si>
    <t>Corryong Ambulance Branch</t>
  </si>
  <si>
    <t>Donald Ambulance Branch and Garage</t>
  </si>
  <si>
    <t>Ambulance Victoria Doncaster Office</t>
  </si>
  <si>
    <t>Eildon Ambulance Branch</t>
  </si>
  <si>
    <t>Eltham Ambulance Branch</t>
  </si>
  <si>
    <t>Epping Ambulance Branch</t>
  </si>
  <si>
    <t>Falls Creek Ambulance Branch</t>
  </si>
  <si>
    <t>Frankston-Langwarrin Ambulance Branch</t>
  </si>
  <si>
    <t>Kyabram Ambulance Branch</t>
  </si>
  <si>
    <t>Ivanhoe Ambulance Branch</t>
  </si>
  <si>
    <t>Dandenong Ambulance Branch</t>
  </si>
  <si>
    <t>Dimboola Ambulance Branch</t>
  </si>
  <si>
    <t>Doncaster Ambulance Branch</t>
  </si>
  <si>
    <t>Echuca Ambulance Branch</t>
  </si>
  <si>
    <t>Edenhope Ambulance Branch</t>
  </si>
  <si>
    <t>Euroa Ambulance Branch</t>
  </si>
  <si>
    <t>Foster Ambulance Branch</t>
  </si>
  <si>
    <t>Geelong Ambulance Branch</t>
  </si>
  <si>
    <t>Gippsland Ambulance Branch</t>
  </si>
  <si>
    <t>Gisborne Ambulance Branch</t>
  </si>
  <si>
    <t>Glenthompson Ambulance Branch</t>
  </si>
  <si>
    <t>Heathcote Ambulance Branch</t>
  </si>
  <si>
    <t>Heyfield Ambulance Branch</t>
  </si>
  <si>
    <t>Lakes Entrance Ambulance Branch</t>
  </si>
  <si>
    <t>Korumburra Ambulance Branch</t>
  </si>
  <si>
    <t>Leongatha Ambulance Branch</t>
  </si>
  <si>
    <t>Vermont South Ambulance Branch &amp; Fleet Centre</t>
  </si>
  <si>
    <t>Mansfield Ambulance Branch</t>
  </si>
  <si>
    <t>Inglewood Ambulance Branch</t>
  </si>
  <si>
    <t>Irymple Ambulance Branch</t>
  </si>
  <si>
    <t>South Melbourne Ambulance Branch</t>
  </si>
  <si>
    <t>Heywood Ambulance Branch</t>
  </si>
  <si>
    <t>Kangaroo Flat Ambulance Branch</t>
  </si>
  <si>
    <t>Kew Ambulance Branch</t>
  </si>
  <si>
    <t>Kilmore Ambulance Branch</t>
  </si>
  <si>
    <t>Lilydale Ambulance Branch</t>
  </si>
  <si>
    <t>Mallacoota Ambulance Branch</t>
  </si>
  <si>
    <t>Mitta Mitta Ambulance Branch</t>
  </si>
  <si>
    <t>Mortlake Ambulance Branch</t>
  </si>
  <si>
    <t>Orbost Ambulance Branch</t>
  </si>
  <si>
    <t>Morwell Ambulance Branch</t>
  </si>
  <si>
    <t>Mount Beauty Ambulance Branch</t>
  </si>
  <si>
    <t>Norlane Ambulance Branch</t>
  </si>
  <si>
    <t>Northcote Ambulance Branch</t>
  </si>
  <si>
    <t>Nyah West Ambulance Branch</t>
  </si>
  <si>
    <t>Paynesville Ambulance Branch</t>
  </si>
  <si>
    <t>Penshurst Ambulance Branch</t>
  </si>
  <si>
    <t>Preston Ambulance Branch</t>
  </si>
  <si>
    <t>Rainbow Ambulance Branch</t>
  </si>
  <si>
    <t>Rochester Ambulance Branch</t>
  </si>
  <si>
    <t>Sea Lake Ambulance Branch</t>
  </si>
  <si>
    <t>Shepparton Ambulance Branch</t>
  </si>
  <si>
    <t>Stawell Ambulance Branch</t>
  </si>
  <si>
    <t>Sunbury Ambulance Branch</t>
  </si>
  <si>
    <t>Swan Hill Ambulance Branch</t>
  </si>
  <si>
    <t>Tallangatta Ambulance Branch</t>
  </si>
  <si>
    <t>Terang Ambulance Branch</t>
  </si>
  <si>
    <t>Traralgon Ambulance Branch</t>
  </si>
  <si>
    <t>Wangaratta Ambulance Branch</t>
  </si>
  <si>
    <t>Warracknabeal Ambulance Branch</t>
  </si>
  <si>
    <t>Warragul Ambulance Branch</t>
  </si>
  <si>
    <t>Wedderburn Ambulance Branch</t>
  </si>
  <si>
    <t>West Melbourne Ambulance Branch</t>
  </si>
  <si>
    <t>Windsor Ambulance Branch</t>
  </si>
  <si>
    <t>Wodonga Ambulance Branch</t>
  </si>
  <si>
    <t>Yarra Junction Ambulance Branch</t>
  </si>
  <si>
    <t>Yarram Ambulance Branch</t>
  </si>
  <si>
    <t>Goroke Ambulance Branch</t>
  </si>
  <si>
    <t>Kaniva Ambulance Branch</t>
  </si>
  <si>
    <t>Metro East Ambulance Branch</t>
  </si>
  <si>
    <t>Eltham North Ambulance Branch</t>
  </si>
  <si>
    <t>Murrayville Ambulance Branch</t>
  </si>
  <si>
    <t>Nhill Ambulance Branch</t>
  </si>
  <si>
    <t>Patchewollock Ambulance Branch</t>
  </si>
  <si>
    <t>St Arnaud Ambulance Branch</t>
  </si>
  <si>
    <t>Tambo Valley Ambulance Branch</t>
  </si>
  <si>
    <t>Austin Hospital</t>
  </si>
  <si>
    <t>Royal Talbot Rehabilitation Centre</t>
  </si>
  <si>
    <t>Heidelberg Repatriation Hospital</t>
  </si>
  <si>
    <t>Sunshine Hospital</t>
  </si>
  <si>
    <t>Hazeldean Transition Care</t>
  </si>
  <si>
    <t>Sunbury Day Hospital</t>
  </si>
  <si>
    <t>Footscray Hospital</t>
  </si>
  <si>
    <t>Williamstown Hospital</t>
  </si>
  <si>
    <t>Birchip Hospital</t>
  </si>
  <si>
    <t>Charlton Hospital</t>
  </si>
  <si>
    <t>St. Arnaud Hospital</t>
  </si>
  <si>
    <t>Wycheproof Hospital</t>
  </si>
  <si>
    <t>Donald Hospital</t>
  </si>
  <si>
    <t>Bairnsdale Mental Health Services</t>
  </si>
  <si>
    <t>Gippsland Rotary Centenary House</t>
  </si>
  <si>
    <t>Ballarat Base Hospital</t>
  </si>
  <si>
    <t>Queen Elizabeth Centre Ballarat</t>
  </si>
  <si>
    <t>Maternity Outpatients Ballarat Health</t>
  </si>
  <si>
    <t>Diabetes Centre Ballarat Health</t>
  </si>
  <si>
    <t>Residential Services Ballarat Health</t>
  </si>
  <si>
    <t>Belmont Community Rehabilitation Facility</t>
  </si>
  <si>
    <t>Torquay Community Health Centre</t>
  </si>
  <si>
    <t>Newcomb Community Health Centre</t>
  </si>
  <si>
    <t>Corio Community Health Centre</t>
  </si>
  <si>
    <t>Belmont Community Health Centre</t>
  </si>
  <si>
    <t>Anglesea Community Health Centre</t>
  </si>
  <si>
    <t>Angliss Hospital</t>
  </si>
  <si>
    <t>Box Hill Hospital</t>
  </si>
  <si>
    <t>Healesville Hospital and Yarra Valley Health</t>
  </si>
  <si>
    <t>Maroondah Hospital</t>
  </si>
  <si>
    <t>Peter James Centre</t>
  </si>
  <si>
    <t>Wantirna Health</t>
  </si>
  <si>
    <t>Goulburn Valley Health Base Hospital</t>
  </si>
  <si>
    <t>Waranga Memorial Hospital</t>
  </si>
  <si>
    <t>Tatura Hospital and Parkvilla Aged Care Facility</t>
  </si>
  <si>
    <t>Waranga Aged Care Hostel</t>
  </si>
  <si>
    <t>Winchelsea Hospital</t>
  </si>
  <si>
    <t>Winchelsea Community Health Centre</t>
  </si>
  <si>
    <t>Rokewood Community Health Centre</t>
  </si>
  <si>
    <t>Beeac Community Health Centre</t>
  </si>
  <si>
    <t>Ouyen Health Service</t>
  </si>
  <si>
    <t>Sea Lake Health Service</t>
  </si>
  <si>
    <t>Patchewollock Service Centre</t>
  </si>
  <si>
    <t>Mallee Minors Child Care Centre</t>
  </si>
  <si>
    <t>Pattinson House - Mallee Track Health</t>
  </si>
  <si>
    <t>Underbool Service Centre</t>
  </si>
  <si>
    <t>Murrayville Service Centre and Neighbourhood House</t>
  </si>
  <si>
    <t>Maryborough District Health Service - Maryborough campus</t>
  </si>
  <si>
    <t>Maryborough District Health Service - Avoca campus</t>
  </si>
  <si>
    <t>Maryborough District Health Service - Dunolly</t>
  </si>
  <si>
    <t>Orygen Youth Health</t>
  </si>
  <si>
    <t>The Kingston Centre</t>
  </si>
  <si>
    <t>Monash Medical Centre</t>
  </si>
  <si>
    <t>Dandenong Hospital</t>
  </si>
  <si>
    <t>Cranbourne Integrated Care Centre</t>
  </si>
  <si>
    <t>Monash Health Adolescent Recover Centre</t>
  </si>
  <si>
    <t>Clayton Community Rehabilitation Centre</t>
  </si>
  <si>
    <t>Mental Health Community Care Unit - Monash Health</t>
  </si>
  <si>
    <t>Kanooka Child Care Centre Inc</t>
  </si>
  <si>
    <t>Middle South Community Care Unit</t>
  </si>
  <si>
    <t>Moorabbin Hospital</t>
  </si>
  <si>
    <t>Community Residential Withdrawal Unit - Monash Health</t>
  </si>
  <si>
    <t>Jacaranda House Kindergarten and Community Centre</t>
  </si>
  <si>
    <t>Moyne Health Services - Koroit</t>
  </si>
  <si>
    <t>Apollo Bay Hospital</t>
  </si>
  <si>
    <t>Marrar Woorn Neighbourhood House</t>
  </si>
  <si>
    <t>Frankston Hospital</t>
  </si>
  <si>
    <t>Rosebud Hospital</t>
  </si>
  <si>
    <t>Mornington Community Health</t>
  </si>
  <si>
    <t>Ronald McDonald House Parkville</t>
  </si>
  <si>
    <t>Warrnambool Base Hospital</t>
  </si>
  <si>
    <t>Camperdown Hospital</t>
  </si>
  <si>
    <t>Camperdown Mental Health Services</t>
  </si>
  <si>
    <t>Warrnambool Community Health</t>
  </si>
  <si>
    <t>Lismore Community Health</t>
  </si>
  <si>
    <t>Manifold Place (Camperdown Community Health)</t>
  </si>
  <si>
    <t>Macarthur Community Health</t>
  </si>
  <si>
    <t>David Newman Adult Day Centre</t>
  </si>
  <si>
    <t>Merindah Lodge</t>
  </si>
  <si>
    <t>Hamilton Mental Health Services</t>
  </si>
  <si>
    <t>Crossley House Hostel</t>
  </si>
  <si>
    <t>Yarram Medical Centre</t>
  </si>
  <si>
    <t>Wimmera Base Hospital</t>
  </si>
  <si>
    <t>Wimmera Medical Centre</t>
  </si>
  <si>
    <t>Rainbow Hospital</t>
  </si>
  <si>
    <t>Goroke Community Health Centre</t>
  </si>
  <si>
    <t>Kaniva Hospital and Nursing Home</t>
  </si>
  <si>
    <t>Cooinda Disability Service</t>
  </si>
  <si>
    <t>Nhill Campus - West Wimmera Health Services</t>
  </si>
  <si>
    <t>Rupanyup District Nursing Home</t>
  </si>
  <si>
    <t>The Royal Victorian Eye and Ear Hospital - Departmental Dwelling</t>
  </si>
  <si>
    <t>Wodonga Hospital</t>
  </si>
  <si>
    <t>Port Fairy Ambulance Branch</t>
  </si>
  <si>
    <t>VicTrack</t>
  </si>
  <si>
    <t>Department of Parliamentary Services (DPS)</t>
  </si>
  <si>
    <t>Office Of The Ombudsman Victoria</t>
  </si>
  <si>
    <t>Office of the Victorian Inspectorate</t>
  </si>
  <si>
    <t>Office of the Chief Parliamentary Counsel</t>
  </si>
  <si>
    <t>N/A (negative)</t>
  </si>
  <si>
    <t>N/A (assumed negative)</t>
  </si>
  <si>
    <t>Hessian</t>
  </si>
  <si>
    <t>Sub Agency</t>
  </si>
  <si>
    <t>Labelled</t>
  </si>
  <si>
    <t>Label Details</t>
  </si>
  <si>
    <t>Factory</t>
  </si>
  <si>
    <t>FIRABILITY NAME EXCEL</t>
  </si>
  <si>
    <t>Woven product</t>
  </si>
  <si>
    <t>Factories and warehouses and shops</t>
  </si>
  <si>
    <t>Wall panels</t>
  </si>
  <si>
    <t>Soil debris</t>
  </si>
  <si>
    <t>Local_Government_Authority</t>
  </si>
  <si>
    <t>Disposal_Site</t>
  </si>
  <si>
    <t>Sub_Agency</t>
  </si>
  <si>
    <t> Aboriginal Community Controlled Organisation </t>
  </si>
  <si>
    <t>N/A</t>
  </si>
  <si>
    <t> Non VPS entity </t>
  </si>
  <si>
    <t>Local Government Authority</t>
  </si>
  <si>
    <t> ACFE </t>
  </si>
  <si>
    <t>Disposal Site</t>
  </si>
  <si>
    <t> Advisory Group </t>
  </si>
  <si>
    <t> Agricultural Services </t>
  </si>
  <si>
    <t> Arts/Media </t>
  </si>
  <si>
    <t> Association </t>
  </si>
  <si>
    <t> Authority </t>
  </si>
  <si>
    <t> Board </t>
  </si>
  <si>
    <t> Camp Area </t>
  </si>
  <si>
    <t> Camps </t>
  </si>
  <si>
    <t> Catchment Authority </t>
  </si>
  <si>
    <t> Cemetery Trust </t>
  </si>
  <si>
    <t> Centre </t>
  </si>
  <si>
    <t> Commission </t>
  </si>
  <si>
    <t> Commissioner </t>
  </si>
  <si>
    <t> Committee </t>
  </si>
  <si>
    <t> Committee of Management </t>
  </si>
  <si>
    <t> Corporation </t>
  </si>
  <si>
    <t> Corrections </t>
  </si>
  <si>
    <t> Council </t>
  </si>
  <si>
    <t> Data Management </t>
  </si>
  <si>
    <t> Department Committee of Management </t>
  </si>
  <si>
    <t> Education </t>
  </si>
  <si>
    <t> Emergency Services </t>
  </si>
  <si>
    <t> Energy </t>
  </si>
  <si>
    <t> Environment </t>
  </si>
  <si>
    <t> Exhibition/Gallery </t>
  </si>
  <si>
    <t> Foreshore </t>
  </si>
  <si>
    <t> Forestry </t>
  </si>
  <si>
    <t> Foundation </t>
  </si>
  <si>
    <t> Fund </t>
  </si>
  <si>
    <t> Government Office </t>
  </si>
  <si>
    <t> Governor </t>
  </si>
  <si>
    <t> Health Service </t>
  </si>
  <si>
    <t> Industry Support </t>
  </si>
  <si>
    <t> Industry Support and/or Advice </t>
  </si>
  <si>
    <t> Inspectorate </t>
  </si>
  <si>
    <t> Institute </t>
  </si>
  <si>
    <t> Justice </t>
  </si>
  <si>
    <t> Local Council Committee of Management </t>
  </si>
  <si>
    <t> Local Government Council </t>
  </si>
  <si>
    <t> Marine Rescue </t>
  </si>
  <si>
    <t> Ombudsman </t>
  </si>
  <si>
    <t> Oval </t>
  </si>
  <si>
    <t> Panel </t>
  </si>
  <si>
    <t> Park </t>
  </si>
  <si>
    <t> Parliament </t>
  </si>
  <si>
    <t> Partnership </t>
  </si>
  <si>
    <t> Port </t>
  </si>
  <si>
    <t> Portfolio Department </t>
  </si>
  <si>
    <t> Public Transport </t>
  </si>
  <si>
    <t> Racecourse </t>
  </si>
  <si>
    <t> Recreation </t>
  </si>
  <si>
    <t> Reference Group </t>
  </si>
  <si>
    <t> Registrar </t>
  </si>
  <si>
    <t> Regulatory </t>
  </si>
  <si>
    <t> Rescue </t>
  </si>
  <si>
    <t> Reserve </t>
  </si>
  <si>
    <t> School (VSBA) </t>
  </si>
  <si>
    <t> Sport and Recreation </t>
  </si>
  <si>
    <t> Sport Trust </t>
  </si>
  <si>
    <t> Superannuation </t>
  </si>
  <si>
    <t> Surf Life Saving Club </t>
  </si>
  <si>
    <t> Taskforce </t>
  </si>
  <si>
    <t> Technology </t>
  </si>
  <si>
    <t> Tier 1 Committee of Management </t>
  </si>
  <si>
    <t> Tourism </t>
  </si>
  <si>
    <t> Transport </t>
  </si>
  <si>
    <t> Treasury/Finance </t>
  </si>
  <si>
    <t> Tribunal </t>
  </si>
  <si>
    <t> Trust </t>
  </si>
  <si>
    <t> Waste Management </t>
  </si>
  <si>
    <t> Water Corporation </t>
  </si>
  <si>
    <t> Working Group </t>
  </si>
  <si>
    <t> Youth Affairs </t>
  </si>
  <si>
    <t> Youth Justice </t>
  </si>
  <si>
    <t>Aboriginal Community Controlled Organisation</t>
  </si>
  <si>
    <t>ACFE</t>
  </si>
  <si>
    <t>Advisory Group</t>
  </si>
  <si>
    <t>Agricultural Services</t>
  </si>
  <si>
    <t>Arts/Media</t>
  </si>
  <si>
    <t>Association</t>
  </si>
  <si>
    <t>Authority</t>
  </si>
  <si>
    <t>Camp Area</t>
  </si>
  <si>
    <t>Camps</t>
  </si>
  <si>
    <t>Catchment Authority</t>
  </si>
  <si>
    <t>Cemetery Trust</t>
  </si>
  <si>
    <t>Centre</t>
  </si>
  <si>
    <t>Commission</t>
  </si>
  <si>
    <t>Commissioner</t>
  </si>
  <si>
    <t>Committee</t>
  </si>
  <si>
    <t>Committee of Management</t>
  </si>
  <si>
    <t>Corporation</t>
  </si>
  <si>
    <t>Corrections</t>
  </si>
  <si>
    <t>Council</t>
  </si>
  <si>
    <t>Data Management</t>
  </si>
  <si>
    <t>Department Committee of Management</t>
  </si>
  <si>
    <t>Education</t>
  </si>
  <si>
    <t>Emergency Services</t>
  </si>
  <si>
    <t>Energy</t>
  </si>
  <si>
    <t>Environment</t>
  </si>
  <si>
    <t>Exhibition/Gallery</t>
  </si>
  <si>
    <t>Foreshore</t>
  </si>
  <si>
    <t>Forestry</t>
  </si>
  <si>
    <t>Foundation</t>
  </si>
  <si>
    <t>Fund</t>
  </si>
  <si>
    <t>Gallery</t>
  </si>
  <si>
    <t>Government Office</t>
  </si>
  <si>
    <t>Governor</t>
  </si>
  <si>
    <t>Hall</t>
  </si>
  <si>
    <t>Health Service</t>
  </si>
  <si>
    <t>Industry Support</t>
  </si>
  <si>
    <t>Industry Support and/or Advice</t>
  </si>
  <si>
    <t>Inspectorate</t>
  </si>
  <si>
    <t>Institute</t>
  </si>
  <si>
    <t>Justice</t>
  </si>
  <si>
    <t>Library</t>
  </si>
  <si>
    <t>Local Council Committee of Management</t>
  </si>
  <si>
    <t>Local Government Council</t>
  </si>
  <si>
    <t>Marine Rescue</t>
  </si>
  <si>
    <t>Museum</t>
  </si>
  <si>
    <t>Non VPS entity</t>
  </si>
  <si>
    <t>Ombudsman</t>
  </si>
  <si>
    <t>Oval</t>
  </si>
  <si>
    <t>Park</t>
  </si>
  <si>
    <t>Parliament</t>
  </si>
  <si>
    <t>Partnership</t>
  </si>
  <si>
    <t>Port</t>
  </si>
  <si>
    <t>Portfolio Department</t>
  </si>
  <si>
    <t>Public Transport</t>
  </si>
  <si>
    <t>Racecourse</t>
  </si>
  <si>
    <t>Recreation</t>
  </si>
  <si>
    <t>Reference Group</t>
  </si>
  <si>
    <t>Registrar</t>
  </si>
  <si>
    <t>Regulatory</t>
  </si>
  <si>
    <t>Rescue</t>
  </si>
  <si>
    <t>Reserve</t>
  </si>
  <si>
    <t>School</t>
  </si>
  <si>
    <t>School (VSBA)</t>
  </si>
  <si>
    <t>Sport and Recreation</t>
  </si>
  <si>
    <t>Sport Trust</t>
  </si>
  <si>
    <t>Superannuation</t>
  </si>
  <si>
    <t>Surf Life Saving Club</t>
  </si>
  <si>
    <t>TAFE</t>
  </si>
  <si>
    <t>Taskforce</t>
  </si>
  <si>
    <t>Technology</t>
  </si>
  <si>
    <t>Tier 1 Committee of Management</t>
  </si>
  <si>
    <t>Tourism</t>
  </si>
  <si>
    <t>Treasury/Finance</t>
  </si>
  <si>
    <t>Tribunal</t>
  </si>
  <si>
    <t>Trust</t>
  </si>
  <si>
    <t>Waste Management</t>
  </si>
  <si>
    <t>Water Corporation</t>
  </si>
  <si>
    <t>Working Group</t>
  </si>
  <si>
    <t>Youth Affairs</t>
  </si>
  <si>
    <t>Youth Justice</t>
  </si>
  <si>
    <t>VAEA Organisation Sub Type</t>
  </si>
  <si>
    <t>Accommodation unit</t>
  </si>
  <si>
    <t>Activities shelter</t>
  </si>
  <si>
    <t>Administration</t>
  </si>
  <si>
    <t>Aged Care</t>
  </si>
  <si>
    <t>Airbase</t>
  </si>
  <si>
    <t>Ambulance garage</t>
  </si>
  <si>
    <t>Ambulance station</t>
  </si>
  <si>
    <t>Amenities</t>
  </si>
  <si>
    <t>Apartment</t>
  </si>
  <si>
    <t>Art centre</t>
  </si>
  <si>
    <t>Assembly hall</t>
  </si>
  <si>
    <t>Band room</t>
  </si>
  <si>
    <t>Basketball court</t>
  </si>
  <si>
    <t>Below Ground asset/Level crossing</t>
  </si>
  <si>
    <t>Bicycle enclosure</t>
  </si>
  <si>
    <t>Building</t>
  </si>
  <si>
    <t>Building nursery</t>
  </si>
  <si>
    <t>Building room</t>
  </si>
  <si>
    <t>Bus shelter</t>
  </si>
  <si>
    <t>Bush nursing</t>
  </si>
  <si>
    <t>Canteen</t>
  </si>
  <si>
    <t>Child care</t>
  </si>
  <si>
    <t>Children’s centre</t>
  </si>
  <si>
    <t>Classroom</t>
  </si>
  <si>
    <t>Commercial</t>
  </si>
  <si>
    <t>Communication tower</t>
  </si>
  <si>
    <t>Community centre</t>
  </si>
  <si>
    <t>Community hall</t>
  </si>
  <si>
    <t>Community Health Center</t>
  </si>
  <si>
    <t>Computer centre</t>
  </si>
  <si>
    <t>Concert hall</t>
  </si>
  <si>
    <t>Conference centre</t>
  </si>
  <si>
    <t>Consulting rooms</t>
  </si>
  <si>
    <t>Control building</t>
  </si>
  <si>
    <t>Control centre (train network)</t>
  </si>
  <si>
    <t>Control centre (tram network)</t>
  </si>
  <si>
    <t>Control room</t>
  </si>
  <si>
    <t>Court</t>
  </si>
  <si>
    <t>Crew room</t>
  </si>
  <si>
    <t>Curator house</t>
  </si>
  <si>
    <t>Day centre</t>
  </si>
  <si>
    <t>Dental clinic</t>
  </si>
  <si>
    <t>Depot</t>
  </si>
  <si>
    <t>Docklands studios</t>
  </si>
  <si>
    <t>Education centre</t>
  </si>
  <si>
    <t>Facility</t>
  </si>
  <si>
    <t>Farm annexe</t>
  </si>
  <si>
    <t>Farm depot house</t>
  </si>
  <si>
    <t>Film vault</t>
  </si>
  <si>
    <t>Fire pump shed</t>
  </si>
  <si>
    <t>Flat</t>
  </si>
  <si>
    <t>Fruit shed</t>
  </si>
  <si>
    <t>Garage</t>
  </si>
  <si>
    <t>Grain storage shed</t>
  </si>
  <si>
    <t>Gymnasium</t>
  </si>
  <si>
    <t>Hay shed</t>
  </si>
  <si>
    <t>Head office</t>
  </si>
  <si>
    <t>Health centre</t>
  </si>
  <si>
    <t>Hospital</t>
  </si>
  <si>
    <t>Hostel</t>
  </si>
  <si>
    <t>Hothouse</t>
  </si>
  <si>
    <t>Housing - disability</t>
  </si>
  <si>
    <t>Housing - Other</t>
  </si>
  <si>
    <t>HQ</t>
  </si>
  <si>
    <t>Information centre</t>
  </si>
  <si>
    <t>Juvenile</t>
  </si>
  <si>
    <t>Leisure centre</t>
  </si>
  <si>
    <t>Lodge</t>
  </si>
  <si>
    <t>Main building</t>
  </si>
  <si>
    <t>Multipurpose hall</t>
  </si>
  <si>
    <t>Nursing home</t>
  </si>
  <si>
    <t>Pavilion</t>
  </si>
  <si>
    <t>Plant room</t>
  </si>
  <si>
    <t>Police Station</t>
  </si>
  <si>
    <t>Polyhouse</t>
  </si>
  <si>
    <t>Poultry pen</t>
  </si>
  <si>
    <t>Prison</t>
  </si>
  <si>
    <t>Pump house</t>
  </si>
  <si>
    <t>Radio tower</t>
  </si>
  <si>
    <t>Ranger's office</t>
  </si>
  <si>
    <t>Reception</t>
  </si>
  <si>
    <t>Recreation and sport</t>
  </si>
  <si>
    <t>Recreation centre</t>
  </si>
  <si>
    <t>Rehab</t>
  </si>
  <si>
    <t>Research facility</t>
  </si>
  <si>
    <t>Residence</t>
  </si>
  <si>
    <t>Retail</t>
  </si>
  <si>
    <t>Rotunda</t>
  </si>
  <si>
    <t>Shed</t>
  </si>
  <si>
    <t>Shelter shed</t>
  </si>
  <si>
    <t>Shop / Kiosk</t>
  </si>
  <si>
    <t>Specialist clinic</t>
  </si>
  <si>
    <t>Stables</t>
  </si>
  <si>
    <t>Stockyard</t>
  </si>
  <si>
    <t>Teacher house</t>
  </si>
  <si>
    <t>Tennis pavilion</t>
  </si>
  <si>
    <t>Theatre</t>
  </si>
  <si>
    <t>Toilet</t>
  </si>
  <si>
    <t>Train maintenance facility</t>
  </si>
  <si>
    <t>Train station</t>
  </si>
  <si>
    <t>Train station precinct</t>
  </si>
  <si>
    <t>Train substation</t>
  </si>
  <si>
    <t>Train yard</t>
  </si>
  <si>
    <t>Training centre</t>
  </si>
  <si>
    <t>Tram depot</t>
  </si>
  <si>
    <t>Tram substation</t>
  </si>
  <si>
    <t>Transport depot</t>
  </si>
  <si>
    <t>Visitor centre</t>
  </si>
  <si>
    <t>Warehouse</t>
  </si>
  <si>
    <t>Workshop</t>
  </si>
  <si>
    <t>Youth camp</t>
  </si>
  <si>
    <t>Est. Building Size (m2)</t>
  </si>
  <si>
    <t>Number of Levels</t>
  </si>
  <si>
    <t>Construction Type</t>
  </si>
  <si>
    <t>Roof Type</t>
  </si>
  <si>
    <t>Date of Inspection</t>
  </si>
  <si>
    <t>Textiles</t>
  </si>
  <si>
    <t>Acoustic pad</t>
  </si>
  <si>
    <t>Adhesive or glue</t>
  </si>
  <si>
    <t>Low density asbestos fibre board (asbestos insulated board)</t>
  </si>
  <si>
    <t>Asphalt</t>
  </si>
  <si>
    <t>Bitumen coating</t>
  </si>
  <si>
    <t>Bitumen washer</t>
  </si>
  <si>
    <t>Blackjack (bitumen adhesive)</t>
  </si>
  <si>
    <t>Calico wrap</t>
  </si>
  <si>
    <t>Caulking</t>
  </si>
  <si>
    <t xml:space="preserve">Cement flue </t>
  </si>
  <si>
    <t>Cement pipe</t>
  </si>
  <si>
    <t>Cement strapping</t>
  </si>
  <si>
    <t>Ceramic fibre</t>
  </si>
  <si>
    <t>Concrete levelling compound</t>
  </si>
  <si>
    <t>Contaminated soil (friable debris)</t>
  </si>
  <si>
    <t>Faux timber sheeting</t>
  </si>
  <si>
    <t>Fibrous material</t>
  </si>
  <si>
    <t>Fire rating material</t>
  </si>
  <si>
    <t>Fireproof pillows</t>
  </si>
  <si>
    <t>Flue cap</t>
  </si>
  <si>
    <t>Foam insulation</t>
  </si>
  <si>
    <t>Gasket debris</t>
  </si>
  <si>
    <t>Washers</t>
  </si>
  <si>
    <t>Granular material</t>
  </si>
  <si>
    <t>Grout</t>
  </si>
  <si>
    <t>Horsehair</t>
  </si>
  <si>
    <t>Hessian backed Vinyl sheet</t>
  </si>
  <si>
    <t>Insulation product dust and debris</t>
  </si>
  <si>
    <t>Lagging</t>
  </si>
  <si>
    <t>Laminated cement sheeting</t>
  </si>
  <si>
    <t>Masonry</t>
  </si>
  <si>
    <t>Millboard or paper-backed sheet vinyl</t>
  </si>
  <si>
    <t>Mineral fibre tiles</t>
  </si>
  <si>
    <t>Mortar</t>
  </si>
  <si>
    <t>Paint</t>
  </si>
  <si>
    <t>Pebble rendered cement sheeting</t>
  </si>
  <si>
    <t>Plaster</t>
  </si>
  <si>
    <t>Plastic</t>
  </si>
  <si>
    <t>Putty</t>
  </si>
  <si>
    <t>Render</t>
  </si>
  <si>
    <t>Roof tiles</t>
  </si>
  <si>
    <t>Rope or braided gasket</t>
  </si>
  <si>
    <t>Silicone</t>
  </si>
  <si>
    <t>Sprayed insulation</t>
  </si>
  <si>
    <t>Terrazzo</t>
  </si>
  <si>
    <t>Bituminous Membrane</t>
  </si>
  <si>
    <t>Product Type</t>
  </si>
  <si>
    <t>Assumed Removed?</t>
  </si>
  <si>
    <t>Date of Removal</t>
  </si>
  <si>
    <t>Quantity Removed</t>
  </si>
  <si>
    <t>Asbestos Removal Notification No</t>
  </si>
  <si>
    <t>EPA Waste Transport Certificate No</t>
  </si>
  <si>
    <t>Office of Projects Victoria</t>
  </si>
  <si>
    <t>Angliss Consulting Pty Ltd</t>
  </si>
  <si>
    <t>Angliss Multimedia Pty Ltd</t>
  </si>
  <si>
    <t>Angliss Solutions Pty Ltd</t>
  </si>
  <si>
    <t>Driver Education Centre of Australia Ltd</t>
  </si>
  <si>
    <t>International Fibre Centre Ltd</t>
  </si>
  <si>
    <t>Merit Protection Boards</t>
  </si>
  <si>
    <t>TAFE Kids Incorporated</t>
  </si>
  <si>
    <t>TAFE Online Pty Ltd</t>
  </si>
  <si>
    <t>Consumer Policy Research Centre (CPRC)</t>
  </si>
  <si>
    <t>Councillor Conduct Panel List</t>
  </si>
  <si>
    <t>Cranbourne Racing Centre And Recreation Reserve Committee of Management Inc.</t>
  </si>
  <si>
    <t>Environment Protection Authority Inquiry Ministerial Advisory Committee</t>
  </si>
  <si>
    <t>Office of the Victorian Government Architect</t>
  </si>
  <si>
    <t>Acheron Youth Camp</t>
  </si>
  <si>
    <t>Aireys Inlet CFA Fire Station</t>
  </si>
  <si>
    <t>Allambee CFA Fire Station</t>
  </si>
  <si>
    <t>Allansford CFA Fire Station</t>
  </si>
  <si>
    <t>Anakie CFA Fire Station</t>
  </si>
  <si>
    <t>Anglesea CFA Fire Station</t>
  </si>
  <si>
    <t>Antwerp CFA Fire Station</t>
  </si>
  <si>
    <t>Apollo Bay CFA Fire Station</t>
  </si>
  <si>
    <t>Apsley CFA Fire Station</t>
  </si>
  <si>
    <t>Ararat CFA Fire Station</t>
  </si>
  <si>
    <t>Avenel CFA Fire Station</t>
  </si>
  <si>
    <t>Avoca CFA Fire Station</t>
  </si>
  <si>
    <t>Axe Creek CFA Fire Station</t>
  </si>
  <si>
    <t>Axedale CFA Fire Station</t>
  </si>
  <si>
    <t>Bacchus Marsh CFA Fire Station</t>
  </si>
  <si>
    <t>Badgers Creek CFA Fire Station</t>
  </si>
  <si>
    <t>Bailieston CFA Fire Station</t>
  </si>
  <si>
    <t>Bairnsdale CFA District Maintenance Office</t>
  </si>
  <si>
    <t>Bairnsdale CFA Fire Station &amp; Office</t>
  </si>
  <si>
    <t>Ballarat CFA Fire Station</t>
  </si>
  <si>
    <t>Balliang CFA Fire Station</t>
  </si>
  <si>
    <t>Balmoral CFA Fire Station</t>
  </si>
  <si>
    <t>Balnarring CFA Fire Station</t>
  </si>
  <si>
    <t>Bangholme CFA Training Campus</t>
  </si>
  <si>
    <t>Bannockburn CFA Fire Station</t>
  </si>
  <si>
    <t>Baranduda CFA Fire Station</t>
  </si>
  <si>
    <t>Barjarg CFA Fire Station</t>
  </si>
  <si>
    <t>Barmah CFA Fire Station</t>
  </si>
  <si>
    <t>Barrabool CFA Fire Station</t>
  </si>
  <si>
    <t>Barwon Heads CFA Fire Station</t>
  </si>
  <si>
    <t>Bass CFA Fire Station</t>
  </si>
  <si>
    <t>Baxter CFA Fire Station</t>
  </si>
  <si>
    <t>Bayles CFA Fire Station</t>
  </si>
  <si>
    <t>Bayswater CFA Fire Station</t>
  </si>
  <si>
    <t>Beaconsfield CFA Fire Station</t>
  </si>
  <si>
    <t>Beaconsfield Upper CFA Fire Station</t>
  </si>
  <si>
    <t>Bealiba CFA Fire Station</t>
  </si>
  <si>
    <t>Beechworth CFA Fire Station</t>
  </si>
  <si>
    <t>Belgrave CFA Fire Station</t>
  </si>
  <si>
    <t>Belgrave Heights South CFA Fire Station</t>
  </si>
  <si>
    <t>Benambra CFA Fire Station</t>
  </si>
  <si>
    <t>Bendigo Justice Centre</t>
  </si>
  <si>
    <t>Berringama CFA Fire Station</t>
  </si>
  <si>
    <t>Berriwillock CFA Fire Station</t>
  </si>
  <si>
    <t>Berwick CFA Fire Station</t>
  </si>
  <si>
    <t>Beulah CFA Fire Station</t>
  </si>
  <si>
    <t>Biggara CFA Fire Station</t>
  </si>
  <si>
    <t>Birchip CFA Fire Station</t>
  </si>
  <si>
    <t>Bittern CFA Fire Station</t>
  </si>
  <si>
    <t>Blackwood CFA Fire Station</t>
  </si>
  <si>
    <t>Boho CFA Fire Station</t>
  </si>
  <si>
    <t>Boisdale CFA Fire Station</t>
  </si>
  <si>
    <t>Bolinda Monegeetta CFA Fire Station</t>
  </si>
  <si>
    <t>Bonang Tubbit CFA Fire Station</t>
  </si>
  <si>
    <t>Boneo CFA Fire Station</t>
  </si>
  <si>
    <t>Bonnie Doon CFA Fire Station</t>
  </si>
  <si>
    <t>Boolarra CFA Fire Station</t>
  </si>
  <si>
    <t>Boorhaman CFA Fire Station</t>
  </si>
  <si>
    <t>Bowmans-Murmungee CFA Fire Station</t>
  </si>
  <si>
    <t>Branjee CFA Fire Station</t>
  </si>
  <si>
    <t>Bridgewater CFA Fire Station</t>
  </si>
  <si>
    <t>Bright CFA Fire Station</t>
  </si>
  <si>
    <t>Brim CFA Fire Station</t>
  </si>
  <si>
    <t>Brimpaen CFA Fire Station</t>
  </si>
  <si>
    <t>Brunswick Transport Branch</t>
  </si>
  <si>
    <t>Bruthen CFA Fire Station</t>
  </si>
  <si>
    <t>Buangor CFA Fire Station</t>
  </si>
  <si>
    <t>Bulla CFA Fire Station</t>
  </si>
  <si>
    <t>Bungador CFA Fire Station</t>
  </si>
  <si>
    <t>Buninyong CFA Fire Station</t>
  </si>
  <si>
    <t>Burrowye CFA Fire Station</t>
  </si>
  <si>
    <t>Buxton CFA Fire Station</t>
  </si>
  <si>
    <t>Callawadda CFA Fire Station</t>
  </si>
  <si>
    <t>Campbells Creek CFA Fire Station</t>
  </si>
  <si>
    <t>Camperdown CFA Fire Station</t>
  </si>
  <si>
    <t>Caniambo CFA Fire Station</t>
  </si>
  <si>
    <t>Cann Valley CFA Fire Station</t>
  </si>
  <si>
    <t>Cape Clear CFA Fire Station</t>
  </si>
  <si>
    <t>Carisbrook CFA Fire Station</t>
  </si>
  <si>
    <t>Carrum Downs CFA Fire Station</t>
  </si>
  <si>
    <t>Casterton CFA Fire Station</t>
  </si>
  <si>
    <t>Charlton CFA Fire Station</t>
  </si>
  <si>
    <t>Charlton Police Station</t>
  </si>
  <si>
    <t>Cheshunt CFA Fire Station</t>
  </si>
  <si>
    <t>Chesney Vale CFA Fire Station</t>
  </si>
  <si>
    <t>Chetwynd CFA Fire Station</t>
  </si>
  <si>
    <t>Chewton CFA Fire Station</t>
  </si>
  <si>
    <t>Chinkapook CFA Fire Station</t>
  </si>
  <si>
    <t>Chocolyn CFA Fire Station</t>
  </si>
  <si>
    <t>Christmas Hill CFA Fire Station</t>
  </si>
  <si>
    <t>Chum Creek CFA Fire Station</t>
  </si>
  <si>
    <t>Churchill CFA Fire Station</t>
  </si>
  <si>
    <t>Clear Lake CFA Fire Station</t>
  </si>
  <si>
    <t>Clunes CFA Fire Station</t>
  </si>
  <si>
    <t>Clyde CFA Fire Station</t>
  </si>
  <si>
    <t>Cobden CFA Fire Station</t>
  </si>
  <si>
    <t>Cobram CFA Fire Station</t>
  </si>
  <si>
    <t>Cobram CFA Fire Station (Old Site)</t>
  </si>
  <si>
    <t>Cockatoo CFA Fire Station</t>
  </si>
  <si>
    <t>Cohuna CFA Fire Station</t>
  </si>
  <si>
    <t>Coimadai CFA Fire Station</t>
  </si>
  <si>
    <t>Colac CFA Fire Station</t>
  </si>
  <si>
    <t>Colbinabbin CFA Fire Station</t>
  </si>
  <si>
    <t>Coldstream CFA Fire Station</t>
  </si>
  <si>
    <t>Coleraine CFA Fire Station</t>
  </si>
  <si>
    <t>Coongulla CFA Fire Station</t>
  </si>
  <si>
    <t>Corinella CFA Fire Station</t>
  </si>
  <si>
    <t>Cornishtown CFA Fire Station</t>
  </si>
  <si>
    <t>Corop CFA Fire Station</t>
  </si>
  <si>
    <t>Cororooke CFA Fire Station</t>
  </si>
  <si>
    <t>Cosgrove &amp; Pine Lodge CFA Fire Station</t>
  </si>
  <si>
    <t>Creightons Creek CFA Fire Station</t>
  </si>
  <si>
    <t>Cressy CFA Fire Station</t>
  </si>
  <si>
    <t>Creswick CFA Fire Station</t>
  </si>
  <si>
    <t>Crib Point CFA Fire Station</t>
  </si>
  <si>
    <t>Crown Counsel</t>
  </si>
  <si>
    <t>Cudgewa CFA Fire Station</t>
  </si>
  <si>
    <t>Dalyston CFA Fire Station</t>
  </si>
  <si>
    <t>Dargo CFA Fire Station</t>
  </si>
  <si>
    <t>Darlington CFA Fire Station</t>
  </si>
  <si>
    <t>Darraweit Guim Old CFA Fire Station</t>
  </si>
  <si>
    <t>Dartmoor CFA Fire Station</t>
  </si>
  <si>
    <t>Dartmouth CFA Fire Station</t>
  </si>
  <si>
    <t>Daylesford CFA Fire Station</t>
  </si>
  <si>
    <t>Dergholm CFA Fire Station</t>
  </si>
  <si>
    <t>ESTA</t>
  </si>
  <si>
    <t>Gippsland Regional Office</t>
  </si>
  <si>
    <t>HM Loddon Prison (includes Middleton)</t>
  </si>
  <si>
    <t>HM Melbourne Assessment Prison</t>
  </si>
  <si>
    <t>Local Government Investigations and Compliance Inspectorate</t>
  </si>
  <si>
    <t>Melbourne Youth Justice Centre and Parkville Youth Residential Centre</t>
  </si>
  <si>
    <t>Metropolitan Remand Centre</t>
  </si>
  <si>
    <t>Mildura Service Centre</t>
  </si>
  <si>
    <t>Office of the Legal Services Commissioner</t>
  </si>
  <si>
    <t>Sex Work Ministerial Advisory Committee</t>
  </si>
  <si>
    <t>Swan Hill Service Centre</t>
  </si>
  <si>
    <t>Travancore Youth Justice Centre</t>
  </si>
  <si>
    <t>VIFM</t>
  </si>
  <si>
    <t>Treasury Corporation of Victoria</t>
  </si>
  <si>
    <t>Vic Super</t>
  </si>
  <si>
    <t>Victorian Government Purchasing Board</t>
  </si>
  <si>
    <t>Advanced Metering Infrastructure Ministerial Advisory Council</t>
  </si>
  <si>
    <t>Building Industry Consultative Council</t>
  </si>
  <si>
    <t>Linking Melbourne Authority</t>
  </si>
  <si>
    <t>North East Link Authority</t>
  </si>
  <si>
    <t>Panel Of Administrators For The Brimbank City Council</t>
  </si>
  <si>
    <t>Panel Of Administrators For The Rural City Of Wangaratta</t>
  </si>
  <si>
    <t>Panel To Support The Implementation Of Target One Million</t>
  </si>
  <si>
    <t>Victorian Major Events Company</t>
  </si>
  <si>
    <t>Victorian Planning Authority</t>
  </si>
  <si>
    <t>Western Distributor Authority</t>
  </si>
  <si>
    <t>Working Families Council</t>
  </si>
  <si>
    <t>Andrews House Aged Care</t>
  </si>
  <si>
    <t>Bendigo Health</t>
  </si>
  <si>
    <t>Cohuna District Hospital</t>
  </si>
  <si>
    <t>Community Services Warragul</t>
  </si>
  <si>
    <t>Consulting Suites Project</t>
  </si>
  <si>
    <t>Cooinda Lodge</t>
  </si>
  <si>
    <t>Corryong Health</t>
  </si>
  <si>
    <t>Family Safety Victoria</t>
  </si>
  <si>
    <t>Gippsland Lakes Community Health</t>
  </si>
  <si>
    <t>Heyfield Hospital</t>
  </si>
  <si>
    <t>Inglewood and Districts Health Service</t>
  </si>
  <si>
    <t>Maffra Hospital</t>
  </si>
  <si>
    <t>Maldon Hospital</t>
  </si>
  <si>
    <t>Mercy Health Victoria Ltd</t>
  </si>
  <si>
    <t>Mortlake Day Clinic &amp; Day Care Centre</t>
  </si>
  <si>
    <t>Nathalia District Hospital</t>
  </si>
  <si>
    <t>NCN Health</t>
  </si>
  <si>
    <t>Northeast Health Wangaratta</t>
  </si>
  <si>
    <t>Rawson Community Health Centre</t>
  </si>
  <si>
    <t>Safer Care Victoria</t>
  </si>
  <si>
    <t>Sale Hospital</t>
  </si>
  <si>
    <t>Tandara Caravan Park</t>
  </si>
  <si>
    <t>Terang &amp; Mortlake Community Health Centre</t>
  </si>
  <si>
    <t>Terang Early Parenting Centre</t>
  </si>
  <si>
    <t>Terang Hospital</t>
  </si>
  <si>
    <t>The Royal Dental Hospital of Melbourne</t>
  </si>
  <si>
    <t>Trafalgar Health Care Centre</t>
  </si>
  <si>
    <t>Victorian Institute Of Forensic Mental Health (Forensicare)</t>
  </si>
  <si>
    <t>West Gippsland Healthcare Group</t>
  </si>
  <si>
    <t>West Gippsland Hospital</t>
  </si>
  <si>
    <t>West Wimmera Health Service</t>
  </si>
  <si>
    <t>East Dandenong</t>
  </si>
  <si>
    <t>East Malvern</t>
  </si>
  <si>
    <t>East Richmond</t>
  </si>
  <si>
    <t>Epsom Road</t>
  </si>
  <si>
    <t>Flemington Racecourse</t>
  </si>
  <si>
    <t>General Motors</t>
  </si>
  <si>
    <t>Glen Waverley</t>
  </si>
  <si>
    <t>Jolimont-MCG</t>
  </si>
  <si>
    <t>North Melbourne</t>
  </si>
  <si>
    <t>North Williamstown</t>
  </si>
  <si>
    <t>Stuart Street and Douglas Street</t>
  </si>
  <si>
    <t>Upper Ferntree Gully</t>
  </si>
  <si>
    <t>Column</t>
  </si>
  <si>
    <t>Explanation</t>
  </si>
  <si>
    <t>Do not enter VIC. List the four digits only e.g. 3051</t>
  </si>
  <si>
    <t>Always OWNED unless stated otherwise.</t>
  </si>
  <si>
    <t>Select the frequency of use for this building from the dropdown list provided. Select intermittent breaks for holidays/non-teaching periods within schools/TAFEs, or other similar situations. Ask if unsure.</t>
  </si>
  <si>
    <t>Date of the Inspection Audit. Not the date the report was written.</t>
  </si>
  <si>
    <t>Enter year only ‘1964’ not ‘May 1964’</t>
  </si>
  <si>
    <t>As per Audit Register</t>
  </si>
  <si>
    <t>Pick list dependent on friability. Consider the material that has been used to create the product e.g. cement, vinyl, bitumen.</t>
  </si>
  <si>
    <t>Use the dropdown to explain the material status, which should be listed in your register (Positive, Negative, Assumed Positive or Assumed Negative).</t>
  </si>
  <si>
    <t>If your register does not list the quantity, leave blank. Always round up to the nearest whole number. E.g. ‘2’ not ‘1.7’</t>
  </si>
  <si>
    <t>YES/NO. If YES then enter value in label details.</t>
  </si>
  <si>
    <t>Removed/Assumed Removed?</t>
  </si>
  <si>
    <t>As per Clearance Certificate</t>
  </si>
  <si>
    <t>Additional Information</t>
  </si>
  <si>
    <r>
      <t>DO ENTER:</t>
    </r>
    <r>
      <rPr>
        <sz val="10"/>
        <color rgb="FF00B050"/>
        <rFont val="Calibri"/>
        <family val="2"/>
        <scheme val="minor"/>
      </rPr>
      <t xml:space="preserve"> </t>
    </r>
  </si>
  <si>
    <t>All items that is asbestos or assumed to be asbestos regardless if they have been removed.</t>
  </si>
  <si>
    <t>All items that have a sample number (positive or negative).</t>
  </si>
  <si>
    <r>
      <t>All items that the registers explicitly states “</t>
    </r>
    <r>
      <rPr>
        <i/>
        <sz val="10"/>
        <color theme="1"/>
        <rFont val="Calibri"/>
        <family val="2"/>
        <scheme val="minor"/>
      </rPr>
      <t>assumed/presumed”</t>
    </r>
    <r>
      <rPr>
        <sz val="10"/>
        <color theme="1"/>
        <rFont val="Calibri"/>
        <family val="2"/>
        <scheme val="minor"/>
      </rPr>
      <t xml:space="preserve"> to not contain asbestos.  E.g. Eave lining </t>
    </r>
    <r>
      <rPr>
        <i/>
        <sz val="10"/>
        <color theme="1"/>
        <rFont val="Calibri"/>
        <family val="2"/>
        <scheme val="minor"/>
      </rPr>
      <t>presumed</t>
    </r>
    <r>
      <rPr>
        <sz val="10"/>
        <color theme="1"/>
        <rFont val="Calibri"/>
        <family val="2"/>
        <scheme val="minor"/>
      </rPr>
      <t xml:space="preserve"> to not contain asbestos.</t>
    </r>
  </si>
  <si>
    <t>DO NOT ENTER:</t>
  </si>
  <si>
    <t>Items such as glass, timber, metal, plaster. E.g. Eave lining is timber sheeting.</t>
  </si>
  <si>
    <t>GOLDEN RULES</t>
  </si>
  <si>
    <t>Disturbance Potential</t>
  </si>
  <si>
    <t xml:space="preserve">Specific Item - ACM Name </t>
  </si>
  <si>
    <t>Balustrade</t>
  </si>
  <si>
    <t>Clerestorey Eaves</t>
  </si>
  <si>
    <t>Gatic cover</t>
  </si>
  <si>
    <t>BITUMEN PRODUCTS</t>
  </si>
  <si>
    <t>CEMENT PRODUCTS</t>
  </si>
  <si>
    <t>COATINGS</t>
  </si>
  <si>
    <t>GASKET, FRICTION PRODUCTS AND ADHESIVES</t>
  </si>
  <si>
    <t>INSULATION PRODUCTS</t>
  </si>
  <si>
    <t xml:space="preserve">OTHER </t>
  </si>
  <si>
    <t>REINFORCED PLASTICS/RESINS (EXCLUDING BITUMEN PRODUCTS)</t>
  </si>
  <si>
    <t>Acoustic Pad</t>
  </si>
  <si>
    <t>Ceiling Tiles</t>
  </si>
  <si>
    <t>Adhesive or Glue</t>
  </si>
  <si>
    <t>Calico Wrap</t>
  </si>
  <si>
    <t>Compressed Electrical Panels</t>
  </si>
  <si>
    <t>Cement Flue</t>
  </si>
  <si>
    <t>Contaminated Soil (Friable Debris)</t>
  </si>
  <si>
    <t>Concrete Levelling Compound</t>
  </si>
  <si>
    <t>Cement Pipe</t>
  </si>
  <si>
    <t>Contaminated Soil (Non-friable Debris)</t>
  </si>
  <si>
    <t>Ceramic Fibre</t>
  </si>
  <si>
    <t>Contaminated Carpet Underlay</t>
  </si>
  <si>
    <t>Bitumen Coated Paper</t>
  </si>
  <si>
    <t>Cement Strapping</t>
  </si>
  <si>
    <t>Clutch Plates</t>
  </si>
  <si>
    <t>Contaminated Materials</t>
  </si>
  <si>
    <t>Bitumen Coated Polystyrene</t>
  </si>
  <si>
    <t>Communications Pit</t>
  </si>
  <si>
    <t>Bitumen Coating</t>
  </si>
  <si>
    <t>Compressed Flat Sheeting</t>
  </si>
  <si>
    <t>Dust and Debris</t>
  </si>
  <si>
    <t>Bitumen Washer</t>
  </si>
  <si>
    <t>Electrical Components</t>
  </si>
  <si>
    <t>Textured Coating</t>
  </si>
  <si>
    <t>Electrical Arc Shields</t>
  </si>
  <si>
    <t>Electrical Meters</t>
  </si>
  <si>
    <t>Blackjack (Bitumen Adhesive)</t>
  </si>
  <si>
    <t>Flange Gaskets</t>
  </si>
  <si>
    <t>Electrical Cable Shrouding</t>
  </si>
  <si>
    <t>Fibrous Material</t>
  </si>
  <si>
    <t>Brake Pads</t>
  </si>
  <si>
    <t>Gasket Debris</t>
  </si>
  <si>
    <t>Granular Material</t>
  </si>
  <si>
    <t>Resinous Block</t>
  </si>
  <si>
    <t>Fire Door Core</t>
  </si>
  <si>
    <t>Rubber Products</t>
  </si>
  <si>
    <t>Circuit Breaker</t>
  </si>
  <si>
    <t>Fire Rating Material</t>
  </si>
  <si>
    <t>Fire Brick</t>
  </si>
  <si>
    <t>Stair Nosing</t>
  </si>
  <si>
    <t>Faux Brick Cladding</t>
  </si>
  <si>
    <t>Fireproof Pillows</t>
  </si>
  <si>
    <t>Toilet Cisterns</t>
  </si>
  <si>
    <t>Faux Timber Sheeting</t>
  </si>
  <si>
    <t>Rope or Braided Gasket</t>
  </si>
  <si>
    <t xml:space="preserve">Rope and String </t>
  </si>
  <si>
    <t>Foam Insulation</t>
  </si>
  <si>
    <t>Mineral Fibre Tiles</t>
  </si>
  <si>
    <t>Toilet Seats</t>
  </si>
  <si>
    <t>Flat Sheeting</t>
  </si>
  <si>
    <t>Rubber Gasket</t>
  </si>
  <si>
    <t>Gauze Mats</t>
  </si>
  <si>
    <t>Flue Cap</t>
  </si>
  <si>
    <t>Naturally Occurring</t>
  </si>
  <si>
    <t>Water Tanks</t>
  </si>
  <si>
    <t>Internal Lining</t>
  </si>
  <si>
    <t>Laminated Cement Sheeting</t>
  </si>
  <si>
    <t>Moulded Sheet</t>
  </si>
  <si>
    <t>Insulation Product Dust and Debris</t>
  </si>
  <si>
    <t>Internal Insulation (Suspected)</t>
  </si>
  <si>
    <t>Rainwater Guttering</t>
  </si>
  <si>
    <t>Ridge Capping</t>
  </si>
  <si>
    <t>Pipe Lagging Residues</t>
  </si>
  <si>
    <t>Roof Tiles</t>
  </si>
  <si>
    <t>Loose Fill Insulation</t>
  </si>
  <si>
    <t>Low Density Asbestos Fibre Board (Asbestos Insulated Board)</t>
  </si>
  <si>
    <t>Valley Gutters</t>
  </si>
  <si>
    <t>Sprayed Insulation</t>
  </si>
  <si>
    <r>
      <t xml:space="preserve">CEMENT PRODUCTS </t>
    </r>
    <r>
      <rPr>
        <b/>
        <sz val="11"/>
        <color rgb="FFFF0000"/>
        <rFont val="Calibri"/>
        <family val="2"/>
        <scheme val="minor"/>
      </rPr>
      <t>(F)</t>
    </r>
  </si>
  <si>
    <r>
      <t xml:space="preserve">GASKET, FRICTION PRODUCTS AND ADHESIVES </t>
    </r>
    <r>
      <rPr>
        <b/>
        <sz val="11"/>
        <color rgb="FFFF0000"/>
        <rFont val="Calibri"/>
        <family val="2"/>
        <scheme val="minor"/>
      </rPr>
      <t>(F)</t>
    </r>
  </si>
  <si>
    <r>
      <t xml:space="preserve">INSULATION PRODUCTS </t>
    </r>
    <r>
      <rPr>
        <b/>
        <sz val="11"/>
        <color rgb="FFFF0000"/>
        <rFont val="Calibri"/>
        <family val="2"/>
        <scheme val="minor"/>
      </rPr>
      <t>(F)</t>
    </r>
  </si>
  <si>
    <r>
      <t>OTHER (</t>
    </r>
    <r>
      <rPr>
        <b/>
        <sz val="11"/>
        <color rgb="FFFF0000"/>
        <rFont val="Calibri"/>
        <family val="2"/>
        <scheme val="minor"/>
      </rPr>
      <t>F)</t>
    </r>
  </si>
  <si>
    <t> Docklands studios </t>
  </si>
  <si>
    <t> Factory </t>
  </si>
  <si>
    <t> Polyhouse </t>
  </si>
  <si>
    <t>Hygiene Company Names</t>
  </si>
  <si>
    <t>Registered Company Name</t>
  </si>
  <si>
    <t>A A H Contracting Pty Ltd</t>
  </si>
  <si>
    <t xml:space="preserve">MainCo, MainCo/AAH, MainCo Signals Staff, Mainco Staff
</t>
  </si>
  <si>
    <t>ADE Consulting Group</t>
  </si>
  <si>
    <t>AECOM Australia Pty Ltd</t>
  </si>
  <si>
    <t xml:space="preserve">AECOM, </t>
  </si>
  <si>
    <t>Albury Demolitions Pty Ltd</t>
  </si>
  <si>
    <t>Albury Demolitions/Raising Men</t>
  </si>
  <si>
    <t>Alert Solutions Pty Ltd</t>
  </si>
  <si>
    <t>Alpha Environmental Pty Ltd</t>
  </si>
  <si>
    <t>Alpha environmental</t>
  </si>
  <si>
    <t>AMCOSH Pty Ltd</t>
  </si>
  <si>
    <t>AMCOSH</t>
  </si>
  <si>
    <t>AP Consultants (Aust) Pty Ltd</t>
  </si>
  <si>
    <t>AP CONSULTANTS</t>
  </si>
  <si>
    <t>Applied Occupational Health &amp; Safety Pty Ltd</t>
  </si>
  <si>
    <t>Arnisort Pty Ltd</t>
  </si>
  <si>
    <t>Arnisort</t>
  </si>
  <si>
    <t>Asbestos Audit Pty Ltd</t>
  </si>
  <si>
    <t>Asbestos Audit</t>
  </si>
  <si>
    <t>Assess Control Assure</t>
  </si>
  <si>
    <t>aca</t>
  </si>
  <si>
    <t>AZCOR Consultants Pty Ltd</t>
  </si>
  <si>
    <t>AZCOR Consultants</t>
  </si>
  <si>
    <t>BENSS Australia Pty Ltd</t>
  </si>
  <si>
    <t>Benss, BENSS Australia</t>
  </si>
  <si>
    <t>BMHS PTY LTD</t>
  </si>
  <si>
    <t>BMHS P/L</t>
  </si>
  <si>
    <t>Brent Williams &amp; Associates Pty Ltd</t>
  </si>
  <si>
    <t>BW&amp;A National Building Consultants</t>
  </si>
  <si>
    <t>Bureau Veritas HSE Pty Ltd</t>
  </si>
  <si>
    <t>Bureau Veritas, Bureau Veritas Asset Integrity and Reliability Services Australia Pty Ltd</t>
  </si>
  <si>
    <t>Carters Asbestos Management (Carter Corporation Pty Ltd)</t>
  </si>
  <si>
    <t>Carters Asbestos Management</t>
  </si>
  <si>
    <t>CETEC Pty Ltd</t>
  </si>
  <si>
    <t>CETEC</t>
  </si>
  <si>
    <t>CFA (Self assessed)</t>
  </si>
  <si>
    <t>CFA</t>
  </si>
  <si>
    <t>Cliffside Construction Pty Ltd</t>
  </si>
  <si>
    <t>Cliffside Construction</t>
  </si>
  <si>
    <t>Coffey Services Australia Pty Ltd</t>
  </si>
  <si>
    <t>Coffey</t>
  </si>
  <si>
    <t>DB Safety Management</t>
  </si>
  <si>
    <t>Edge Group Pty Ltd</t>
  </si>
  <si>
    <t>Edge Group</t>
  </si>
  <si>
    <t>Environmental Health Solutions</t>
  </si>
  <si>
    <t>Environmental Health Services</t>
  </si>
  <si>
    <t>EnviroProtect Pty Ltd</t>
  </si>
  <si>
    <t>EnviroProtect</t>
  </si>
  <si>
    <t>ESP Environmental and Safety Professionals</t>
  </si>
  <si>
    <t>Environmental &amp; Safety Professionals, Environmental and Safety Professionals</t>
  </si>
  <si>
    <t>Gippsland Water (Self assessed)</t>
  </si>
  <si>
    <t>Global Asbestos Audits</t>
  </si>
  <si>
    <t>Australia's Premier Asbestos Audit and Register Specialists</t>
  </si>
  <si>
    <t>Greencap Pty Ltd</t>
  </si>
  <si>
    <t>Greenlight Environmental Services Pty Ltd</t>
  </si>
  <si>
    <t>Greenlight</t>
  </si>
  <si>
    <t>Hazard Alert</t>
  </si>
  <si>
    <t>HAZCON Pty Ltd</t>
  </si>
  <si>
    <t>HAZCON, Hazcon Pty :Ltd</t>
  </si>
  <si>
    <t>HSE Australia</t>
  </si>
  <si>
    <t>Health Safety &amp; Environmental Consultants</t>
  </si>
  <si>
    <t>Hunt Environmental Pty Ltd</t>
  </si>
  <si>
    <t xml:space="preserve">Hygienics Pty Ltd </t>
  </si>
  <si>
    <t>Hygienic</t>
  </si>
  <si>
    <t>Identifibre Pty Ltd</t>
  </si>
  <si>
    <t>Identifbre, Identifibre</t>
  </si>
  <si>
    <t>Indoor Environmental Pty Ltd</t>
  </si>
  <si>
    <t>iRisC Pty Ltd</t>
  </si>
  <si>
    <t>Independent Risk Consulting, iRisC</t>
  </si>
  <si>
    <t>Jims Building Inspections</t>
  </si>
  <si>
    <t>Jims Building Services</t>
  </si>
  <si>
    <t>JTA, jta Health, Safety and Noise Specialists, JTA Risk Management</t>
  </si>
  <si>
    <t>Kilpatrick &amp; Associates Pty Ltd</t>
  </si>
  <si>
    <t>KILPATRICK &amp; ASSOC., Kilpatrick &amp; Associates, Kilpatricks</t>
  </si>
  <si>
    <t>LRM Global Pty Ltd</t>
  </si>
  <si>
    <t xml:space="preserve">LRM Global, </t>
  </si>
  <si>
    <t>Mairin OHS&amp;E Consulting Pty Ltd</t>
  </si>
  <si>
    <t>Maiirn, Mairin OHS&amp;E, Mairin OHS &amp; E Consulting, Mairin OHS&amp;E Pty Ltd, mirin</t>
  </si>
  <si>
    <t>NDT Services Group</t>
  </si>
  <si>
    <t>NDT Services</t>
  </si>
  <si>
    <t>Noel Arnold &amp; Associates Pty Ltd</t>
  </si>
  <si>
    <t>Noel Arnold &amp; Associates, Noel Arnold and Associates, Noel Arnold and Associates Pty Ltd</t>
  </si>
  <si>
    <t>Parsons Brinckerhoff</t>
  </si>
  <si>
    <t>Parsons Brinkerhoff</t>
  </si>
  <si>
    <t>Passive Fire Services Group</t>
  </si>
  <si>
    <t>Passive Fire Services</t>
  </si>
  <si>
    <t xml:space="preserve">Premier Safety and Environmental </t>
  </si>
  <si>
    <t>Premier Safety and Environmental Health and Safety Consultants</t>
  </si>
  <si>
    <t>Prensa Pty Ltd</t>
  </si>
  <si>
    <t>Prensa, Prensa - Elaine Feeney</t>
  </si>
  <si>
    <t>Safety Systems Pty Ltd</t>
  </si>
  <si>
    <t>Safety Systems</t>
  </si>
  <si>
    <t>SGS Australia</t>
  </si>
  <si>
    <t>SGS</t>
  </si>
  <si>
    <t>Sinclair Knight Merz</t>
  </si>
  <si>
    <t>BSA/Sinclair Knight Merz</t>
  </si>
  <si>
    <t xml:space="preserve">Southern Cross Environmental Services Pty Ltd </t>
  </si>
  <si>
    <t>SCES</t>
  </si>
  <si>
    <t>Stokes Safety Pty Ltd</t>
  </si>
  <si>
    <t>StrokesSafety</t>
  </si>
  <si>
    <t>VicTrack (Self Assessed)</t>
  </si>
  <si>
    <t>Warrnambool Cemetery Trust (Self Assessed)</t>
  </si>
  <si>
    <t>Warrnambool City Council (Self Assessed)</t>
  </si>
  <si>
    <t>Warrnambool City Council</t>
  </si>
  <si>
    <t>Wellington Shire (Self Assessed)</t>
  </si>
  <si>
    <t xml:space="preserve">Wellington Shire </t>
  </si>
  <si>
    <t>Williams Asbestos Solutions Pty Ltd</t>
  </si>
  <si>
    <t>William Asbestos Solutions Pty Ltd</t>
  </si>
  <si>
    <t>Wynsafe OHS</t>
  </si>
  <si>
    <t>Yarra Trams (Self Assessed)</t>
  </si>
  <si>
    <t>Yarra Trams</t>
  </si>
  <si>
    <t xml:space="preserve">Previously known as/Also referred to as </t>
  </si>
  <si>
    <t>If applicable, where provided - enter the common name given to the location of the buildings.</t>
  </si>
  <si>
    <t>2021 BUILDING ASBESTOS REGISTER</t>
  </si>
  <si>
    <t>A. G. Leech  Kindergarten (Reserve ID: 615577)</t>
  </si>
  <si>
    <t>Adelaide Lead Public Hall (Reserve ID: 615899)</t>
  </si>
  <si>
    <t>Albert Park Reserve  Warrnambool (Reserve ID: 304355)</t>
  </si>
  <si>
    <t>Access Services For Koories Ltd</t>
  </si>
  <si>
    <t>Albert Roy Reserve (Reserve ID: 607960)</t>
  </si>
  <si>
    <t>Alex &amp; Jemima McDonald Community Centre (Reserve ID: 503039)</t>
  </si>
  <si>
    <t>Alex Beaton Reserve (Reserve ID: 1204176)</t>
  </si>
  <si>
    <t>Alexandra Mechanics Institute (Reserve ID: 902591)</t>
  </si>
  <si>
    <t>Alexandra Senior Citizens Hall (Reserve ID: 902643)</t>
  </si>
  <si>
    <t>Alma Park East and West (Reserve ID: 1204597)</t>
  </si>
  <si>
    <t>Alton Gardens Reserve (Reserve ID: 606755)</t>
  </si>
  <si>
    <t>Altona Coastal Park (Reserve ID: 1204547)</t>
  </si>
  <si>
    <t>ANARI Shed</t>
  </si>
  <si>
    <t>Apex Park (Reserve ID: 2018203)</t>
  </si>
  <si>
    <t>Apex Park Reserve (Reserve ID: 1104662)</t>
  </si>
  <si>
    <t>Apollo Bay Port Foreshore Reserve (Reserve ID: 513233)</t>
  </si>
  <si>
    <t>Ararat Municipal &amp; Pub Offices Reserve (Reserve ID: 505297)</t>
  </si>
  <si>
    <t>Arch Brown Reserve (Reserve ID: 1201488)</t>
  </si>
  <si>
    <t>Avoca Golf Club Reserve (Reserve ID: 615570)</t>
  </si>
  <si>
    <t>Avoca Town Hall (Reserve ID: 615808)</t>
  </si>
  <si>
    <t>Baarmutha Park Reserve (Reserve ID: 1104495)</t>
  </si>
  <si>
    <t>Bacchus Marsh Pre-School Centre</t>
  </si>
  <si>
    <t>Bailey Reserve (Reserve ID: 1204302)</t>
  </si>
  <si>
    <t>Bairnsdale Kindergarten Reserve (Reserve ID: 1601970)</t>
  </si>
  <si>
    <t>Bairnsdale Public Park &amp; Rec Res (Pool) (Reserve ID: 1601952)</t>
  </si>
  <si>
    <t>Bairnsdale Shire Hall Res (Art Gallery) (Reserve ID: 1602099)</t>
  </si>
  <si>
    <t>Baringhup Public Hall (Reserve ID: 607110)</t>
  </si>
  <si>
    <t>Barkly Square (Reserve ID: 615994)</t>
  </si>
  <si>
    <t>Barrack Recreation Reserve (Reserve ID: 606625)</t>
  </si>
  <si>
    <t>Barwon Heads Village Park (Reserve ID: 701583)</t>
  </si>
  <si>
    <t>Sunraysia Industry Development Committee</t>
  </si>
  <si>
    <t>Baxter Park (Baxter's Flat) Reserve (Reserve ID: 1204282)</t>
  </si>
  <si>
    <t>Bayside Town Hall (Reserve ID: 2013434)</t>
  </si>
  <si>
    <t>Bayswater Community Reserve (Reserve ID: 1204405)</t>
  </si>
  <si>
    <t>Beach Dressing Pavilion Site (Reserve ID: 1204534)</t>
  </si>
  <si>
    <t>Beaufort Swimming Pool Drainage Plant (Reserve ID: 503025)</t>
  </si>
  <si>
    <t>Beechworth Historical Precinct (Reserve ID: 2006332)</t>
  </si>
  <si>
    <t>Bellbrae Recreation Reserve (Reserve ID: 702277)</t>
  </si>
  <si>
    <t>Bellbrae Town Hall (Reserve ID: 700252)</t>
  </si>
  <si>
    <t>Belmont Common (Reserve ID: 702366)</t>
  </si>
  <si>
    <t>Belmont Park Reserve (Reserve ID: 702213)</t>
  </si>
  <si>
    <t>Belmont Traffic Island Reserve (Reserve ID: 704776)</t>
  </si>
  <si>
    <t>Belvedere Reserve (Reserve ID: 2023692)</t>
  </si>
  <si>
    <t>Bemm River Camping Reserve (Reserve ID: 1604190)</t>
  </si>
  <si>
    <t>Benalla Recreation Reserve (Reserve ID: 802622)</t>
  </si>
  <si>
    <t>Benambra Memorial Recreation Reserve Inc</t>
  </si>
  <si>
    <t>Bendigo Aerodrome (Reserve ID: 606853)</t>
  </si>
  <si>
    <t>Bendigo Chinese Gardens Reserve (Reserve ID: 617714)</t>
  </si>
  <si>
    <t>Bendigo Kindergarten Reserve (Myrtle St) (Reserve ID: 607192)</t>
  </si>
  <si>
    <t>Bendigo Library (Reserve ID: 606906)</t>
  </si>
  <si>
    <t>Bendigo Municipal Depot (Reserve ID: 607268)</t>
  </si>
  <si>
    <t>Bendigo Town Hall (Reserve ID: 607582)</t>
  </si>
  <si>
    <t>Bgo. East Swimming Pool &amp; Bowling Club (Reserve ID: 609604)</t>
  </si>
  <si>
    <t>Bonegilla Migrant Reception Centre Muse (Reserve ID: 2012097)</t>
  </si>
  <si>
    <t>Central Highlands Rural Health</t>
  </si>
  <si>
    <t>Boolarra Pre-School Centre (Reserve ID: 1510523)</t>
  </si>
  <si>
    <t>Boolarra Public Park &amp; Rec Reserve (Reserve ID: 1510246)</t>
  </si>
  <si>
    <t>Boort Historic Reserve (Old Courthouse) (Reserve ID: 606863)</t>
  </si>
  <si>
    <t>Booval Park - Warrnambool (Reserve ID: 304433)</t>
  </si>
  <si>
    <t>Bowen Crescent Plantation &amp; Garden Res. (Reserve ID: 1204315)</t>
  </si>
  <si>
    <t>Bowenvale Public Recreation Reserve (Reserve ID: 615726)</t>
  </si>
  <si>
    <t>Bower Street Res (Hockey Fields), Orbost (Reserve ID: 1604178)</t>
  </si>
  <si>
    <t>Bradshaw Reserve (Reserve ID: 1204231)</t>
  </si>
  <si>
    <t>Brennan Park Swimming Pool (Reserve ID: 607188)</t>
  </si>
  <si>
    <t>Briagolong Quarry Reserve (Reserve ID: 1511487)</t>
  </si>
  <si>
    <t>Briagolong Recreation Reserve (Reserve ID: 1504488)</t>
  </si>
  <si>
    <t>Bridgewater Mech. Inst. &amp; Free Library (Reserve ID: 606763)</t>
  </si>
  <si>
    <t>Brighton Beach Oval (Reserve ID: 1204227)</t>
  </si>
  <si>
    <t>Brighton Foreshore (Reserve ID: 1204177)</t>
  </si>
  <si>
    <t>Broadford Caravan Park - Lions Park (Reserve ID: 902609)</t>
  </si>
  <si>
    <t>Broadford Reserve Taken Out Of Common (Reserve ID: 2019204)</t>
  </si>
  <si>
    <t>Browns Reserve (Reserve ID: 1204696)</t>
  </si>
  <si>
    <t>Bruce Park (Reserve ID: 1204261)</t>
  </si>
  <si>
    <t>Brunswick Mechanics Inst &amp; Public Hall (Reserve ID: 1204531)</t>
  </si>
  <si>
    <t>Brushy Park / Hughes Park (Reserve ID: 1201510)</t>
  </si>
  <si>
    <t>Bruthen Kindergarten Reserve (Reserve ID: 1601993)</t>
  </si>
  <si>
    <t>Bucknall Reserve (Reserve ID: 615777)</t>
  </si>
  <si>
    <t>Creswick Health</t>
  </si>
  <si>
    <t>Cudgewa (Wabba) Cemetery Trust</t>
  </si>
  <si>
    <t>Bundoora Park (Reserve ID: 1204406)</t>
  </si>
  <si>
    <t>Culgoa (Kaniera) Cemetery Trust</t>
  </si>
  <si>
    <t>Burnley Street Depot (Reserve ID: 1204976)</t>
  </si>
  <si>
    <t>Bushfield Recreation Reserve (Reserve ID: 303965)</t>
  </si>
  <si>
    <t>Calembeen Park - Creswick (Reserve ID: 505929)</t>
  </si>
  <si>
    <t>Californian Gully Kindergarten Reserve (Reserve ID: 615623)</t>
  </si>
  <si>
    <t>Daylesford Health</t>
  </si>
  <si>
    <t>Camberwell Civic Centre (Reserve ID: 1204615)</t>
  </si>
  <si>
    <t>Camp Hill Recreation Reserve - Beaufort (Reserve ID: 505578)</t>
  </si>
  <si>
    <t>Camp Reserve (Castlemaine Sportsground) (Reserve ID: 611545)</t>
  </si>
  <si>
    <t>Campbell Street Reserve</t>
  </si>
  <si>
    <t>Campbells Creek Recreation Reserve (Reserve ID: 608473)</t>
  </si>
  <si>
    <t>Dhauwurd-Wurrung Portland and District Aboriginal Community Health Service Inc</t>
  </si>
  <si>
    <t>Camperdown Community Centre (Reserve ID: 2003707)</t>
  </si>
  <si>
    <t>Camperdown Shire Hall &amp; Offices (Reserve ID: 511920)</t>
  </si>
  <si>
    <t>Camperdown Swimming Pool Reserve (Reserve ID: 512184)</t>
  </si>
  <si>
    <t>Cann River Caravan Park (Reserve ID: 1604160)</t>
  </si>
  <si>
    <t>Cannons Creek Comunity Building Reserve (Reserve ID: 2012573)</t>
  </si>
  <si>
    <t>Canterbury Park Sports Ground (Reserve ID: 606769)</t>
  </si>
  <si>
    <t>Glenburn CFA Fire Siren</t>
  </si>
  <si>
    <t>Carey St Kindergarten (Reserve ID: 505302)</t>
  </si>
  <si>
    <t>Carisbrook Leisure Centre (Reserve ID: 615644)</t>
  </si>
  <si>
    <t>Carisbrook Public Park  Rec Res. &amp; Depot (Reserve ID: 615781)</t>
  </si>
  <si>
    <t>Carisbrook Recreation Reserve (Reserve ID: 615788)</t>
  </si>
  <si>
    <t>Carisbrook Town Hall (Reserve ID: 615795)</t>
  </si>
  <si>
    <t>Casterton Public Toilets (Reserve ID: 304321)</t>
  </si>
  <si>
    <t>Castlemaine Caravan Park (Reserve ID: 613631)</t>
  </si>
  <si>
    <t>Castlemaine Public Library (Reserve ID: 607139)</t>
  </si>
  <si>
    <t>Cato Park Recreation Reserve (Reserve ID: 203225)</t>
  </si>
  <si>
    <t>Caulfield Park &amp; Gardens (Reserve ID: 1204152)</t>
  </si>
  <si>
    <t>Centenary Oval Coca Cola Complex (Reserve ID: 606910)</t>
  </si>
  <si>
    <t>Centenary Park Golf Course (Reserve ID: 1204411)</t>
  </si>
  <si>
    <t>Central Deborah Tourist Mine (Reserve ID: 607451)</t>
  </si>
  <si>
    <t>Central Park, Stawell-Public Recreation (Reserve ID: 203129)</t>
  </si>
  <si>
    <t>Challenger Street Reserve</t>
  </si>
  <si>
    <t>Chatsworth Pre-School Reserve (Reserve ID: 304151)</t>
  </si>
  <si>
    <t>Chelsea Foreshore Reserve (Reserve ID: 1204330)</t>
  </si>
  <si>
    <t>Cheltenham Park (Reserve ID: 1204656)</t>
  </si>
  <si>
    <t>Cheltenham Public Hall (Reserve ID: 1204347)</t>
  </si>
  <si>
    <t>Cheltenham Recreation Reserve (Reserve ID: 1204314)</t>
  </si>
  <si>
    <t>Chiltern Park Lake Anderson Caravan Park (Reserve ID: 1104651)</t>
  </si>
  <si>
    <t>Chiltern Public Hall (Reserve ID: 1105976)</t>
  </si>
  <si>
    <t>Chiltern Shire Hall &amp; Office (Reserve ID: 1106062)</t>
  </si>
  <si>
    <t>Chiltern Town Hall Athenaeum (Reserve ID: 1105969)</t>
  </si>
  <si>
    <t>Churchill Street Recreation Reserve (Reserve ID: 615725)</t>
  </si>
  <si>
    <t>City of Kew Depot (Reserve ID: 1204467)</t>
  </si>
  <si>
    <t>CJ Dennis - Toolangi Public Hall Reserve (Reserve ID: 902271)</t>
  </si>
  <si>
    <t>Clunes Town Hall &amp; Courthouse (Reserve ID: 615823)</t>
  </si>
  <si>
    <t>Coal Creek Historic Park (Part) (Reserve ID: 1510369)</t>
  </si>
  <si>
    <t>Cobden Golf Club Incorporated</t>
  </si>
  <si>
    <t>Cobden Public Park &amp; Swimming Pool (Reserve ID: 511826)</t>
  </si>
  <si>
    <t>Coburg Town Hall  Offices &amp; Library (Reserve ID: 1204650)</t>
  </si>
  <si>
    <t>Cockatoo Homes For The Aged (Reserve ID: 1201915)</t>
  </si>
  <si>
    <t>COGG Council Operations Centre (Reserve ID: 702062)</t>
  </si>
  <si>
    <t>Colac Botanical Gardens Reserve (Reserve ID: 511880)</t>
  </si>
  <si>
    <t>Community Centre Reserve (Reserve ID: 102837)</t>
  </si>
  <si>
    <t>Great Ocean Road Health</t>
  </si>
  <si>
    <t>Cooper Park &amp; Playground Reserve (Reserve ID: 1204351)</t>
  </si>
  <si>
    <t>Corio Bay Foreshore - North Geelong (Reserve ID: 2014424)</t>
  </si>
  <si>
    <t>Coulson and Knotts Reserves (Reserve ID: 1204163)</t>
  </si>
  <si>
    <t>Coventry Reserve</t>
  </si>
  <si>
    <t>Cowes Caravan Park (Reserve ID: 1201928)</t>
  </si>
  <si>
    <t>Cowes Municipal Offices &amp; Civic Centre (Reserve ID: 1202363)</t>
  </si>
  <si>
    <t>Cranbourne Senior Citizens Community Cen (Reserve ID: 1203631)</t>
  </si>
  <si>
    <t>Creswick Creek Reserve, Clunes (Reserve ID: 2016248)</t>
  </si>
  <si>
    <t>Creswick Mechanics Institute Reserve (Reserve ID: 505939)</t>
  </si>
  <si>
    <t>Creswick Pre-School Centre (Reserve ID: 506552)</t>
  </si>
  <si>
    <t>Crib Point Recreation Reserve (Reserve ID: 1201989)</t>
  </si>
  <si>
    <t>Cross Landing - Lake Tyers PR Reserve (Reserve ID: 1601512)</t>
  </si>
  <si>
    <t>Croydon Municipal Buildings Reserve (Reserve ID: 1204969)</t>
  </si>
  <si>
    <t>Darling Gardens (Reserve ID: 1204208)</t>
  </si>
  <si>
    <t>David MacFarlane Reserve (Reserve ID: 1201479)</t>
  </si>
  <si>
    <t>Davis Park Reserve (Reserve ID: 203157)</t>
  </si>
  <si>
    <t>Daylesford Municipal Offices Reserve (Reserve ID: 512714)</t>
  </si>
  <si>
    <t>De Chene Reserve (Reserve ID: 1204168)</t>
  </si>
  <si>
    <t>Deer Park Hall (Reserve ID: 1204701)</t>
  </si>
  <si>
    <t>Dereel Public Hall Reserve (Reserve ID: 503023)</t>
  </si>
  <si>
    <t>Digman Reserve (Reserve ID: 1204155)</t>
  </si>
  <si>
    <t>Dimboola Rec Reserve &amp; Caravan Park (Reserve ID: 203130)</t>
  </si>
  <si>
    <t>Doug Grant Reserve (Reserve ID: 1204720)</t>
  </si>
  <si>
    <t>Dower Park Recreation Reserve (Reserve ID: 606643)</t>
  </si>
  <si>
    <t>Dowton Park Recreation Reserve -Yarragon (Reserve ID: 1504345)</t>
  </si>
  <si>
    <t>Drewan Park (Reserve ID: 700276)</t>
  </si>
  <si>
    <t>Dromana Public Recreation Reserve (Reserve ID: 1201977)</t>
  </si>
  <si>
    <t>Kooweerup Regional Health Service</t>
  </si>
  <si>
    <t>Dromana Scout &amp; Guide Hall (Reserve ID: 1201523)</t>
  </si>
  <si>
    <t>Drouin Infant Welfare Centre (Reserve ID: 1504356)</t>
  </si>
  <si>
    <t>Drysdale Old Court House Museum (Reserve ID: 704055)</t>
  </si>
  <si>
    <t>Drysdale Park &amp; Recreation Reserve (Reserve ID: 701801)</t>
  </si>
  <si>
    <t>Duncan Mackinnon Reserve (Reserve ID: 1204274)</t>
  </si>
  <si>
    <t>Dunkeld Kindergarten (Reserve ID: 304142)</t>
  </si>
  <si>
    <t>E.J Bastow Oval (Reserve ID: 1204635)</t>
  </si>
  <si>
    <t>Eagle Point Recreation &amp; Public Park (Reserve ID: 1601947)</t>
  </si>
  <si>
    <t>Eaglehawk Senior Citizens Clubrooms (Reserve ID: 607378)</t>
  </si>
  <si>
    <t>Eaglehawk Town Hall (Reserve ID: 607158)</t>
  </si>
  <si>
    <t>East Caulfield Reserve (Reserve ID: 1204150)</t>
  </si>
  <si>
    <t>East Loddon Shire Hall and Offices (Reserve ID: 607113)</t>
  </si>
  <si>
    <t>Edinburgh Gardens (Reserve ID: 1204156)</t>
  </si>
  <si>
    <t>Ellimatta Recreation Reserve (Anglesea) (Reserve ID: 512150)</t>
  </si>
  <si>
    <t>Elliminyt Recreation Reserve (Reserve ID: 511841)</t>
  </si>
  <si>
    <t>Elphinstone Recreation Reserve Inc (Reserve ID: 606620)</t>
  </si>
  <si>
    <t>Elsternwick Park (Reserve ID: 1204259)</t>
  </si>
  <si>
    <t>Elwood Child Care Centre</t>
  </si>
  <si>
    <t>Emerald Library Reserve (Reserve ID: 2014400)</t>
  </si>
  <si>
    <t>Guthridge Primary School</t>
  </si>
  <si>
    <t>Epping Recreation Reserve (Reserve ID: 1205013)</t>
  </si>
  <si>
    <t>Epsom-Huntly Pre-School Centre (Reserve ID: 609596)</t>
  </si>
  <si>
    <t>Eric Taylor Reserve (Reserve ID: 1504483)</t>
  </si>
  <si>
    <t>Esplanade Public Park (Reserve ID: 1204194)</t>
  </si>
  <si>
    <t>Essendon Cricket Ground (Windy Hill) (Reserve ID: 1204149)</t>
  </si>
  <si>
    <t>Essendon Elderly Peoples Reserve (Reserve ID: 1204184)</t>
  </si>
  <si>
    <t>Essendon Shire Offices (Reserve ID: 1204363)</t>
  </si>
  <si>
    <t>Etty Street Kindergarten Reserve (Reserve ID: 607354)</t>
  </si>
  <si>
    <t>Fairfield Park (Reserve ID: 1204166)</t>
  </si>
  <si>
    <t>Fearon Reserve (Reserve ID: 2007571)</t>
  </si>
  <si>
    <t>Felltimber Creek Reserve (Reserve ID: 2012442)</t>
  </si>
  <si>
    <t>Flagstaff Hill - Warrnambool (Reserve ID: 305059)</t>
  </si>
  <si>
    <t>Flinders Foreshore (Reserve ID: 1202503)</t>
  </si>
  <si>
    <t>Flinders Mechanics Institute Reserve (Reserve ID: 1201505)</t>
  </si>
  <si>
    <t>Flinders Park - Portland (Reserve ID: 304731)</t>
  </si>
  <si>
    <t>Flinders Recreation Reserve (Reserve ID: 1201501)</t>
  </si>
  <si>
    <t>Footscray Arts and Community Centre (Reserve ID: 2001884)</t>
  </si>
  <si>
    <t>Footscray Park (Reserve ID: 1204172)</t>
  </si>
  <si>
    <t>Footscray Recreation Reserve (Reserve ID: 1204237)</t>
  </si>
  <si>
    <t>Footscray Town Hall &amp; Municipal Offices (Reserve ID: 1205925)</t>
  </si>
  <si>
    <t>Former Eltham Court House (Reserve ID: 1204674)</t>
  </si>
  <si>
    <t>Mildura Base Public Hospital</t>
  </si>
  <si>
    <t>Former Epa Testing Site Reserve (Reserve ID: 1204520)</t>
  </si>
  <si>
    <t>Former Infant Welfare Centre (Reserve ID: 2016527)</t>
  </si>
  <si>
    <t>Mildura Health Private Hospital</t>
  </si>
  <si>
    <t>Former Inglewood Court House (Reserve ID: 609949)</t>
  </si>
  <si>
    <t>Former Woodend Court House (Reserve ID: 702018)</t>
  </si>
  <si>
    <t>Foster Swimming Pool</t>
  </si>
  <si>
    <t>Four Seasons Lodge</t>
  </si>
  <si>
    <t>Frankston Civic Centre (Reserve ID: 1204373)</t>
  </si>
  <si>
    <t>Frankston East Public Hall (Reserve ID: 1204277)</t>
  </si>
  <si>
    <t>Frankston Foreshore (Reserve ID: 1204263)</t>
  </si>
  <si>
    <t>Frankston Hall &amp; Library Reserve (Reserve ID: 1204171)</t>
  </si>
  <si>
    <t>Frankston Nth Public Park &amp; Rec Reserve (Reserve ID: 2013357)</t>
  </si>
  <si>
    <t>Frankston Oval (Reserve ID: 1204980)</t>
  </si>
  <si>
    <t>Fraser, Johns &amp; Part Of Dunstan Reserves (Reserve ID: 1204376)</t>
  </si>
  <si>
    <t>Prahran Divisional Headquarters</t>
  </si>
  <si>
    <t>Friendly Societies Park Recreation Res (Reserve ID: 304362)</t>
  </si>
  <si>
    <t>Fryerstown Community Reserve Committee</t>
  </si>
  <si>
    <t>Gardens Caravan Park  Port Fairy (Reserve ID: 304190)</t>
  </si>
  <si>
    <t>Gasworks Park (Reserve ID: 1204562)</t>
  </si>
  <si>
    <t>Geelong Eastern Beach Recreation Reserve (Reserve ID: 701849)</t>
  </si>
  <si>
    <t>Geelong Eastern Park &amp; Botanical Gardens (Reserve ID: 702334)</t>
  </si>
  <si>
    <t>Geelong Municipal Purposes Reserve (Reserve ID: 702003)</t>
  </si>
  <si>
    <t>Geelong Waterfront And Marina Reserve (Reserve ID: 2001272)</t>
  </si>
  <si>
    <t>Raymond Island CFA Fire Station</t>
  </si>
  <si>
    <t>Geelong West Oval Reserve (Reserve ID: 701941)</t>
  </si>
  <si>
    <t>George Pentland Botanical Gardens (Reserve ID: 1204325)</t>
  </si>
  <si>
    <t>Giffard West Hall Reserve Committee Of Management Incorporated</t>
  </si>
  <si>
    <t>Gipps Lakes F'Shre Res(Mtg/Mosq/Nun) (Reserve ID: 1601957)</t>
  </si>
  <si>
    <t>Gisborne Cricket &amp; Recreation Reserve (Reserve ID: 701764)</t>
  </si>
  <si>
    <t>Gisborne Mechanics Institute Reserve (Reserve ID: 701827)</t>
  </si>
  <si>
    <t>Glen Cromie Park (Reserve ID: 1506759)</t>
  </si>
  <si>
    <t>Glen Huntly Park (Reserve ID: 1204402)</t>
  </si>
  <si>
    <t>Rochester CFA Fire Station</t>
  </si>
  <si>
    <t>Rockbank CFA Fire Station</t>
  </si>
  <si>
    <t>Rokewood CFA Fire Station</t>
  </si>
  <si>
    <t>Glenlyon Racecourse &amp; Recreation Reserve (Reserve ID: 512644)</t>
  </si>
  <si>
    <t>Romsey CFA Fire Station</t>
  </si>
  <si>
    <t>Ruffy CFA Fire Station</t>
  </si>
  <si>
    <t>Rupanyup CFA Fire Station</t>
  </si>
  <si>
    <t>Golden Square Elderly Citizens Centre. (Reserve ID: 607116)</t>
  </si>
  <si>
    <t>Rushworth CFA Fire Station</t>
  </si>
  <si>
    <t>Goldfields Water Supply &amp; Rec. Reserve (Reserve ID: 502985)</t>
  </si>
  <si>
    <t>Rye CFA Fire Station</t>
  </si>
  <si>
    <t>Gordon Gardens Recreation Reserve (Reserve ID: 606919)</t>
  </si>
  <si>
    <t>Sale CFA Fire Station</t>
  </si>
  <si>
    <t>Gordon Street Reserve (Reserve ID: 1504514)</t>
  </si>
  <si>
    <t>Samaria CFA Fire Station</t>
  </si>
  <si>
    <t>San Remo CFA Fire Station</t>
  </si>
  <si>
    <t>Sandy Point CFA Fire Station</t>
  </si>
  <si>
    <t>Goroke Kindergarten (Pre-school reserve) (Reserve ID: 203097)</t>
  </si>
  <si>
    <t>Scoresby CFA Fire Station</t>
  </si>
  <si>
    <t>Sebastapol CFA Fire Station</t>
  </si>
  <si>
    <t>Sedgwick CFA Fire Station</t>
  </si>
  <si>
    <t>Selby CFA Fire Station</t>
  </si>
  <si>
    <t>Serpentine CFA Fire Station</t>
  </si>
  <si>
    <t>Seville CFA Fire Station</t>
  </si>
  <si>
    <t>Seymour CFA Fire Station</t>
  </si>
  <si>
    <t>Seymour District CFA Maintenance Office</t>
  </si>
  <si>
    <t>Greaves Reserve - Recreation &amp; Showyards (Reserve ID: 1204388)</t>
  </si>
  <si>
    <t>Shoreham CFA Fire Station</t>
  </si>
  <si>
    <t>Pannoo-bamawm Cemetery Trust</t>
  </si>
  <si>
    <t>Smeaton CFA Fire Station</t>
  </si>
  <si>
    <t>Grovedale Recreation Reserve (Reserve ID: 701643)</t>
  </si>
  <si>
    <t>Smythesdale CFA Fire Station</t>
  </si>
  <si>
    <t>Snake Valley CFA Fire Station</t>
  </si>
  <si>
    <t>Somers CFA Fire Station</t>
  </si>
  <si>
    <t>Somerville CFA Fire Station</t>
  </si>
  <si>
    <t>Sorrento CFA Fire Station</t>
  </si>
  <si>
    <t>H.P Zwar Reserve (Reserve ID: 1204381)</t>
  </si>
  <si>
    <t>Hadfield Park - Wallan (Reserve ID: 904075)</t>
  </si>
  <si>
    <t>South Lillimur CFA Fire Station</t>
  </si>
  <si>
    <t>Halls Gap Public Hall Reserve (Reserve ID: 203375)</t>
  </si>
  <si>
    <t>Hamilton Botanical Gardens (Reserve ID: 304079)</t>
  </si>
  <si>
    <t>South Warrandyte CFA Fire Station</t>
  </si>
  <si>
    <t>Hamilton Indoor Leisure &amp; Aquatic Centre (Reserve ID: 2015047)</t>
  </si>
  <si>
    <t>Hamilton Showgrounds (Reserve ID: 304083)</t>
  </si>
  <si>
    <t>St Andrews CFA Fire Station</t>
  </si>
  <si>
    <t>Hanging Rock Reserve (Reserve ID: 701713)</t>
  </si>
  <si>
    <t>Hanlon Park - Portland (Reserve ID: 304220)</t>
  </si>
  <si>
    <t>Hannah Watts Park (Melton Rec Res) (Reserve ID: 704470)</t>
  </si>
  <si>
    <t>Hanns Creek Reserve (Reserve ID: 1201514)</t>
  </si>
  <si>
    <t>Hansen Reserve (Reserve ID: 1204290)</t>
  </si>
  <si>
    <t>St Leonards CFA Fire Station</t>
  </si>
  <si>
    <t>Harcourt Recreation Reserve</t>
  </si>
  <si>
    <t>Stanley CFA Fire Station</t>
  </si>
  <si>
    <t>Harley Hammond Reserve (Reserve ID: 902552)</t>
  </si>
  <si>
    <t>Harold Barr Reserve (Reserve ID: 1104660)</t>
  </si>
  <si>
    <t>Stoneleigh CFA Fire Station</t>
  </si>
  <si>
    <t>Stratford CFA Fire Station</t>
  </si>
  <si>
    <t>Harry Clues Memorial Park (Reserve ID: 1601531)</t>
  </si>
  <si>
    <t>Strathbogie CFA Fire Station</t>
  </si>
  <si>
    <t>Harry Pottage Res &amp; Banyule YMCA (Reserve ID: 1204433)</t>
  </si>
  <si>
    <t>Hastings Foreshore Reserve (Reserve ID: 1201955)</t>
  </si>
  <si>
    <t>Strathfieldsaye CFA Fire Station</t>
  </si>
  <si>
    <t>Hastings Park (Reserve ID: 1201487)</t>
  </si>
  <si>
    <t>Haven Public Hall Reserve (Reserve ID: 201014)</t>
  </si>
  <si>
    <t>Strathmerton CFA Fire Station</t>
  </si>
  <si>
    <t>Hawkesdale Water Supply &amp; Recreation Res (Reserve ID: 304183)</t>
  </si>
  <si>
    <t>Swan Hill CFA DMO</t>
  </si>
  <si>
    <t>Healesville Sanctuary</t>
  </si>
  <si>
    <t>Swan Hill CFA Fire Station</t>
  </si>
  <si>
    <t>Heathcote Comfort Station Reserve (Reserve ID: 609744)</t>
  </si>
  <si>
    <t>Heathcote Court House (Reserve ID: 607187)</t>
  </si>
  <si>
    <t>Heathcote Infant Welfare Centre (Reserve ID: 606889)</t>
  </si>
  <si>
    <t>Swifts Creek CFA Fire Station</t>
  </si>
  <si>
    <t>Talbot CFA Fire Station</t>
  </si>
  <si>
    <t>Heidelberg Park - Warringal Parklands (Reserve ID: 1204215)</t>
  </si>
  <si>
    <t>Heidelberg Public Park (Reserve ID: 1204715)</t>
  </si>
  <si>
    <t>Henty Park - Portland (Reserve ID: 304222)</t>
  </si>
  <si>
    <t>Tallangatta Valley CFA Fire Station</t>
  </si>
  <si>
    <t>Hepburn Mineral Springs Reserve (Reserve ID: 512662)</t>
  </si>
  <si>
    <t>Tallarook CFA Fire Station</t>
  </si>
  <si>
    <t>Hesse Street Recreation Reserve (Reserve ID: 511835)</t>
  </si>
  <si>
    <t>Taminick CFA Fire Station</t>
  </si>
  <si>
    <t>Heyfield Swimming Pool Reserve (Reserve ID: 1504434)</t>
  </si>
  <si>
    <t>Tarnagulla CFA Fire Station</t>
  </si>
  <si>
    <t>Tarranyurk CFA Fire Station</t>
  </si>
  <si>
    <t>Tarrayoukyan CFA Fire Station</t>
  </si>
  <si>
    <t>Tarrington CFA Fire Station</t>
  </si>
  <si>
    <t>Horseshoe Apartments</t>
  </si>
  <si>
    <t>Tarwin Lower CFA Fire Station</t>
  </si>
  <si>
    <t>Horsham Basketball Stadium (Reserve ID: 203145)</t>
  </si>
  <si>
    <t>Horsham Botanical Garden &amp; Caravan Park (Reserve ID: 203144)</t>
  </si>
  <si>
    <t>Tatong CFA Fire Station</t>
  </si>
  <si>
    <t>Horsham City Oval Reserve (Reserve ID: 203132)</t>
  </si>
  <si>
    <t>Tatura CFA Fire Station</t>
  </si>
  <si>
    <t>Horsham Municipal Offices - Civic Centre (Reserve ID: 204844)</t>
  </si>
  <si>
    <t>Horsham Racecourse Reserve (Reserve ID: 203148)</t>
  </si>
  <si>
    <t>Horsham Scout &amp; Guide Hall Croquet Club (Reserve ID: 206376)</t>
  </si>
  <si>
    <t>Teesdale CFA Fire Station</t>
  </si>
  <si>
    <t>Hot Pools Metung (Reserve ID: 1601537)</t>
  </si>
  <si>
    <t>Tempy CFA Fire Station</t>
  </si>
  <si>
    <t>Howard Glover Reserve (Reserve ID: 702207)</t>
  </si>
  <si>
    <t>Howman's Gap Accommodation Building</t>
  </si>
  <si>
    <t>Terang CFA Fire Station</t>
  </si>
  <si>
    <t>Huntly Recreation Reserve (Reserve ID: 606586)</t>
  </si>
  <si>
    <t>Indented Heads Foreshore Reserve</t>
  </si>
  <si>
    <t>Infant Welfare Centre (Reserve ID: 102803)</t>
  </si>
  <si>
    <t>Terip Terip CFA Fire Station</t>
  </si>
  <si>
    <t>Thoona CFA Fire Station</t>
  </si>
  <si>
    <t>Inner Circle Railway Linear Park (Reserve ID: 1205493)</t>
  </si>
  <si>
    <t>Island Park - Casterton (Reserve ID: 304066)</t>
  </si>
  <si>
    <t>Toolern Vale CFA Fire Station</t>
  </si>
  <si>
    <t>J L Murphy Recreation Reserve (Reserve ID: 1204331)</t>
  </si>
  <si>
    <t>J. Grut Reserve (Reserve ID: 1204185)</t>
  </si>
  <si>
    <t>Toomuc CFA Fire Station</t>
  </si>
  <si>
    <t>Jackson Reserve (Reserve ID: 1204193)</t>
  </si>
  <si>
    <t>Toongabbie CFA Fire Station</t>
  </si>
  <si>
    <t>Jaycee Park (Reserve ID: 802608)</t>
  </si>
  <si>
    <t>Jd Clifford Recreation Reserve, Macedon (Reserve ID: 702307)</t>
  </si>
  <si>
    <t>Tooradin CFA Fire Station</t>
  </si>
  <si>
    <t>Jemmys Point Public Purposes Reserve (Reserve ID: 1602022)</t>
  </si>
  <si>
    <t>Toorloo CFA Fire Station</t>
  </si>
  <si>
    <t>Jeparit Caravan Park &amp; Tennis Courts (Reserve ID: 203171)</t>
  </si>
  <si>
    <t>Torquay CFA Fire Station</t>
  </si>
  <si>
    <t>John Landy Athletics Field (Reserve ID: 702305)</t>
  </si>
  <si>
    <t>Trentham CFA Fire Station</t>
  </si>
  <si>
    <t>Johnstone Park (Reserve ID: 702004)</t>
  </si>
  <si>
    <t>Tungamah CFA Fire Station</t>
  </si>
  <si>
    <t>Jubilee Park - Tungamah (Reserve ID: 800028)</t>
  </si>
  <si>
    <t>Jubliee Park &amp; Skipton Pool Reserve (Reserve ID: 511851)</t>
  </si>
  <si>
    <t>Tyabb CFA Fire Station</t>
  </si>
  <si>
    <t>Julier Reserve (Reserve ID: 1204365)</t>
  </si>
  <si>
    <t>Tylden CFA Fire Station</t>
  </si>
  <si>
    <t>K M Reedy Reserve (Reserve ID: 1203091)</t>
  </si>
  <si>
    <t>Tynong CFA Fire Station</t>
  </si>
  <si>
    <t>K.C.White Reserve (Reserve ID: 1204181)</t>
  </si>
  <si>
    <t>Undera CFA Fire Station</t>
  </si>
  <si>
    <t>Underbool CFA Fire Station</t>
  </si>
  <si>
    <t>Kananook Creek Reserve (Reserve ID: 1204971)</t>
  </si>
  <si>
    <t>Upper Ferntree Gully CFA Fire Station</t>
  </si>
  <si>
    <t>Kangaroo Flat Senior Citizens Clubrooms (Reserve ID: 607590)</t>
  </si>
  <si>
    <t>Kaniva Library &amp; Infant Welfare Centre (Reserve ID: 203207)</t>
  </si>
  <si>
    <t>Upwey CFA Fire Station</t>
  </si>
  <si>
    <t>Kaniva Scout Hall &amp; Playground (Reserve ID: 204673)</t>
  </si>
  <si>
    <t>Kaniva Shire Hall &amp; Offices (Reserve ID: 206350)</t>
  </si>
  <si>
    <t>Kaniva Showgrounds And Recreation Res. (Reserve ID: 203122)</t>
  </si>
  <si>
    <t>Kaniva Swimming Pool Reserve (Reserve ID: 203161)</t>
  </si>
  <si>
    <t>Kardinia Park Memorial Swimming Pool (Reserve ID: 703954)</t>
  </si>
  <si>
    <t>Victoria Law Foundation</t>
  </si>
  <si>
    <t>Kardinia Park Reserve (Reserve ID: 701715)</t>
  </si>
  <si>
    <t>Kardinia Senior Citizens Club (Reserve ID: 701995)</t>
  </si>
  <si>
    <t>Karibok Park  T/P Of Shepparton (Reserve ID: 802654)</t>
  </si>
  <si>
    <t>Katunga Recreation Reserve (Reserve ID: 800037)</t>
  </si>
  <si>
    <t>Katunga Water Supply Protection Area Consultative Committee (Katunga WSPA CC)</t>
  </si>
  <si>
    <t>Keast Park (Reserve ID: 1204336)</t>
  </si>
  <si>
    <t>Keilor Recreation Reserve (Reserve ID: 1204288)</t>
  </si>
  <si>
    <t>Kennington Cricket &amp; Rec Res (Reserve ID: 610132)</t>
  </si>
  <si>
    <t>Kennington Pre-School Centre (Reserve ID: 607325)</t>
  </si>
  <si>
    <t>Violet Town CFA Fire Station</t>
  </si>
  <si>
    <t>Kennington Reservoir Reserve (Reserve ID: 609692)</t>
  </si>
  <si>
    <t>Wallace CFA Fire Station</t>
  </si>
  <si>
    <t>Walpeup CFA Fire Station</t>
  </si>
  <si>
    <t>Killarney Recreation Reserve (Reserve ID: 303908)</t>
  </si>
  <si>
    <t>Walpeup CFA Fire Station and Meeting Room</t>
  </si>
  <si>
    <t>Walwa CFA Fire Station</t>
  </si>
  <si>
    <t>Kilmore Swimming Pool (Reserve ID: 902730)</t>
  </si>
  <si>
    <t>King George Gardens Reserve (Reserve ID: 1104502)</t>
  </si>
  <si>
    <t>Kinglake Neighbourhood   House (Reserve ID: 2010216)</t>
  </si>
  <si>
    <t>Wandin CFA Fire Station</t>
  </si>
  <si>
    <t>The Royal Children's Hospital</t>
  </si>
  <si>
    <t>Kings Park - Township of Seymour (Reserve ID: 902592)</t>
  </si>
  <si>
    <t>Wandong CFA Fire Station</t>
  </si>
  <si>
    <t>Wangaratta CFA DMO</t>
  </si>
  <si>
    <t>The Royal Women's Hospital</t>
  </si>
  <si>
    <t>Wangaratta CFA Training Campus</t>
  </si>
  <si>
    <t>Warburton CFA Fire Station</t>
  </si>
  <si>
    <t>Warneet - Blind Bight CFA Fire Station</t>
  </si>
  <si>
    <t>Koroit Pre-School Centre (Reserve ID: 304343)</t>
  </si>
  <si>
    <t>Warracknabeal CFA Fire Station</t>
  </si>
  <si>
    <t>Koroit Senior Citizens Clubrooms (Reserve ID: 304344)</t>
  </si>
  <si>
    <t>Korumburra Caravan Netball &amp; Public Park (Reserve ID: 1510328)</t>
  </si>
  <si>
    <t>Korumburra Football Ground (Reserve ID: 1510329)</t>
  </si>
  <si>
    <t>Warragul CFA Fire Station</t>
  </si>
  <si>
    <t>Korumburra Infant Welfare Centre &amp; Playg (Reserve ID: 1510327)</t>
  </si>
  <si>
    <t>Warrandyte CFA Fire Station</t>
  </si>
  <si>
    <t>Warrenmang CFA Fire Station</t>
  </si>
  <si>
    <t>Warrion CFA Fire Station</t>
  </si>
  <si>
    <t>Kyneton Botanic Gardens (Reserve ID: 615968)</t>
  </si>
  <si>
    <t>Wattle Glen CFA Fire Station</t>
  </si>
  <si>
    <t>Kyneton Cattle Market Saleyards (Reserve ID: 615979)</t>
  </si>
  <si>
    <t>Kyneton Kindergarten Reserve (Reserve ID: 615941)</t>
  </si>
  <si>
    <t>Kyneton Mineral Springs  Park &amp; Gardens (Reserve ID: 615924)</t>
  </si>
  <si>
    <t>Kyneton Shire Offices Reserve (Reserve ID: 615951)</t>
  </si>
  <si>
    <t>Welshpool CFA Fire Station</t>
  </si>
  <si>
    <t>Wemen CFA Fire Station</t>
  </si>
  <si>
    <t>Werribee CFA Fire Station</t>
  </si>
  <si>
    <t>Labertouche Public Hall Reserve (Reserve ID: 1504336)</t>
  </si>
  <si>
    <t>Lagoon Reserve (Reserve ID: 1204313)</t>
  </si>
  <si>
    <t>Werrimull CFA Fire Station</t>
  </si>
  <si>
    <t>Lake Bartlett  Recreation Reserve (Reserve ID: 802317)</t>
  </si>
  <si>
    <t>Lake Boga Pre School Centre (Reserve ID: 105435)</t>
  </si>
  <si>
    <t>Wesburn CFA Fire Station</t>
  </si>
  <si>
    <t>Lake Bunga Foreshore (Reserve ID: 1601521)</t>
  </si>
  <si>
    <t>Lake Guthridge Reserve (Reserve ID: 1504462)</t>
  </si>
  <si>
    <t>Lake Pertobe Reserve - Warrnambool (Reserve ID: 304375)</t>
  </si>
  <si>
    <t>Lake Sambell Reserve-Caravan And Camping (Reserve ID: 1104481)</t>
  </si>
  <si>
    <t>Lake Weeroona (Reserve ID: 610011)</t>
  </si>
  <si>
    <t>Lakes Ent F'Shore Res. - Town/Nth Arm (Reserve ID: 1601976)</t>
  </si>
  <si>
    <t>Lakes Entrance Kindergarten Reserve (Reserve ID: 1601998)</t>
  </si>
  <si>
    <t>Lakes Entrance Public Recreation Reserve (Reserve ID: 1601999)</t>
  </si>
  <si>
    <t>Lakes Entrance Res- Promotion Of Tourism (Reserve ID: 1601962)</t>
  </si>
  <si>
    <t>Lara Recreation Reserve (Reserve ID: 701795)</t>
  </si>
  <si>
    <t>Laverton &amp; Shaw Reserve (Reserve ID: 1204577)</t>
  </si>
  <si>
    <t>Laverton Park (Reserve ID: 1205726)</t>
  </si>
  <si>
    <t>Leckie Park &amp; Water Supply-T/P Alexandra (Reserve ID: 902540)</t>
  </si>
  <si>
    <t>Werrimull Cemetery Trust</t>
  </si>
  <si>
    <t>Leongatha Community Use Building (Reserve ID: 2007099)</t>
  </si>
  <si>
    <t>Leongatha Mech Inst &amp; Free Library (Reserve ID: 1510338)</t>
  </si>
  <si>
    <t>Leongatha Pre-School Centre (Reserve ID: 1510363)</t>
  </si>
  <si>
    <t>Leongatha Public Gardens Reserve (Reserve ID: 2001013)</t>
  </si>
  <si>
    <t>Western District Health Service</t>
  </si>
  <si>
    <t>Leopold Memorial Park (Reserve ID: 701571)</t>
  </si>
  <si>
    <t>Lilydale - Warburton Rail Trail (Reserve ID: 1205635)</t>
  </si>
  <si>
    <t>Linton Football Ground (Reserve ID: 505354)</t>
  </si>
  <si>
    <t>Little Murray River Pioneer Settlement (Reserve ID: 2022708)</t>
  </si>
  <si>
    <t>Lloyd Park Reserve (Reserve ID: 1202748)</t>
  </si>
  <si>
    <t>Lochiel Park Reserve, Orbost (Reserve ID: 1604179)</t>
  </si>
  <si>
    <t>Lockington Public Hall Reserve (Reserve ID: 609617)</t>
  </si>
  <si>
    <t>Long Gully Pre-School (Reserve ID: 607257)</t>
  </si>
  <si>
    <t>Lord Nelson Park (Reserve ID: 610014)</t>
  </si>
  <si>
    <t>Lorna Dunkley Day Shelter</t>
  </si>
  <si>
    <t>Lower Eltham Park (Reserve ID: 1204175)</t>
  </si>
  <si>
    <t>Macarthur Court House (Reserve ID: 305445)</t>
  </si>
  <si>
    <t>Macarthur Market Square (Reserve ID: 303775)</t>
  </si>
  <si>
    <t>Maddingley Park Reserve (Reserve ID: 701721)</t>
  </si>
  <si>
    <t>Maffra Agricultural Showgrounds Reserve (Reserve ID: 1504472)</t>
  </si>
  <si>
    <t>Maiden Gully Recreation Reserve (Reserve ID: 606646)</t>
  </si>
  <si>
    <t>Maldon Municipal Offices &amp; Gardens (Reserve ID: 607326)</t>
  </si>
  <si>
    <t>Maldon Rubbish Depot Site (Reserve ID: 607291)</t>
  </si>
  <si>
    <t>Mallacoota Aerodrome (Reserve ID: 2006882)</t>
  </si>
  <si>
    <t>Mallacoota Foreshore Reserve (Reserve ID: 1604181)</t>
  </si>
  <si>
    <t>Mallacoota Recreation Reserve (Reserve ID: 1604244)</t>
  </si>
  <si>
    <t>Malmsbury Cricket &amp; Recreation Reserve (Reserve ID: 615936)</t>
  </si>
  <si>
    <t>Malmsburytown Hall &amp; Mechanics Institute (Reserve ID: 615960)</t>
  </si>
  <si>
    <t>Malvern Recreation Reserve (Reserve ID: 1204241)</t>
  </si>
  <si>
    <t>Malvern Town Hall (Reserve ID: 1204267)</t>
  </si>
  <si>
    <t>Mansfield Shire Office (Reserve ID: 902647)</t>
  </si>
  <si>
    <t>Maribyrnong Reserve (Reserve ID: 1204291)</t>
  </si>
  <si>
    <t>Marlo Aerodrome Reserve (Reserve ID: 1604192)</t>
  </si>
  <si>
    <t>Marlo Foreshore Reserve (Reserve ID: 1604186)</t>
  </si>
  <si>
    <t>Marngrook Reserve</t>
  </si>
  <si>
    <t>Maryborough Fire Station (Reserve ID: 617394)</t>
  </si>
  <si>
    <t>Maryborough Town Hall (Reserve ID: 615687)</t>
  </si>
  <si>
    <t>Maryborough Velodrome (Reserve ID: 615693)</t>
  </si>
  <si>
    <t>Marysville Swimming Pool (Reserve ID: 902618)</t>
  </si>
  <si>
    <t>M'Borough Wattle Reserve Netball Complex (Reserve ID: 615805)</t>
  </si>
  <si>
    <t>Melbourne Zoo</t>
  </si>
  <si>
    <t>Melville Oval - Hamilton (Reserve ID: 304434)</t>
  </si>
  <si>
    <t>Memorial Hall &amp; Old Council Chambers (Reserve ID: 1510339)</t>
  </si>
  <si>
    <t>Merino Park - Merino (Reserve ID: 304064)</t>
  </si>
  <si>
    <t>Merri Park (Reserve ID: 1204273)</t>
  </si>
  <si>
    <t>Merrivale Recreation Reserve (Reserve ID: 304364)</t>
  </si>
  <si>
    <t>Merriwa Park Reserve (Reserve ID: 1104465)</t>
  </si>
  <si>
    <t>Metcalfe Shire Hall(Former) (Reserve ID: 607673)</t>
  </si>
  <si>
    <t>Metung Recreation Reserve (Reserve ID: 1602385)</t>
  </si>
  <si>
    <t>Middle Brighton Baths (Reserve ID: 2001634)</t>
  </si>
  <si>
    <t>Mirboo  North Public Recreation Reserve (Reserve ID: 1510351)</t>
  </si>
  <si>
    <t>Mirboo North Shire Hall and Free Library (Reserve ID: 1510437)</t>
  </si>
  <si>
    <t>Mirboo North Showgronds &amp; Racecourse Res (Reserve ID: 1510346)</t>
  </si>
  <si>
    <t>Mirboo North Swimming Pool (Reserve ID: 1510350)</t>
  </si>
  <si>
    <t>Mitchell Gardens Caravan Park (Reserve ID: 1601502)</t>
  </si>
  <si>
    <t>Mitchell House Reserve (Reserve ID: 2002003)</t>
  </si>
  <si>
    <t>Mitchell Park Reserve - Hamilton (Reserve ID: 304087)</t>
  </si>
  <si>
    <t>Moe Child Welfare Centre (Reserve ID: 1504377)</t>
  </si>
  <si>
    <t>Moe Public Buildings Reserve (Reserve ID: 1504406)</t>
  </si>
  <si>
    <t>Moe Recreation Reserve. (Race Course) (Reserve ID: 1505025)</t>
  </si>
  <si>
    <t>Monash (Torres St) Recreation Reserve (Reserve ID: 1506041)</t>
  </si>
  <si>
    <t>Monastery Accommodation Building</t>
  </si>
  <si>
    <t>Mooroopna Racecourse  Recreation Reserve (Reserve ID: 800012)</t>
  </si>
  <si>
    <t>Mordialloc Creek (Reserve ID: 2018904)</t>
  </si>
  <si>
    <t>Mordialloc- Mentone Beach Park (Reserve ID: 1204211)</t>
  </si>
  <si>
    <t>More Park (Reserve ID: 1204358)</t>
  </si>
  <si>
    <t>Mornington Civic Centre &amp; Public Hall (Reserve ID: 1202561)</t>
  </si>
  <si>
    <t>Mornington Public Buildings Reserve (Reserve ID: 2015752)</t>
  </si>
  <si>
    <t>Mornington-Mt Martha Foreshore Reserve (Reserve ID: 1201948)</t>
  </si>
  <si>
    <t>Mortlake Parks and Gardens Reserve (Reserve ID: 304715)</t>
  </si>
  <si>
    <t>Mortlake Pre-School Centre (Reserve ID: 304894)</t>
  </si>
  <si>
    <t>Mortlake Recreation Reserve (Reserve ID: 304477)</t>
  </si>
  <si>
    <t>Mortlake Swimming Pool Reserve (Reserve ID: 304868)</t>
  </si>
  <si>
    <t>Mount Anakie Reserve (Reserve ID: 701934)</t>
  </si>
  <si>
    <t>Mount McKay Shelter</t>
  </si>
  <si>
    <t>Mt Eliza Foreshore Reserve (Reserve ID: 2012233)</t>
  </si>
  <si>
    <t>Mt. Eccles Mechanics Institute Reserve Incorporated</t>
  </si>
  <si>
    <t>Municipal Buildings (Reserve ID: 1204504)</t>
  </si>
  <si>
    <t>Municipal Purposes Reserve (Reserve ID: 1109856)</t>
  </si>
  <si>
    <t>Murtoa Caravan Park (Reserve ID: 2019514)</t>
  </si>
  <si>
    <t>Murtoa Infant Welfare Centre Reserve (Reserve ID: 203168)</t>
  </si>
  <si>
    <t>Musculoskeletal Australia</t>
  </si>
  <si>
    <t>Namatjira Park (Reserve ID: 1204245)</t>
  </si>
  <si>
    <t>Nathalia Showyards &amp; Public Recreation (Reserve ID: 800694)</t>
  </si>
  <si>
    <t>Natimuk Court House (Reserve ID: 203196)</t>
  </si>
  <si>
    <t>Natimuk Soldiers Memorial Park Reserve (Reserve ID: 201003)</t>
  </si>
  <si>
    <t>Nelson Park - Portland (Reserve ID: 304249)</t>
  </si>
  <si>
    <t>Newbridge Public Purposes Reserve. (Reserve ID: 608417)</t>
  </si>
  <si>
    <t>Newhaven Caravan Park Reserve (Reserve ID: 1205541)</t>
  </si>
  <si>
    <t>Newlands Coburg Senior Citizen Centre (Reserve ID: 1204393)</t>
  </si>
  <si>
    <t>Newmerella Racecourse Reserve (Reserve ID: 1604183)</t>
  </si>
  <si>
    <t>Newport Sports Oval (Reserve ID: 1204201)</t>
  </si>
  <si>
    <t>Newry Recreation Reserve (Reserve ID: 1504471)</t>
  </si>
  <si>
    <t>Newtown Tennis Reserve (Reserve ID: 1104523)</t>
  </si>
  <si>
    <t>Nhill Infant Welfare Centre (Reserve ID: 203167)</t>
  </si>
  <si>
    <t>Nhill Jaypex Park &amp; Caravan Park (Reserve ID: 203120)</t>
  </si>
  <si>
    <t>Nhill Municipal Offices &amp; Car Park (Reserve ID: 203224)</t>
  </si>
  <si>
    <t>Nicholson River Reserve (Reserve ID: 1601527)</t>
  </si>
  <si>
    <t>Noojee Library (Reserve ID: 2010393)</t>
  </si>
  <si>
    <t>North Bendigo Recreation Reserve (Reserve ID: 607122)</t>
  </si>
  <si>
    <t>North Brighton Foreshore Reserve (Reserve ID: 1204242)</t>
  </si>
  <si>
    <t>North Park Recreation Reserve (Reserve ID: 102814)</t>
  </si>
  <si>
    <t>North Park Recreation Reserve (Reserve ID: 203136)</t>
  </si>
  <si>
    <t>Northern Reserve (Reserve ID: 1504376)</t>
  </si>
  <si>
    <t>Nowa Nowa Public Purposes &amp; Rec Reserve (Reserve ID: 1601493)</t>
  </si>
  <si>
    <t>NTH Bendigo Public Hall Reserve (Reserve ID: 607135)</t>
  </si>
  <si>
    <t>Nungurner Foreshore Reserve (Reserve ID: 1601528)</t>
  </si>
  <si>
    <t>Nyah Recreation Reserve (Reserve ID: 102966)</t>
  </si>
  <si>
    <t>Old Friendlys Society Reserve - Portland (Reserve ID: 304265)</t>
  </si>
  <si>
    <t>Old Police Cells &amp; Stables (Reserve ID: 609613)</t>
  </si>
  <si>
    <t>Old Seymour Court House - Emily/High Sts (Reserve ID: 2014520)</t>
  </si>
  <si>
    <t>Old Springfield Cheese Factory (Reserve ID: 1201918)</t>
  </si>
  <si>
    <t>Old Wycheproof Courthouse (Reserve ID: 102795)</t>
  </si>
  <si>
    <t>Oldis Gardens (Reserve ID: 1204167)</t>
  </si>
  <si>
    <t>Olympic Pool Moe Reserve (Reserve ID: 1504381)</t>
  </si>
  <si>
    <t>Omeo Camping &amp; Caravan Park Reserve (Reserve ID: 1601963)</t>
  </si>
  <si>
    <t>Omeo Folk Museum (Courthouse/Assoc Build (Reserve ID: 1601981)</t>
  </si>
  <si>
    <t>Omeo Recreation Reserve (Reserve ID: 1601960)</t>
  </si>
  <si>
    <t>Omeo Shire Hall  Offices &amp; Library (Reserve ID: 1601953)</t>
  </si>
  <si>
    <t>Orbost Caravan Park (Reserve ID: 1604187)</t>
  </si>
  <si>
    <t>Orbost Mechanics Institute Reserve (Reserve ID: 1604182)</t>
  </si>
  <si>
    <t>Osborne Park (Reserve ID: 701874)</t>
  </si>
  <si>
    <t>Oxley Hall Site (Reserve ID: 1105294)</t>
  </si>
  <si>
    <t>Paisley Park/Altona Lakes Golf Course (Reserve ID: 1204458)</t>
  </si>
  <si>
    <t>Palmerston Square Recreation Reserve. (Reserve ID: 606911)</t>
  </si>
  <si>
    <t>Park Lake - Victoria Park, Shepparton (Reserve ID: 802598)</t>
  </si>
  <si>
    <t>Park Lake Gardens Reserve - Creswick (Reserve ID: 505932)</t>
  </si>
  <si>
    <t>Part Of Essendon Hocky Centre (Reserve ID: 2017734)</t>
  </si>
  <si>
    <t>Part of Outer Circle Railway Linear Park (Reserve ID: 2008284)</t>
  </si>
  <si>
    <t>Patterson Park Reserve - Hamilton (Reserve ID: 304086)</t>
  </si>
  <si>
    <t>Paynesville Foreshore Reserve (Reserve ID: 1601980)</t>
  </si>
  <si>
    <t>Pedrina Park - Hamilton (Reserve ID: 304118)</t>
  </si>
  <si>
    <t>Pennell Reserve (Reserve ID: 1204232)</t>
  </si>
  <si>
    <t>Penshurst Elderly Citizens Clubroom (Reserve ID: 304141)</t>
  </si>
  <si>
    <t>Penshurst Park &amp; Recreation Reserve (Reserve ID: 304126)</t>
  </si>
  <si>
    <t>Penshurst Pre-School Reserve (Reserve ID: 304144)</t>
  </si>
  <si>
    <t>Peterborough Foreshore Reserve (Reserve ID: 305093)</t>
  </si>
  <si>
    <t>Phillips Gardens (Public Gardens) (Reserve ID: 615870)</t>
  </si>
  <si>
    <t>Picola Recreation Reserve (Reserve ID: 800039)</t>
  </si>
  <si>
    <t>Pine Lodge Recreation Reserve (Reserve ID: 802799)</t>
  </si>
  <si>
    <t>Pipemakers &amp; Burnap Parks (Reserve ID: 2021258)</t>
  </si>
  <si>
    <t>Point Lonsdale Lighthouse Reserve (Reserve ID: 701560)</t>
  </si>
  <si>
    <t>Port Melbourne Cricket Ground (Reserve ID: 1204235)</t>
  </si>
  <si>
    <t>Port Melbourne Town Hall (Reserve ID: 1204303)</t>
  </si>
  <si>
    <t>Port Welshpool Caravan Park Reserve (Reserve ID: 1510313)</t>
  </si>
  <si>
    <t>Portarlington Foreshore Reserve</t>
  </si>
  <si>
    <t>Portarlington Public Park Reserve</t>
  </si>
  <si>
    <t>Portsea Foreshore Reserve (Reserve ID: 1201508)</t>
  </si>
  <si>
    <t>Pre School Centre P/H Of Mooroopna (Reserve ID: 802850)</t>
  </si>
  <si>
    <t>Princes Park (Reserve ID: 615628)</t>
  </si>
  <si>
    <t>Princess Park - Shepparton (Reserve ID: 805158)</t>
  </si>
  <si>
    <t>Public Park &amp; Rec. Batchelors Green (Reserve ID: 1104632)</t>
  </si>
  <si>
    <t>Public Purposes Res (Elderly Citz Club) (Reserve ID: 1505981)</t>
  </si>
  <si>
    <t>Pyalong Racecourse (Reserve ID: 902578)</t>
  </si>
  <si>
    <t>Pyramid Hill Rec Res (Golf Course) (Reserve ID: 610161)</t>
  </si>
  <si>
    <t>Pyrenees Shire Offices (Reserve ID: 505580)</t>
  </si>
  <si>
    <t>Quarry Hill Rec Reserve (Golf Club) (Reserve ID: 609946)</t>
  </si>
  <si>
    <t>Quarry Reserve (Reserve ID: 1204575)</t>
  </si>
  <si>
    <t>Queen Mary Gardens (Reserve ID: 607202)</t>
  </si>
  <si>
    <t>Queen'S Gardens Shepparton (Reserve ID: 802634)</t>
  </si>
  <si>
    <t>Queens Park Reserve (Reserve ID: 1204178)</t>
  </si>
  <si>
    <t>Queenscliff Foreshore (Beach) Reserve (Reserve ID: 704197)</t>
  </si>
  <si>
    <t>Queenscliff Maritime Museum Reserve (Reserve ID: 702228)</t>
  </si>
  <si>
    <t>Queenscliff Public Purposes Reserve (Reserve ID: 704084)</t>
  </si>
  <si>
    <t>Queenscliff Recreation (Oval) Reserve (Reserve ID: 701866)</t>
  </si>
  <si>
    <t>Rainbow Showgrounds &amp; Recreation Reserve (Reserve ID: 102767)</t>
  </si>
  <si>
    <t>Rainbow Swimming Pool Reserve (Reserve ID: 102766)</t>
  </si>
  <si>
    <t>Recreation Purposes Reserve Shepparton (Reserve ID: 802746)</t>
  </si>
  <si>
    <t>Recreation Reserve (Reserve ID: 1202678)</t>
  </si>
  <si>
    <t>Red Hill Mechanics Inst &amp; Public Hall (Reserve ID: 1201527)</t>
  </si>
  <si>
    <t>Reedy Creek Progress Association Incorporated</t>
  </si>
  <si>
    <t>Renfrey Gardens &amp; Peanut Farm Reserve (Reserve ID: 1204180)</t>
  </si>
  <si>
    <t>Research Park</t>
  </si>
  <si>
    <t>Reserve, Town Hall, Main St (Reserve ID: 206358)</t>
  </si>
  <si>
    <t>Reservoir Senior Citizens Club (Reserve ID: 1204410)</t>
  </si>
  <si>
    <t>Richmond City Reserve (Reserve ID: 1204256)</t>
  </si>
  <si>
    <t>Richmond Oval Reserve (Reserve ID: 701769)</t>
  </si>
  <si>
    <t>Richmond Park (Reserve ID: 1204151)</t>
  </si>
  <si>
    <t>Riddells Creek Recreation Reserve (Reserve ID: 701788)</t>
  </si>
  <si>
    <t>Ringwood Civic Centre (Reserve ID: 1204293)</t>
  </si>
  <si>
    <t>Ringwood East Reserve (Reserve ID: 1204207)</t>
  </si>
  <si>
    <t>Ringwood North Reserve (Reserve ID: 1204404)</t>
  </si>
  <si>
    <t>Riverside &amp; Greenwich Parks, Willy FRSH (Reserve ID: 2003107)</t>
  </si>
  <si>
    <t>RM Hooper Oval (Reserve ID: 1201971)</t>
  </si>
  <si>
    <t>Robert Barrett Reserve (Reserve ID: 1204297)</t>
  </si>
  <si>
    <t>Rochester Swimming Pool Reserve (Reserve ID: 610118)</t>
  </si>
  <si>
    <t>Romsey Public Park (Reserve ID: 702514)</t>
  </si>
  <si>
    <t>Rosalind Park (Reserve ID: 606775)</t>
  </si>
  <si>
    <t>Rosebud Foreshore Reserve (Reserve ID: 1201529)</t>
  </si>
  <si>
    <t>Rosebud Mechanics Institute (Reserve ID: 1202518)</t>
  </si>
  <si>
    <t>Ross Creek Recreation Reserve (Reserve ID: 503051)</t>
  </si>
  <si>
    <t>Rotary Park (Reserve ID: 1104641)</t>
  </si>
  <si>
    <t>Royal Park (Point Lonsdale) (Reserve ID: 701843)</t>
  </si>
  <si>
    <t>Russell Mockridge Park (Camperdown) (Reserve ID: 511832)</t>
  </si>
  <si>
    <t>Rutherglen Kindergarten Reserve (Reserve ID: 1104616)</t>
  </si>
  <si>
    <t>Rye Foreshore Reserve (Reserve ID: 1202575)</t>
  </si>
  <si>
    <t>Rye Public Hall Reserve (Reserve ID: 1201935)</t>
  </si>
  <si>
    <t>Sale Caravan Park (Reserve ID: 2011955)</t>
  </si>
  <si>
    <t>Sale Museum &amp; Municipal Building (Reserve ID: 1506018)</t>
  </si>
  <si>
    <t>Sale Public Recreation Reserve (Reserve ID: 1504459)</t>
  </si>
  <si>
    <t>Sale Recreation Reserve (Reserve ID: 1504479)</t>
  </si>
  <si>
    <t>Samuel Sherlock Reserve (Reserve ID: 1204651)</t>
  </si>
  <si>
    <t>Sandringham Beach Park (Reserve ID: 1204182)</t>
  </si>
  <si>
    <t>Sandringham Cricket Ground (Reserve ID: 1204298)</t>
  </si>
  <si>
    <t>Sandy Cove - Port Fairy (Reserve ID: 304193)</t>
  </si>
  <si>
    <t>Sangster Reserve (Reserve ID: 1204380)</t>
  </si>
  <si>
    <t>Sawyer Park - Horsham (Reserve ID: 206219)</t>
  </si>
  <si>
    <t>Scott Reserve T/P Of Cobram (Reserve ID: 802319)</t>
  </si>
  <si>
    <t>Seaford Foreshore Reserve (Reserve ID: 1204323)</t>
  </si>
  <si>
    <t>Shepley Oval (Reserve ID: 1203030)</t>
  </si>
  <si>
    <t>Shepparton Civic Centre (Reserve ID: 802724)</t>
  </si>
  <si>
    <t>Shepparton Show Ground Reserve (Reserve ID: 800456)</t>
  </si>
  <si>
    <t>Sherbourne -Balaclava Rd Res - P/H Shepp (Reserve ID: 802720)</t>
  </si>
  <si>
    <t>Shire Hall And Offices - T/P Of Tatura (Reserve ID: 802759)</t>
  </si>
  <si>
    <t>Shire Office Arts &amp; Cultural Centre (Reserve ID: 1202797)</t>
  </si>
  <si>
    <t>Show Grounds &amp; Recreation Reserve (Reserve ID: 1504465)</t>
  </si>
  <si>
    <t>Silvester Oval &amp; Queens Park - Coleraine (Reserve ID: 304275)</t>
  </si>
  <si>
    <t>Sir Douglas Nicholls Reserve (Reserve ID: 1205038)</t>
  </si>
  <si>
    <t>Skipton Infant Welfare Centre Reserve (Reserve ID: 511943)</t>
  </si>
  <si>
    <t>Soliders Memorial &amp; Childrens Playground (Reserve ID: 615929)</t>
  </si>
  <si>
    <t>Sorrento Foreshore Reserve (Reserve ID: 1201483)</t>
  </si>
  <si>
    <t>South Barwon Recreation Reserve (Reserve ID: 701837)</t>
  </si>
  <si>
    <t>South Melbourne Child Care Centre (Reserve ID: 1204679)</t>
  </si>
  <si>
    <t>South Melbourne Market (Reserve ID: 1204285)</t>
  </si>
  <si>
    <t>Sports Centre Reserve (Reserve ID: 1504460)</t>
  </si>
  <si>
    <t>Spotswood Health and Recreation Reserve (Reserve ID: 1204229)</t>
  </si>
  <si>
    <t>Spotswood Recreation Reserve (Reserve ID: 1204160)</t>
  </si>
  <si>
    <t>Spring Creek Recreation Reserve (Reserve ID: 700259)</t>
  </si>
  <si>
    <t>Spring Gully Recreation Reserve (Reserve ID: 609602)</t>
  </si>
  <si>
    <t>Spring Street Recreation Reserve (Reserve ID: 1204357)</t>
  </si>
  <si>
    <t>St Arnaud Municipal Purposes Reserve (Reserve ID: 606780)</t>
  </si>
  <si>
    <t>St Kilda Botanical Gardens (Reserve ID: 1204350)</t>
  </si>
  <si>
    <t>St Kilda Foreshore Res/Catani Gardens (Reserve ID: 1204148)</t>
  </si>
  <si>
    <t>St Leonards Foreshore Reserve</t>
  </si>
  <si>
    <t>St Vincent Gardens (Reserve ID: 1204221)</t>
  </si>
  <si>
    <t>St. Albans Recreation Reserve (Reserve ID: 704779)</t>
  </si>
  <si>
    <t>St. James Park (Reserve ID: 1204164)</t>
  </si>
  <si>
    <t>St.Kilda Town Hall (Reserve ID: 1205170)</t>
  </si>
  <si>
    <t>Stanhope Swimming Pool (Reserve ID: 609534)</t>
  </si>
  <si>
    <t>Stanley Athenaeum/Library Reserve (Reserve ID: 1104534)</t>
  </si>
  <si>
    <t>Stratford Caravan Park &amp; Tourist Camp (Reserve ID: 1504500)</t>
  </si>
  <si>
    <t>Stratford Swimming Pool (Reserve ID: 2004118)</t>
  </si>
  <si>
    <t>Strathdale Park (Reserve ID: 607209)</t>
  </si>
  <si>
    <t>Strathfieldsaye Club Court Recreation RS (Reserve ID: 606878)</t>
  </si>
  <si>
    <t>Strathfieldsaye Municipal Offices (Reserve ID: 606854)</t>
  </si>
  <si>
    <t>Stribling Reserve (Lorne) (Reserve ID: 511724)</t>
  </si>
  <si>
    <t>Sunshine Park - J.R.Parsons Reserve (Reserve ID: 1204344)</t>
  </si>
  <si>
    <t>Swan Hill Comfort&amp;Elderly Citizens Rooms (Reserve ID: 102817)</t>
  </si>
  <si>
    <t>Swan Hill Infant Welfare&amp;Preschool Centre (Reserve ID: 102820)</t>
  </si>
  <si>
    <t>Swan Hill Public Recreation Reserve (Reserve ID: 102815)</t>
  </si>
  <si>
    <t>Swan Hill Showyards &amp; Recreation Reserve (Reserve ID: 102812)</t>
  </si>
  <si>
    <t>Swan Hill Swimming Pool Purposes (Reserve ID: 102822)</t>
  </si>
  <si>
    <t>Swifts Creek Camping &amp; Public Purp Res (Reserve ID: 1601964)</t>
  </si>
  <si>
    <t>T L Stone Kindergarten (Reserve ID: 615573)</t>
  </si>
  <si>
    <t>Talbot Football Ground (Reserve ID: 615593)</t>
  </si>
  <si>
    <t>Talbot Street Reserve - Colac (Reserve ID: 511891)</t>
  </si>
  <si>
    <t>Tallarook Recreation Reserve (Reserve ID: 902294)</t>
  </si>
  <si>
    <t>Tatura Showgrounds &amp; Recreation Reserve (Reserve ID: 800011)</t>
  </si>
  <si>
    <t>Templestowe Pre-School (Reserve ID: 1204352)</t>
  </si>
  <si>
    <t>Terang Library &amp; Maternal Health Centre (Reserve ID: 512111)</t>
  </si>
  <si>
    <t>Terang Mechanics Institute &amp; Library (Reserve ID: 511864)</t>
  </si>
  <si>
    <t>Terang Senior Citizens Centre</t>
  </si>
  <si>
    <t>Terang Swimming Pool Reserve (Reserve ID: 2020376)</t>
  </si>
  <si>
    <t>The Castlemaine Old Market Building (Reserve ID: 606834)</t>
  </si>
  <si>
    <t>The Lakes Recreation Reserve- Camperdown (Reserve ID: 511884)</t>
  </si>
  <si>
    <t>The Sister's Recreation Reserve (Reserve ID: 2011872)</t>
  </si>
  <si>
    <t>Thomson Infant Welfare Centre (Reserve ID: 702006)</t>
  </si>
  <si>
    <t>Thomson Recreation Reserve (Reserve ID: 702326)</t>
  </si>
  <si>
    <t>Timboon &amp; District Swimming Pool (Reserve ID: 2014711)</t>
  </si>
  <si>
    <t>Timboon Hockey Reserve (Reserve ID: 512077)</t>
  </si>
  <si>
    <t>Timboon Public Hall Reserve (Reserve ID: 511856)</t>
  </si>
  <si>
    <t>Timboon Water Supply Reserve (Reserve ID: 511857)</t>
  </si>
  <si>
    <t>Tongala Public Recreation (Reserve ID: 802966)</t>
  </si>
  <si>
    <t>Tony Clarke Recreation Reserve (Reserve ID: 702083)</t>
  </si>
  <si>
    <t>Toolern Vale Mechanics Institute (Reserve ID: 0704478)</t>
  </si>
  <si>
    <t>Tourism and Public Buildings Reserve (Reserve ID: 1201895)</t>
  </si>
  <si>
    <t>Town Common Reserve (Reserve ID: 1504366)</t>
  </si>
  <si>
    <t>Town Hall (Reserve ID: 1110045)</t>
  </si>
  <si>
    <t>Town Hall Gardens Reserve (Reserve ID: 1104484)</t>
  </si>
  <si>
    <t>Trafalgar Recreation Reserve (Reserve ID: 1504313)</t>
  </si>
  <si>
    <t>Transfer Station (Reserve ID: 1204612)</t>
  </si>
  <si>
    <t>Traralgon Court House (Reserve ID: 1506737)</t>
  </si>
  <si>
    <t>Traralgon Recreation Reserve (Reserve ID: 1504498)</t>
  </si>
  <si>
    <t>Trentham Kindergarten (Reserve ID: 2023227)</t>
  </si>
  <si>
    <t>Trentham Mechanics Institute Reserve (Reserve ID: 615947)</t>
  </si>
  <si>
    <t>Truscott Recreation Reserve (Reserve ID: 606984)</t>
  </si>
  <si>
    <t>Tungamah Court House (Reserve ID: 802848)</t>
  </si>
  <si>
    <t>Upper Beaconsfield Kindergarten Reserve (Reserve ID: 1202838)</t>
  </si>
  <si>
    <t>Upper Pakenham Public Hall Reserve (Reserve ID: 1201613)</t>
  </si>
  <si>
    <t>UT Creek Reserve - T/P of Alexandra (Reserve ID: 902589)</t>
  </si>
  <si>
    <t>Vale Street Reserve (Reserve ID: 1504375)</t>
  </si>
  <si>
    <t>Victoria Park - Daylesford (Reserve ID: 512633)</t>
  </si>
  <si>
    <t>Victoria Park - Koroit (Reserve ID: 304335)</t>
  </si>
  <si>
    <t>Victoria Park (Reserve ID: 1204272)</t>
  </si>
  <si>
    <t>Victoria Street Reserve (Reserve ID: 1204247)</t>
  </si>
  <si>
    <t>Victory Park - T/P Of Shepparton (Reserve ID: 802580)</t>
  </si>
  <si>
    <t>Victory Park (Reserve ID: 611543)</t>
  </si>
  <si>
    <t>Wade Street Recreation Reserve (Reserve ID: 615534)</t>
  </si>
  <si>
    <t>Walker Street Recreation Reserve (Reserve ID: 2013302)</t>
  </si>
  <si>
    <t>Wallace Park Reserve Beechworth (Reserve ID: 1104661)</t>
  </si>
  <si>
    <t>Walter Moore Park - Eildon (Reserve ID: 902850)</t>
  </si>
  <si>
    <t>Wangaratta Childrens Services Centre (Reserve ID: 1104897)</t>
  </si>
  <si>
    <t>Wangaratta Library &amp; Museum (Reserve ID: 1106022)</t>
  </si>
  <si>
    <t>Wangaratta Showgrounds &amp; Recreation Res (Reserve ID: 1105367)</t>
  </si>
  <si>
    <t>Waratah Bay Foreshore (Reserve ID: 1510324)</t>
  </si>
  <si>
    <t>Wareena Park Reserve (Reserve ID: 1104469)</t>
  </si>
  <si>
    <t>Warracknabeal Caravan Park (Reserve ID: 2015517)</t>
  </si>
  <si>
    <t>Warracknabeal Civic Centre (Reserve ID: 203185)</t>
  </si>
  <si>
    <t>Warracknabeal Sport &amp; Recreation Centre (Reserve ID: 203228)</t>
  </si>
  <si>
    <t>Warragul Shire Hall Offices (Reserve ID: 1504357)</t>
  </si>
  <si>
    <t>Warrandyte Recreation Reserve (Reserve ID: 1204165)</t>
  </si>
  <si>
    <t>Warrnambool Botanical Gardens (Reserve ID: 304359)</t>
  </si>
  <si>
    <t>Warrnambool City Arts Centre (Reserve ID: 304366)</t>
  </si>
  <si>
    <t>Warrnambool City Municipal Offices (Reserve ID: 304349)</t>
  </si>
  <si>
    <t>Warrnambool Foreshore Reserve (Reserve ID: 304013)</t>
  </si>
  <si>
    <t>Warrnambool Municipal Depot (Reserve ID: 304373)</t>
  </si>
  <si>
    <t>Warrnambool Swimming Pool &amp; Rec. Reserve (Reserve ID: 304370)</t>
  </si>
  <si>
    <t>Watch House Reserve (Reserve ID: 1204382)</t>
  </si>
  <si>
    <t>Waterloo Road Recreation Reserve (Reserve ID: 615618)</t>
  </si>
  <si>
    <t>Waverley Park &amp; Gardens (Reserve ID: 1204281)</t>
  </si>
  <si>
    <t>W'Bool Kindergarten/Playground Reserve (Reserve ID: 304369)</t>
  </si>
  <si>
    <t>Wedderburn Caravan Park (Reserve ID: 613336)</t>
  </si>
  <si>
    <t>Wedderburn Market Square (Reserve ID: 606881)</t>
  </si>
  <si>
    <t>Wedderburn Mech. Institute Reserve (Reserve ID: 606771)</t>
  </si>
  <si>
    <t>Weigh Bridge (Reserve ID: 615603)</t>
  </si>
  <si>
    <t>Werribee Open Range Zoo</t>
  </si>
  <si>
    <t>Werribee Valley Reserve (Reserve ID: 701970)</t>
  </si>
  <si>
    <t>Wesley Hill Recreation Reserve (Reserve ID: 607095)</t>
  </si>
  <si>
    <t>West Bairnsdale Oval Reserve (Reserve ID: 1601949)</t>
  </si>
  <si>
    <t>West Bendigo Cricket &amp; Rec. Reserve (Reserve ID: 607011)</t>
  </si>
  <si>
    <t>Western Park and Nash Reserve</t>
  </si>
  <si>
    <t>White Hills Botanical Gardens Reserve (Reserve ID: 608468)</t>
  </si>
  <si>
    <t>Williamstown Anglers' Club (Reserve ID: 1205027)</t>
  </si>
  <si>
    <t>Williamstown Botanic Gardens (Reserve ID: 1204223)</t>
  </si>
  <si>
    <t>Williamstown Court House (Reserve ID: 1204507)</t>
  </si>
  <si>
    <t>Williamstown Cricket Ground (Reserve ID: 1204222)</t>
  </si>
  <si>
    <t>Williamstown Mechanics institute Reserve (Reserve ID: 1204174)</t>
  </si>
  <si>
    <t>Winchelsea Golf Course (Reserve ID: 511836)</t>
  </si>
  <si>
    <t>Winchelsea Recreation (Eastern) Reserve (Reserve ID: 511741)</t>
  </si>
  <si>
    <t>Winchelsea Shire Hall &amp; Offices Reserve (Reserve ID: 511850)</t>
  </si>
  <si>
    <t>Wodonga Gateway - Lincoln Causeway (Reserve ID: 2002424)</t>
  </si>
  <si>
    <t>Wodonga Gravel Reserve (Reserve ID: 2008139)</t>
  </si>
  <si>
    <t>Wonthaggi Recreation Reserve (Reserve ID: 1201493)</t>
  </si>
  <si>
    <t>Woodend Public Park &amp; Garden Reserve (Reserve ID: 701704)</t>
  </si>
  <si>
    <t>Woodend Racecourse &amp; Recreation Reserve (Reserve ID: 701701)</t>
  </si>
  <si>
    <t>Woodland Grove Wodonga (Reserve ID: 1105888)</t>
  </si>
  <si>
    <t>Woodside Beach Camping &amp; Foreshore Park (Reserve ID: 1510334)</t>
  </si>
  <si>
    <t>Woorinen South Recreation Reserve (Reserve ID: 103612)</t>
  </si>
  <si>
    <t>Wotherspoon  Playground Park - Beaufort (Reserve ID: 508242)</t>
  </si>
  <si>
    <t>Yackandandah Caravan Park Reserve (Reserve ID: 1104547)</t>
  </si>
  <si>
    <t>Yackandandah Courthouse (Reserve ID: 1108006)</t>
  </si>
  <si>
    <t>Yackandandah Sports Park (Reserve ID: 1105862)</t>
  </si>
  <si>
    <t>Yallourn North Infant Centre (Reserve ID: 1504387)</t>
  </si>
  <si>
    <t>Yanakie/Corner Inlet Foreshore Reserve (Reserve ID: 1510462)</t>
  </si>
  <si>
    <t>Yarram Court House (Reserve ID: 2013312)</t>
  </si>
  <si>
    <t>Yarraman Park - Portland (Reserve ID: 304223)</t>
  </si>
  <si>
    <t>Yarraville Oval (Reserve ID: 1204626)</t>
  </si>
  <si>
    <t>Yarrawonga Mechanics Institute (Reserve ID: 2004664)</t>
  </si>
  <si>
    <t>Yarroweyah Park (Reserve ID: 800038)</t>
  </si>
  <si>
    <t>Yea Bowling Club (Reserve ID: 902642)</t>
  </si>
  <si>
    <t>Yea Caravan Park (Reserve ID: 902496)</t>
  </si>
  <si>
    <t>Yea Pioneer Reserve (Reserve ID: 902641)</t>
  </si>
  <si>
    <t>Yea Shire Civic Centre  C/House &amp; Playg (Reserve ID: 902646)</t>
  </si>
  <si>
    <t>Yea Showgrounds (Reserve ID: 902222)</t>
  </si>
  <si>
    <t>Brick</t>
  </si>
  <si>
    <t>Concrete</t>
  </si>
  <si>
    <t>Concrete block</t>
  </si>
  <si>
    <t>Brick and metal</t>
  </si>
  <si>
    <t>Metal</t>
  </si>
  <si>
    <t>Metal and corrugated plastic</t>
  </si>
  <si>
    <t>Metal cage</t>
  </si>
  <si>
    <t>Metal and roof tiles</t>
  </si>
  <si>
    <t>Brick and concrete</t>
  </si>
  <si>
    <t>Abbeyard</t>
  </si>
  <si>
    <t>Abbotsford</t>
  </si>
  <si>
    <t>Aberfeldie</t>
  </si>
  <si>
    <t>Aberfeldy</t>
  </si>
  <si>
    <t>Acheron</t>
  </si>
  <si>
    <t>Ada</t>
  </si>
  <si>
    <t>Adams Estate</t>
  </si>
  <si>
    <t>Addington</t>
  </si>
  <si>
    <t>Adelaide Lead</t>
  </si>
  <si>
    <t>Agnes</t>
  </si>
  <si>
    <t>Aire Valley</t>
  </si>
  <si>
    <t>Aireys Inlet</t>
  </si>
  <si>
    <t>Airly</t>
  </si>
  <si>
    <t>Airport West</t>
  </si>
  <si>
    <t>Albacutya</t>
  </si>
  <si>
    <t>Albanvale</t>
  </si>
  <si>
    <t>Albert Park</t>
  </si>
  <si>
    <t>Alberton</t>
  </si>
  <si>
    <t>Alberton West</t>
  </si>
  <si>
    <t>Albion</t>
  </si>
  <si>
    <t>Alexandra</t>
  </si>
  <si>
    <t>Alfredton</t>
  </si>
  <si>
    <t>Allambee</t>
  </si>
  <si>
    <t>Allambee Reserve</t>
  </si>
  <si>
    <t>Allambee South</t>
  </si>
  <si>
    <t>Allans Flat</t>
  </si>
  <si>
    <t>Allansford</t>
  </si>
  <si>
    <t>Allendale</t>
  </si>
  <si>
    <t>Allestree</t>
  </si>
  <si>
    <t>Alma</t>
  </si>
  <si>
    <t>Almonds</t>
  </si>
  <si>
    <t>Almurta</t>
  </si>
  <si>
    <t>Alphington</t>
  </si>
  <si>
    <t>Altona</t>
  </si>
  <si>
    <t>Altona East</t>
  </si>
  <si>
    <t>Altona Gate</t>
  </si>
  <si>
    <t>Altona Meadows</t>
  </si>
  <si>
    <t>Altona North</t>
  </si>
  <si>
    <t>Alvie</t>
  </si>
  <si>
    <t>Amherst</t>
  </si>
  <si>
    <t>Amor</t>
  </si>
  <si>
    <t>Amphitheatre</t>
  </si>
  <si>
    <t>Anakie</t>
  </si>
  <si>
    <t>Ancona</t>
  </si>
  <si>
    <t>Anderson</t>
  </si>
  <si>
    <t>Anglers Rest</t>
  </si>
  <si>
    <t>Anglesea</t>
  </si>
  <si>
    <t>Annuello</t>
  </si>
  <si>
    <t>Antwerp</t>
  </si>
  <si>
    <t>Apollo Bay</t>
  </si>
  <si>
    <t>Appin</t>
  </si>
  <si>
    <t>Appin South</t>
  </si>
  <si>
    <t>Apsley</t>
  </si>
  <si>
    <t>Arapiles</t>
  </si>
  <si>
    <t>Ararat</t>
  </si>
  <si>
    <t>Arawata</t>
  </si>
  <si>
    <t>Arbuckle</t>
  </si>
  <si>
    <t>Arcadia</t>
  </si>
  <si>
    <t>Arcadia South</t>
  </si>
  <si>
    <t>Archdale</t>
  </si>
  <si>
    <t>Archdale Junction</t>
  </si>
  <si>
    <t>Archerton</t>
  </si>
  <si>
    <t>Archies Creek</t>
  </si>
  <si>
    <t>Ardeer</t>
  </si>
  <si>
    <t>Ardmona</t>
  </si>
  <si>
    <t>Areegra</t>
  </si>
  <si>
    <t>Argyle</t>
  </si>
  <si>
    <t>Armadale</t>
  </si>
  <si>
    <t>Armadale North</t>
  </si>
  <si>
    <t>Armstrong</t>
  </si>
  <si>
    <t>Armstrong Creek</t>
  </si>
  <si>
    <t>Arnold</t>
  </si>
  <si>
    <t>Arnold West</t>
  </si>
  <si>
    <t>Arthurs Creek</t>
  </si>
  <si>
    <t>Arthurs Seat</t>
  </si>
  <si>
    <t>Ascot</t>
  </si>
  <si>
    <t>Ascot Vale</t>
  </si>
  <si>
    <t>Ashbourne</t>
  </si>
  <si>
    <t>Ashburton</t>
  </si>
  <si>
    <t>Ashwood</t>
  </si>
  <si>
    <t>Aspendale</t>
  </si>
  <si>
    <t>Aspendale Gardens</t>
  </si>
  <si>
    <t>Athlone</t>
  </si>
  <si>
    <t>Attwood</t>
  </si>
  <si>
    <t>Aubrey</t>
  </si>
  <si>
    <t>Auburn</t>
  </si>
  <si>
    <t>Auburn South</t>
  </si>
  <si>
    <t>Auchmore</t>
  </si>
  <si>
    <t>Avalon</t>
  </si>
  <si>
    <t>Avenel</t>
  </si>
  <si>
    <t>Avoca</t>
  </si>
  <si>
    <t>Avon Plains</t>
  </si>
  <si>
    <t>Avondale Heights</t>
  </si>
  <si>
    <t>Avonmore</t>
  </si>
  <si>
    <t>Avonsleigh</t>
  </si>
  <si>
    <t>Axe Creek</t>
  </si>
  <si>
    <t>Axedale</t>
  </si>
  <si>
    <t>Ayrford</t>
  </si>
  <si>
    <t>Bacchus Marsh</t>
  </si>
  <si>
    <t>Baddaginnie</t>
  </si>
  <si>
    <t>Badger Creek</t>
  </si>
  <si>
    <t>Bael Bael</t>
  </si>
  <si>
    <t>Bagshot</t>
  </si>
  <si>
    <t>Bagshot North</t>
  </si>
  <si>
    <t>Bahgallah</t>
  </si>
  <si>
    <t>Bailieston</t>
  </si>
  <si>
    <t>Bairnsdale</t>
  </si>
  <si>
    <t>Bakery Hill</t>
  </si>
  <si>
    <t>Balaclava</t>
  </si>
  <si>
    <t>Bald Hills</t>
  </si>
  <si>
    <t>Balintore</t>
  </si>
  <si>
    <t>Ballan</t>
  </si>
  <si>
    <t>Ballangeich</t>
  </si>
  <si>
    <t>Ballapur</t>
  </si>
  <si>
    <t>Ballarat</t>
  </si>
  <si>
    <t>Ballarat Central</t>
  </si>
  <si>
    <t>Ballarat East</t>
  </si>
  <si>
    <t>Ballarat North</t>
  </si>
  <si>
    <t>Ballarat West</t>
  </si>
  <si>
    <t>Ballendella</t>
  </si>
  <si>
    <t>Balliang</t>
  </si>
  <si>
    <t>Balliang East</t>
  </si>
  <si>
    <t>Ballyrogan</t>
  </si>
  <si>
    <t>Balmattum</t>
  </si>
  <si>
    <t>Balmoral</t>
  </si>
  <si>
    <t>Balnarring</t>
  </si>
  <si>
    <t>Balnarring Beach</t>
  </si>
  <si>
    <t>Balook</t>
  </si>
  <si>
    <t>Balwyn</t>
  </si>
  <si>
    <t>Balwyn East</t>
  </si>
  <si>
    <t>Balwyn North</t>
  </si>
  <si>
    <t>Bamawm</t>
  </si>
  <si>
    <t>Bamawm Extension</t>
  </si>
  <si>
    <t>Bambra</t>
  </si>
  <si>
    <t>Bamganie</t>
  </si>
  <si>
    <t>Bandiana</t>
  </si>
  <si>
    <t>Bangerang</t>
  </si>
  <si>
    <t>Bangholme</t>
  </si>
  <si>
    <t>Banksia Peninsula</t>
  </si>
  <si>
    <t>Bannerton</t>
  </si>
  <si>
    <t>Bannockburn</t>
  </si>
  <si>
    <t>Banyan</t>
  </si>
  <si>
    <t>Banyena</t>
  </si>
  <si>
    <t>Banyule</t>
  </si>
  <si>
    <t>Baranduda</t>
  </si>
  <si>
    <t>Bareena</t>
  </si>
  <si>
    <t>Barfold</t>
  </si>
  <si>
    <t>Baringhup</t>
  </si>
  <si>
    <t>Baringhup West</t>
  </si>
  <si>
    <t>Barjarg</t>
  </si>
  <si>
    <t>Barkers Creek</t>
  </si>
  <si>
    <t>Barkly</t>
  </si>
  <si>
    <t>Barkstead</t>
  </si>
  <si>
    <t>Barmah</t>
  </si>
  <si>
    <t>Barnadown</t>
  </si>
  <si>
    <t>Barnawartha</t>
  </si>
  <si>
    <t>Barnawartha North</t>
  </si>
  <si>
    <t>Baromi</t>
  </si>
  <si>
    <t>Barongarook</t>
  </si>
  <si>
    <t>Barongarook West</t>
  </si>
  <si>
    <t>Barooga</t>
  </si>
  <si>
    <t>Barrabool</t>
  </si>
  <si>
    <t>Barrakee</t>
  </si>
  <si>
    <t>Barramunga</t>
  </si>
  <si>
    <t>Barraport</t>
  </si>
  <si>
    <t>Barraport West</t>
  </si>
  <si>
    <t>Barrys Reef</t>
  </si>
  <si>
    <t>Barunah Park</t>
  </si>
  <si>
    <t>Barunah Plains</t>
  </si>
  <si>
    <t>Barwidgee</t>
  </si>
  <si>
    <t>Barwite</t>
  </si>
  <si>
    <t>Barwon Downs</t>
  </si>
  <si>
    <t>Barwon Heads</t>
  </si>
  <si>
    <t>Basalt</t>
  </si>
  <si>
    <t>Bass</t>
  </si>
  <si>
    <t>Batesford</t>
  </si>
  <si>
    <t>Bathumi</t>
  </si>
  <si>
    <t>Batman</t>
  </si>
  <si>
    <t>Baw Baw</t>
  </si>
  <si>
    <t>Baw Baw Village</t>
  </si>
  <si>
    <t>Baxter</t>
  </si>
  <si>
    <t>Bayindeen</t>
  </si>
  <si>
    <t>Bayles</t>
  </si>
  <si>
    <t>Baynton</t>
  </si>
  <si>
    <t>Baynton East</t>
  </si>
  <si>
    <t>Bayswater</t>
  </si>
  <si>
    <t>Bayswater North</t>
  </si>
  <si>
    <t>Beaconsfield</t>
  </si>
  <si>
    <t>Beaconsfield Upper</t>
  </si>
  <si>
    <t>Bealiba</t>
  </si>
  <si>
    <t>Bearii</t>
  </si>
  <si>
    <t>Bears Lagoon</t>
  </si>
  <si>
    <t>Beauchamp</t>
  </si>
  <si>
    <t>Beaufort</t>
  </si>
  <si>
    <t>Beaumaris</t>
  </si>
  <si>
    <t>Beazleys Bridge</t>
  </si>
  <si>
    <t>Bedford Road</t>
  </si>
  <si>
    <t>Beeac</t>
  </si>
  <si>
    <t>Beech Forest</t>
  </si>
  <si>
    <t>Beechworth</t>
  </si>
  <si>
    <t>Beenak</t>
  </si>
  <si>
    <t>Belgrave</t>
  </si>
  <si>
    <t>Belgrave Heights</t>
  </si>
  <si>
    <t>Belgrave South</t>
  </si>
  <si>
    <t>Bell Park</t>
  </si>
  <si>
    <t>Bell Post Hill</t>
  </si>
  <si>
    <t>Bellarine</t>
  </si>
  <si>
    <t>Bellbird Creek</t>
  </si>
  <si>
    <t>Bellbrae</t>
  </si>
  <si>
    <t>Bellbridge</t>
  </si>
  <si>
    <t>Bellellen</t>
  </si>
  <si>
    <t>Bellfield</t>
  </si>
  <si>
    <t>Bells Beach</t>
  </si>
  <si>
    <t>Belmont</t>
  </si>
  <si>
    <t>Bemm River</t>
  </si>
  <si>
    <t>Bena</t>
  </si>
  <si>
    <t>Benalla</t>
  </si>
  <si>
    <t>Benambra</t>
  </si>
  <si>
    <t>Benayeo</t>
  </si>
  <si>
    <t>Bend Of Islands</t>
  </si>
  <si>
    <t>Bendigo</t>
  </si>
  <si>
    <t>Bendigo Forward</t>
  </si>
  <si>
    <t>Bendigo South</t>
  </si>
  <si>
    <t>Bendoc</t>
  </si>
  <si>
    <t>Bengworden</t>
  </si>
  <si>
    <t>Benjeroop</t>
  </si>
  <si>
    <t>Benloch</t>
  </si>
  <si>
    <t>Bennettswood</t>
  </si>
  <si>
    <t>Bennison</t>
  </si>
  <si>
    <t>Bentleigh</t>
  </si>
  <si>
    <t>Bentleigh East</t>
  </si>
  <si>
    <t>Benwerrin</t>
  </si>
  <si>
    <t>Beremboke</t>
  </si>
  <si>
    <t>Berrimal</t>
  </si>
  <si>
    <t>Berringa</t>
  </si>
  <si>
    <t>Berringama</t>
  </si>
  <si>
    <t>Berriwillock</t>
  </si>
  <si>
    <t>Berrybank</t>
  </si>
  <si>
    <t>Berrys Creek</t>
  </si>
  <si>
    <t>Berwick</t>
  </si>
  <si>
    <t>Bessiebelle</t>
  </si>
  <si>
    <t>Bet Bet</t>
  </si>
  <si>
    <t>Bete Bolong</t>
  </si>
  <si>
    <t>Bete Bolong North</t>
  </si>
  <si>
    <t>Bethanga</t>
  </si>
  <si>
    <t>Betley</t>
  </si>
  <si>
    <t>Beulah</t>
  </si>
  <si>
    <t>Beverford</t>
  </si>
  <si>
    <t>Beveridge</t>
  </si>
  <si>
    <t>Big Desert</t>
  </si>
  <si>
    <t>Big Hill</t>
  </si>
  <si>
    <t>Big Pats Creek</t>
  </si>
  <si>
    <t>Biggara</t>
  </si>
  <si>
    <t>Billabong</t>
  </si>
  <si>
    <t>Bimbourie</t>
  </si>
  <si>
    <t>Bindi</t>
  </si>
  <si>
    <t>Binginwarri</t>
  </si>
  <si>
    <t>Bingo Munjie</t>
  </si>
  <si>
    <t>Birchip</t>
  </si>
  <si>
    <t>Birchip West</t>
  </si>
  <si>
    <t>Birdwoodton</t>
  </si>
  <si>
    <t>Birregurra</t>
  </si>
  <si>
    <t>Bittern</t>
  </si>
  <si>
    <t>Black Hill</t>
  </si>
  <si>
    <t>Black Range</t>
  </si>
  <si>
    <t>Black Rock</t>
  </si>
  <si>
    <t>Black Rock North</t>
  </si>
  <si>
    <t>Blackburn</t>
  </si>
  <si>
    <t>Blackburn North</t>
  </si>
  <si>
    <t>Blackburn South</t>
  </si>
  <si>
    <t>Blackheath</t>
  </si>
  <si>
    <t>Blackwarry</t>
  </si>
  <si>
    <t>Blackwood</t>
  </si>
  <si>
    <t>Blackwood Forest</t>
  </si>
  <si>
    <t>Blairgowrie</t>
  </si>
  <si>
    <t>Blakeville</t>
  </si>
  <si>
    <t>Blampied</t>
  </si>
  <si>
    <t>Blind Bight</t>
  </si>
  <si>
    <t>Blowhard</t>
  </si>
  <si>
    <t>Bo Peep</t>
  </si>
  <si>
    <t>Bobinawarrah</t>
  </si>
  <si>
    <t>Bochara</t>
  </si>
  <si>
    <t>Bogong</t>
  </si>
  <si>
    <t>Boho</t>
  </si>
  <si>
    <t>Boho South</t>
  </si>
  <si>
    <t>Boigbeat</t>
  </si>
  <si>
    <t>Boinka</t>
  </si>
  <si>
    <t>Boisdale</t>
  </si>
  <si>
    <t>Bolangum</t>
  </si>
  <si>
    <t>Bolinda</t>
  </si>
  <si>
    <t>Bolton</t>
  </si>
  <si>
    <t>Bolwarra</t>
  </si>
  <si>
    <t>Bolwarrah</t>
  </si>
  <si>
    <t>Bona Vista</t>
  </si>
  <si>
    <t>Bonang</t>
  </si>
  <si>
    <t>Bonbeach</t>
  </si>
  <si>
    <t>Bonegilla</t>
  </si>
  <si>
    <t>Boneo</t>
  </si>
  <si>
    <t>Bonn</t>
  </si>
  <si>
    <t>Bonnie Doon</t>
  </si>
  <si>
    <t>Bonshaw</t>
  </si>
  <si>
    <t>Bookaar</t>
  </si>
  <si>
    <t>Boola</t>
  </si>
  <si>
    <t>Boolarong</t>
  </si>
  <si>
    <t>Boolarra</t>
  </si>
  <si>
    <t>Boolarra South</t>
  </si>
  <si>
    <t>Boole Poole</t>
  </si>
  <si>
    <t>Boolite</t>
  </si>
  <si>
    <t>Boomahnoomoonah</t>
  </si>
  <si>
    <t>Boonah</t>
  </si>
  <si>
    <t>Booran Road Po</t>
  </si>
  <si>
    <t>Boorcan</t>
  </si>
  <si>
    <t>Boorhaman</t>
  </si>
  <si>
    <t>Boorhaman East</t>
  </si>
  <si>
    <t>Boorhaman North</t>
  </si>
  <si>
    <t>Boorolite</t>
  </si>
  <si>
    <t>Boorool</t>
  </si>
  <si>
    <t>Boort</t>
  </si>
  <si>
    <t>Boosey</t>
  </si>
  <si>
    <t>Boralma</t>
  </si>
  <si>
    <t>Bornes Hill</t>
  </si>
  <si>
    <t>Boronia</t>
  </si>
  <si>
    <t>Borung</t>
  </si>
  <si>
    <t>Bostocks Creek</t>
  </si>
  <si>
    <t>Botanic Ridge</t>
  </si>
  <si>
    <t>Boundary Bend</t>
  </si>
  <si>
    <t>Bowenvale</t>
  </si>
  <si>
    <t>Boweya</t>
  </si>
  <si>
    <t>Boweya North</t>
  </si>
  <si>
    <t>Bowmans Forest</t>
  </si>
  <si>
    <t>Bowser</t>
  </si>
  <si>
    <t>Box Hill</t>
  </si>
  <si>
    <t>Box Hill Central</t>
  </si>
  <si>
    <t>Box Hill North</t>
  </si>
  <si>
    <t>Box Hill South</t>
  </si>
  <si>
    <t>Boxwood</t>
  </si>
  <si>
    <t>Bradford</t>
  </si>
  <si>
    <t>Bradvale</t>
  </si>
  <si>
    <t>Braeside</t>
  </si>
  <si>
    <t>Branditt</t>
  </si>
  <si>
    <t>Brandon Park</t>
  </si>
  <si>
    <t>Brandy Creek</t>
  </si>
  <si>
    <t>Branxholme</t>
  </si>
  <si>
    <t>Bravington</t>
  </si>
  <si>
    <t>Braybrook</t>
  </si>
  <si>
    <t>Breakaway Creek</t>
  </si>
  <si>
    <t>Breakwater</t>
  </si>
  <si>
    <t>Breamlea</t>
  </si>
  <si>
    <t>Brenanah</t>
  </si>
  <si>
    <t>Brentford Square</t>
  </si>
  <si>
    <t>Brewster</t>
  </si>
  <si>
    <t>Briagolong</t>
  </si>
  <si>
    <t>Briar Hill</t>
  </si>
  <si>
    <t>Bridge Creek</t>
  </si>
  <si>
    <t>Bridgewater</t>
  </si>
  <si>
    <t>Bridgewater North</t>
  </si>
  <si>
    <t>Bridgewater On Loddon</t>
  </si>
  <si>
    <t>Bright</t>
  </si>
  <si>
    <t>Brighton</t>
  </si>
  <si>
    <t>Brighton East</t>
  </si>
  <si>
    <t>Brighton North</t>
  </si>
  <si>
    <t>Brighton Road</t>
  </si>
  <si>
    <t>Brim</t>
  </si>
  <si>
    <t>Brimboal</t>
  </si>
  <si>
    <t>Brimin</t>
  </si>
  <si>
    <t>Brimpaen</t>
  </si>
  <si>
    <t>Bringalbert</t>
  </si>
  <si>
    <t>Bringenbrong</t>
  </si>
  <si>
    <t>Brit Brit</t>
  </si>
  <si>
    <t>Broadford</t>
  </si>
  <si>
    <t>Broadlands</t>
  </si>
  <si>
    <t>Broadmeadows</t>
  </si>
  <si>
    <t>Broadwater</t>
  </si>
  <si>
    <t>Brodribb River</t>
  </si>
  <si>
    <t>Broken Creek</t>
  </si>
  <si>
    <t>Bromley</t>
  </si>
  <si>
    <t>Brookfield</t>
  </si>
  <si>
    <t>Brooklyn</t>
  </si>
  <si>
    <t>Brookville</t>
  </si>
  <si>
    <t>Broomfield</t>
  </si>
  <si>
    <t>Broughton</t>
  </si>
  <si>
    <t>Brown Hill</t>
  </si>
  <si>
    <t>Browns Plains</t>
  </si>
  <si>
    <t>Bruarong</t>
  </si>
  <si>
    <t>Brucknell</t>
  </si>
  <si>
    <t>Brumby</t>
  </si>
  <si>
    <t>Brunswick</t>
  </si>
  <si>
    <t>Brunswick East</t>
  </si>
  <si>
    <t>Brunswick Lower</t>
  </si>
  <si>
    <t>Brunswick North</t>
  </si>
  <si>
    <t>Brunswick South</t>
  </si>
  <si>
    <t>Brunswick West</t>
  </si>
  <si>
    <t>Bruthen</t>
  </si>
  <si>
    <t>Buangor</t>
  </si>
  <si>
    <t>Buchan</t>
  </si>
  <si>
    <t>Buchan South</t>
  </si>
  <si>
    <t>Buckland</t>
  </si>
  <si>
    <t>Buckley</t>
  </si>
  <si>
    <t>Buckley Swamp</t>
  </si>
  <si>
    <t>Buckrabanyule</t>
  </si>
  <si>
    <t>Budgee Budgee</t>
  </si>
  <si>
    <t>Budgeree</t>
  </si>
  <si>
    <t>Budgerum East</t>
  </si>
  <si>
    <t>Buffalo</t>
  </si>
  <si>
    <t>Buffalo River</t>
  </si>
  <si>
    <t>Bulart</t>
  </si>
  <si>
    <t>Buldah</t>
  </si>
  <si>
    <t>Bulga</t>
  </si>
  <si>
    <t>Bulgana</t>
  </si>
  <si>
    <t>Bulla</t>
  </si>
  <si>
    <t>Bullaharre</t>
  </si>
  <si>
    <t>Bullarook</t>
  </si>
  <si>
    <t>Bullarto</t>
  </si>
  <si>
    <t>Bullarto South</t>
  </si>
  <si>
    <t>Bulleen</t>
  </si>
  <si>
    <t>Bullengarook</t>
  </si>
  <si>
    <t>Bullioh</t>
  </si>
  <si>
    <t>Bullumwaal</t>
  </si>
  <si>
    <t>Buln Buln</t>
  </si>
  <si>
    <t>Buln Buln East</t>
  </si>
  <si>
    <t>Bumberrah</t>
  </si>
  <si>
    <t>Bunbartha</t>
  </si>
  <si>
    <t>Bundalaguah</t>
  </si>
  <si>
    <t>Bundalong</t>
  </si>
  <si>
    <t>Bundalong South</t>
  </si>
  <si>
    <t>Bundara</t>
  </si>
  <si>
    <t>Bunding</t>
  </si>
  <si>
    <t>Bundoora</t>
  </si>
  <si>
    <t>Bung Bong</t>
  </si>
  <si>
    <t>Bungador</t>
  </si>
  <si>
    <t>Bungal</t>
  </si>
  <si>
    <t>Bungalally</t>
  </si>
  <si>
    <t>Bungaree</t>
  </si>
  <si>
    <t>Bungeet</t>
  </si>
  <si>
    <t>Bungeet West</t>
  </si>
  <si>
    <t>Bungil</t>
  </si>
  <si>
    <t>Bunguluke</t>
  </si>
  <si>
    <t>Buninyong</t>
  </si>
  <si>
    <t>Bunkers Hill</t>
  </si>
  <si>
    <t>Bunyip</t>
  </si>
  <si>
    <t>Bunyip North</t>
  </si>
  <si>
    <t>Buragwonduc</t>
  </si>
  <si>
    <t>Burkes Bridge</t>
  </si>
  <si>
    <t>Burkes Flat</t>
  </si>
  <si>
    <t>Burnbank</t>
  </si>
  <si>
    <t>Burnewang</t>
  </si>
  <si>
    <t>Burnley</t>
  </si>
  <si>
    <t>Burnley North</t>
  </si>
  <si>
    <t>Burnside</t>
  </si>
  <si>
    <t>Burnside Heights</t>
  </si>
  <si>
    <t>Burramboot</t>
  </si>
  <si>
    <t>Burramine</t>
  </si>
  <si>
    <t>Burramine South</t>
  </si>
  <si>
    <t>Burrowye</t>
  </si>
  <si>
    <t>Burrumbeet</t>
  </si>
  <si>
    <t>Burwood</t>
  </si>
  <si>
    <t>Burwood East</t>
  </si>
  <si>
    <t>Burwood Heights</t>
  </si>
  <si>
    <t>Bushfield</t>
  </si>
  <si>
    <t>Bushy Park</t>
  </si>
  <si>
    <t>Butchers Ridge</t>
  </si>
  <si>
    <t>Buxton</t>
  </si>
  <si>
    <t>Byaduk</t>
  </si>
  <si>
    <t>Byaduk North</t>
  </si>
  <si>
    <t>Byawatha</t>
  </si>
  <si>
    <t>Bylands</t>
  </si>
  <si>
    <t>Byrneside</t>
  </si>
  <si>
    <t>Cabarita</t>
  </si>
  <si>
    <t>Cabbage Tree</t>
  </si>
  <si>
    <t>Cabbage Tree Creek</t>
  </si>
  <si>
    <t>Cadello</t>
  </si>
  <si>
    <t>Cairnlea</t>
  </si>
  <si>
    <t>Calder Park</t>
  </si>
  <si>
    <t>Caldermeade</t>
  </si>
  <si>
    <t>California Gully</t>
  </si>
  <si>
    <t>Calivil</t>
  </si>
  <si>
    <t>Callawadda</t>
  </si>
  <si>
    <t>Callignee</t>
  </si>
  <si>
    <t>Callignee North</t>
  </si>
  <si>
    <t>Callignee South</t>
  </si>
  <si>
    <t>Calrossie</t>
  </si>
  <si>
    <t>Calulu</t>
  </si>
  <si>
    <t>Cambarville</t>
  </si>
  <si>
    <t>Camberwell</t>
  </si>
  <si>
    <t>Camberwell East</t>
  </si>
  <si>
    <t>Camberwell North</t>
  </si>
  <si>
    <t>Camberwell South</t>
  </si>
  <si>
    <t>Camberwell West</t>
  </si>
  <si>
    <t>Cambrian Hill</t>
  </si>
  <si>
    <t>Campbellfield</t>
  </si>
  <si>
    <t>Campbells Bridge</t>
  </si>
  <si>
    <t>Campbells Creek</t>
  </si>
  <si>
    <t>Campbells Forest</t>
  </si>
  <si>
    <t>Campbelltown</t>
  </si>
  <si>
    <t>Camperdown</t>
  </si>
  <si>
    <t>Canadian</t>
  </si>
  <si>
    <t>Canary Island</t>
  </si>
  <si>
    <t>Caniambo</t>
  </si>
  <si>
    <t>Cann River</t>
  </si>
  <si>
    <t>Cannie</t>
  </si>
  <si>
    <t>Cannons Creek</t>
  </si>
  <si>
    <t>Cannum</t>
  </si>
  <si>
    <t>Canterbury</t>
  </si>
  <si>
    <t>Cape Bridgewater</t>
  </si>
  <si>
    <t>Cape Clear</t>
  </si>
  <si>
    <t>Cape Conran</t>
  </si>
  <si>
    <t>Cape Otway</t>
  </si>
  <si>
    <t>Cape Paterson</t>
  </si>
  <si>
    <t>Cape Schanck</t>
  </si>
  <si>
    <t>Cape Woolamai</t>
  </si>
  <si>
    <t>Capels Crossing</t>
  </si>
  <si>
    <t>Carag Carag</t>
  </si>
  <si>
    <t>Caralulup</t>
  </si>
  <si>
    <t>Caramut</t>
  </si>
  <si>
    <t>Carapooee</t>
  </si>
  <si>
    <t>Carapooee West</t>
  </si>
  <si>
    <t>Carapook</t>
  </si>
  <si>
    <t>Carboor</t>
  </si>
  <si>
    <t>Cardigan</t>
  </si>
  <si>
    <t>Cardigan Village</t>
  </si>
  <si>
    <t>Cardinia</t>
  </si>
  <si>
    <t>Cardross</t>
  </si>
  <si>
    <t>Cargerie</t>
  </si>
  <si>
    <t>Carina</t>
  </si>
  <si>
    <t>Caringal</t>
  </si>
  <si>
    <t>Carisbrook</t>
  </si>
  <si>
    <t>Carlisle River</t>
  </si>
  <si>
    <t>Carlsruhe</t>
  </si>
  <si>
    <t>Carlton</t>
  </si>
  <si>
    <t>Carlton North</t>
  </si>
  <si>
    <t>Carlton South</t>
  </si>
  <si>
    <t>Carlyle</t>
  </si>
  <si>
    <t>Carnegie</t>
  </si>
  <si>
    <t>Carngham</t>
  </si>
  <si>
    <t>Caroline Springs</t>
  </si>
  <si>
    <t>Carpendeit</t>
  </si>
  <si>
    <t>Carrajung</t>
  </si>
  <si>
    <t>Carrajung Lower</t>
  </si>
  <si>
    <t>Carrajung South</t>
  </si>
  <si>
    <t>Carranballac</t>
  </si>
  <si>
    <t>Carron</t>
  </si>
  <si>
    <t>Carrum</t>
  </si>
  <si>
    <t>Carrum Downs</t>
  </si>
  <si>
    <t>Carwarp</t>
  </si>
  <si>
    <t>Cashmore</t>
  </si>
  <si>
    <t>Cassilis</t>
  </si>
  <si>
    <t>Castella</t>
  </si>
  <si>
    <t>Casterton</t>
  </si>
  <si>
    <t>Castle Creek</t>
  </si>
  <si>
    <t>Castle Donnington</t>
  </si>
  <si>
    <t>Castlemaine</t>
  </si>
  <si>
    <t>Catani</t>
  </si>
  <si>
    <t>Cathcart</t>
  </si>
  <si>
    <t>Cathkin</t>
  </si>
  <si>
    <t>Catumnal</t>
  </si>
  <si>
    <t>Caulfield</t>
  </si>
  <si>
    <t>Caulfield East</t>
  </si>
  <si>
    <t>Caulfield Junction</t>
  </si>
  <si>
    <t>Caulfield North</t>
  </si>
  <si>
    <t>Caulfield South</t>
  </si>
  <si>
    <t>Caveat</t>
  </si>
  <si>
    <t>Cavendish</t>
  </si>
  <si>
    <t>Central Park</t>
  </si>
  <si>
    <t>Ceres</t>
  </si>
  <si>
    <t>Chadstone</t>
  </si>
  <si>
    <t>Chadstone Centre</t>
  </si>
  <si>
    <t>Chandlers Creek</t>
  </si>
  <si>
    <t>Chapel Flat</t>
  </si>
  <si>
    <t>Chapple Vale</t>
  </si>
  <si>
    <t>Charam</t>
  </si>
  <si>
    <t>Charlemont</t>
  </si>
  <si>
    <t>Charleroi</t>
  </si>
  <si>
    <t>Charlton</t>
  </si>
  <si>
    <t>Chatsworth</t>
  </si>
  <si>
    <t>Chelsea</t>
  </si>
  <si>
    <t>Chelsea Heights</t>
  </si>
  <si>
    <t>Cheltenham</t>
  </si>
  <si>
    <t>Cheltenham East</t>
  </si>
  <si>
    <t>Chepstowe</t>
  </si>
  <si>
    <t>Cherokee</t>
  </si>
  <si>
    <t>Cherrypool</t>
  </si>
  <si>
    <t>Cheshunt</t>
  </si>
  <si>
    <t>Cheshunt South</t>
  </si>
  <si>
    <t>Chesney Vale</t>
  </si>
  <si>
    <t>Chetwynd</t>
  </si>
  <si>
    <t>Chewton</t>
  </si>
  <si>
    <t>Chewton Bushlands</t>
  </si>
  <si>
    <t>Childers</t>
  </si>
  <si>
    <t>Chillingollah</t>
  </si>
  <si>
    <t>Chiltern</t>
  </si>
  <si>
    <t>Chiltern Valley</t>
  </si>
  <si>
    <t>Chinangin</t>
  </si>
  <si>
    <t>Chinkapook</t>
  </si>
  <si>
    <t>Chintin</t>
  </si>
  <si>
    <t>Chirnside Park</t>
  </si>
  <si>
    <t>Chirrip</t>
  </si>
  <si>
    <t>Chocolyn</t>
  </si>
  <si>
    <t>Christmas Hills</t>
  </si>
  <si>
    <t>Chum Creek</t>
  </si>
  <si>
    <t>Churchill</t>
  </si>
  <si>
    <t>Churchill Island</t>
  </si>
  <si>
    <t>Chute</t>
  </si>
  <si>
    <t>Clarendon</t>
  </si>
  <si>
    <t>Claretown</t>
  </si>
  <si>
    <t>Clarinda</t>
  </si>
  <si>
    <t>Clarkefield</t>
  </si>
  <si>
    <t>Clarkes Hill</t>
  </si>
  <si>
    <t>Clayton</t>
  </si>
  <si>
    <t>Clayton South</t>
  </si>
  <si>
    <t>Clear Lake</t>
  </si>
  <si>
    <t>Clematis</t>
  </si>
  <si>
    <t>Clifton Creek</t>
  </si>
  <si>
    <t>Clifton Hill</t>
  </si>
  <si>
    <t>Clifton Springs</t>
  </si>
  <si>
    <t>Clonbinane</t>
  </si>
  <si>
    <t>Clover Flat</t>
  </si>
  <si>
    <t>Cloverlea</t>
  </si>
  <si>
    <t>Club Terrace</t>
  </si>
  <si>
    <t>Clunes</t>
  </si>
  <si>
    <t>Clyde</t>
  </si>
  <si>
    <t>Clyde North</t>
  </si>
  <si>
    <t>Clydebank</t>
  </si>
  <si>
    <t>Clydesdale</t>
  </si>
  <si>
    <t>Coalville</t>
  </si>
  <si>
    <t>Cobains</t>
  </si>
  <si>
    <t>Cobaw</t>
  </si>
  <si>
    <t>Cobbannah</t>
  </si>
  <si>
    <t>Cobberas</t>
  </si>
  <si>
    <t>Cobden</t>
  </si>
  <si>
    <t>Cobram</t>
  </si>
  <si>
    <t>Cobram East</t>
  </si>
  <si>
    <t>Cobrico</t>
  </si>
  <si>
    <t>Cobungra</t>
  </si>
  <si>
    <t>Coburg</t>
  </si>
  <si>
    <t>Coburg North</t>
  </si>
  <si>
    <t>Cocamba</t>
  </si>
  <si>
    <t>Cochranes Creek</t>
  </si>
  <si>
    <t>Cockatoo</t>
  </si>
  <si>
    <t>Cocoroc</t>
  </si>
  <si>
    <t>Codrington</t>
  </si>
  <si>
    <t>Coghills Creek</t>
  </si>
  <si>
    <t>Cohuna</t>
  </si>
  <si>
    <t>Coimadai</t>
  </si>
  <si>
    <t>Cokum</t>
  </si>
  <si>
    <t>Colac</t>
  </si>
  <si>
    <t>Colac Colac</t>
  </si>
  <si>
    <t>Colac East</t>
  </si>
  <si>
    <t>Colac West</t>
  </si>
  <si>
    <t>Colbinabbin</t>
  </si>
  <si>
    <t>Colbrook</t>
  </si>
  <si>
    <t>Coldstream</t>
  </si>
  <si>
    <t>Coleraine</t>
  </si>
  <si>
    <t>Colignan</t>
  </si>
  <si>
    <t>Collingwood</t>
  </si>
  <si>
    <t>Collingwood North</t>
  </si>
  <si>
    <t>Colliver</t>
  </si>
  <si>
    <t>Combienbar</t>
  </si>
  <si>
    <t>Concongella</t>
  </si>
  <si>
    <t>Condah</t>
  </si>
  <si>
    <t>Condah Swamp</t>
  </si>
  <si>
    <t>Congupna</t>
  </si>
  <si>
    <t>Connewarre</t>
  </si>
  <si>
    <t>Connewirricoo</t>
  </si>
  <si>
    <t>Coojar</t>
  </si>
  <si>
    <t>Coolaroo</t>
  </si>
  <si>
    <t>Cooma</t>
  </si>
  <si>
    <t>Coomboona</t>
  </si>
  <si>
    <t>Coomoora</t>
  </si>
  <si>
    <t>Coongulla</t>
  </si>
  <si>
    <t>Coonooer Bridge</t>
  </si>
  <si>
    <t>Coonooer West</t>
  </si>
  <si>
    <t>Coopers Creek</t>
  </si>
  <si>
    <t>Cooriemungle</t>
  </si>
  <si>
    <t>Cope Cope</t>
  </si>
  <si>
    <t>Cora Lynn</t>
  </si>
  <si>
    <t>Corack</t>
  </si>
  <si>
    <t>Corack East</t>
  </si>
  <si>
    <t>Coragulac</t>
  </si>
  <si>
    <t>Coral Bank</t>
  </si>
  <si>
    <t>Corindhap</t>
  </si>
  <si>
    <t>Corinella</t>
  </si>
  <si>
    <t>Corio</t>
  </si>
  <si>
    <t>Corndale</t>
  </si>
  <si>
    <t>Cornella</t>
  </si>
  <si>
    <t>Cornishtown</t>
  </si>
  <si>
    <t>Coronet Bay</t>
  </si>
  <si>
    <t>Corop</t>
  </si>
  <si>
    <t>Corop West</t>
  </si>
  <si>
    <t>Cororooke</t>
  </si>
  <si>
    <t>Corringle</t>
  </si>
  <si>
    <t>Corryong</t>
  </si>
  <si>
    <t>Corunnun</t>
  </si>
  <si>
    <t>Cosgrove</t>
  </si>
  <si>
    <t>Cosgrove South</t>
  </si>
  <si>
    <t>Costerfield</t>
  </si>
  <si>
    <t>Cotham</t>
  </si>
  <si>
    <t>Cotswold</t>
  </si>
  <si>
    <t>Cottles Bridge</t>
  </si>
  <si>
    <t>Cowa</t>
  </si>
  <si>
    <t>Cowangie</t>
  </si>
  <si>
    <t>Cowes</t>
  </si>
  <si>
    <t>Cowleys Creek</t>
  </si>
  <si>
    <t>Cowwarr</t>
  </si>
  <si>
    <t>Craigie</t>
  </si>
  <si>
    <t>Craigieburn</t>
  </si>
  <si>
    <t>Cranbourne</t>
  </si>
  <si>
    <t>Cranbourne East</t>
  </si>
  <si>
    <t>Cranbourne North</t>
  </si>
  <si>
    <t>Cranbourne South</t>
  </si>
  <si>
    <t>Cranbourne West</t>
  </si>
  <si>
    <t>Creek Junction</t>
  </si>
  <si>
    <t>Creek View</t>
  </si>
  <si>
    <t>Creightons Creek</t>
  </si>
  <si>
    <t>Cremorne</t>
  </si>
  <si>
    <t>Cressy</t>
  </si>
  <si>
    <t>Creswick</t>
  </si>
  <si>
    <t>Creswick North</t>
  </si>
  <si>
    <t>Crib Point</t>
  </si>
  <si>
    <t>Cromer</t>
  </si>
  <si>
    <t>Crookayan</t>
  </si>
  <si>
    <t>Crooked River</t>
  </si>
  <si>
    <t>Cross Keys</t>
  </si>
  <si>
    <t>Cross Roads</t>
  </si>
  <si>
    <t>Crossley</t>
  </si>
  <si>
    <t>Crossover</t>
  </si>
  <si>
    <t>Crowlands</t>
  </si>
  <si>
    <t>Croxton East</t>
  </si>
  <si>
    <t>Croydon</t>
  </si>
  <si>
    <t>Croydon Hills</t>
  </si>
  <si>
    <t>Croydon North</t>
  </si>
  <si>
    <t>Croydon South</t>
  </si>
  <si>
    <t>Crymelon</t>
  </si>
  <si>
    <t>Crystal Creek</t>
  </si>
  <si>
    <t>Cudgee</t>
  </si>
  <si>
    <t>Cudgewa</t>
  </si>
  <si>
    <t>Culgoa</t>
  </si>
  <si>
    <t>Culla</t>
  </si>
  <si>
    <t>Cullen</t>
  </si>
  <si>
    <t>Cullulleraine</t>
  </si>
  <si>
    <t>Cundare</t>
  </si>
  <si>
    <t>Cundare North</t>
  </si>
  <si>
    <t>Curdies River</t>
  </si>
  <si>
    <t>Curdievale</t>
  </si>
  <si>
    <t>Curlewis</t>
  </si>
  <si>
    <t>Curyo</t>
  </si>
  <si>
    <t>Dadswells Bridge</t>
  </si>
  <si>
    <t>Daisy Hill</t>
  </si>
  <si>
    <t>Dales Creek</t>
  </si>
  <si>
    <t>Dallas</t>
  </si>
  <si>
    <t>Dalmore</t>
  </si>
  <si>
    <t>Daltons Bridge</t>
  </si>
  <si>
    <t>Dalyenong</t>
  </si>
  <si>
    <t>Dalyston</t>
  </si>
  <si>
    <t>Dandenong</t>
  </si>
  <si>
    <t>Dandenong East</t>
  </si>
  <si>
    <t>Dandenong North</t>
  </si>
  <si>
    <t>Dandenong South</t>
  </si>
  <si>
    <t>Dandongadale</t>
  </si>
  <si>
    <t>Dargo</t>
  </si>
  <si>
    <t>Darley</t>
  </si>
  <si>
    <t>Darlimurla</t>
  </si>
  <si>
    <t>Darling</t>
  </si>
  <si>
    <t>Darling South</t>
  </si>
  <si>
    <t>Darlington</t>
  </si>
  <si>
    <t>Darnum</t>
  </si>
  <si>
    <t>Darraweit Guim</t>
  </si>
  <si>
    <t>Darriman</t>
  </si>
  <si>
    <t>Dartmoor</t>
  </si>
  <si>
    <t>Dartmouth</t>
  </si>
  <si>
    <t>Dawson</t>
  </si>
  <si>
    <t>Daylesford</t>
  </si>
  <si>
    <t>Dean</t>
  </si>
  <si>
    <t>Deans Marsh</t>
  </si>
  <si>
    <t>Deddick Valley</t>
  </si>
  <si>
    <t>Dederang</t>
  </si>
  <si>
    <t>Deep Lead</t>
  </si>
  <si>
    <t>Deepdene</t>
  </si>
  <si>
    <t>Deer Park</t>
  </si>
  <si>
    <t>Deer Park East</t>
  </si>
  <si>
    <t>Deer Park North</t>
  </si>
  <si>
    <t>Delacombe</t>
  </si>
  <si>
    <t>Delahey</t>
  </si>
  <si>
    <t>Delatite</t>
  </si>
  <si>
    <t>Delburn</t>
  </si>
  <si>
    <t>Delegate River</t>
  </si>
  <si>
    <t>Dendy</t>
  </si>
  <si>
    <t>Denicull Creek</t>
  </si>
  <si>
    <t>Denison</t>
  </si>
  <si>
    <t>Dennington</t>
  </si>
  <si>
    <t>Denver</t>
  </si>
  <si>
    <t>Deptford</t>
  </si>
  <si>
    <t>Derby</t>
  </si>
  <si>
    <t>Dereel</t>
  </si>
  <si>
    <t>Dergholm</t>
  </si>
  <si>
    <t>Derrimut</t>
  </si>
  <si>
    <t>Derrinal</t>
  </si>
  <si>
    <t>Derrinallum</t>
  </si>
  <si>
    <t>Devenish</t>
  </si>
  <si>
    <t>Devils River</t>
  </si>
  <si>
    <t>Devon Meadows</t>
  </si>
  <si>
    <t>Devon North</t>
  </si>
  <si>
    <t>Dewhurst</t>
  </si>
  <si>
    <t>Dhurringile</t>
  </si>
  <si>
    <t>Diamond Creek</t>
  </si>
  <si>
    <t>Digby</t>
  </si>
  <si>
    <t>Diggers Rest</t>
  </si>
  <si>
    <t>Diggora</t>
  </si>
  <si>
    <t>Dimboola</t>
  </si>
  <si>
    <t>Dingee</t>
  </si>
  <si>
    <t>Dingley Village</t>
  </si>
  <si>
    <t>Dingwall</t>
  </si>
  <si>
    <t>Dinner Plain</t>
  </si>
  <si>
    <t>Dixie</t>
  </si>
  <si>
    <t>Dixons Creek</t>
  </si>
  <si>
    <t>Dobie</t>
  </si>
  <si>
    <t>Docker</t>
  </si>
  <si>
    <t>Dockers Plains</t>
  </si>
  <si>
    <t>Docklands</t>
  </si>
  <si>
    <t>Doctors Flat</t>
  </si>
  <si>
    <t>Dollar</t>
  </si>
  <si>
    <t>Don Valley</t>
  </si>
  <si>
    <t>Donald</t>
  </si>
  <si>
    <t>Doncaster</t>
  </si>
  <si>
    <t>Doncaster East</t>
  </si>
  <si>
    <t>Doncaster Heights</t>
  </si>
  <si>
    <t>Donnybrook</t>
  </si>
  <si>
    <t>Donvale</t>
  </si>
  <si>
    <t>Dooboobetic</t>
  </si>
  <si>
    <t>Dooen</t>
  </si>
  <si>
    <t>Dookie</t>
  </si>
  <si>
    <t>Dookie College</t>
  </si>
  <si>
    <t>Doreen</t>
  </si>
  <si>
    <t>Dorodong</t>
  </si>
  <si>
    <t>Double Bridges</t>
  </si>
  <si>
    <t>Douglas</t>
  </si>
  <si>
    <t>Doveton</t>
  </si>
  <si>
    <t>Dreeite</t>
  </si>
  <si>
    <t>Dreeite South</t>
  </si>
  <si>
    <t>Driffield</t>
  </si>
  <si>
    <t>Drik Drik</t>
  </si>
  <si>
    <t>Dromana</t>
  </si>
  <si>
    <t>Dropmore</t>
  </si>
  <si>
    <t>Drouin</t>
  </si>
  <si>
    <t>Drouin East</t>
  </si>
  <si>
    <t>Drouin South</t>
  </si>
  <si>
    <t>Drouin West</t>
  </si>
  <si>
    <t>Drumanure</t>
  </si>
  <si>
    <t>Drumborg</t>
  </si>
  <si>
    <t>Drumcondra</t>
  </si>
  <si>
    <t>Drummartin</t>
  </si>
  <si>
    <t>Drummond</t>
  </si>
  <si>
    <t>Drummond North</t>
  </si>
  <si>
    <t>Drung</t>
  </si>
  <si>
    <t>Dry Diggings</t>
  </si>
  <si>
    <t>Drysdale</t>
  </si>
  <si>
    <t>Duchembegarra</t>
  </si>
  <si>
    <t>Dumbalk</t>
  </si>
  <si>
    <t>Dumbalk North</t>
  </si>
  <si>
    <t>Dumosa</t>
  </si>
  <si>
    <t>Dunach</t>
  </si>
  <si>
    <t>Dundonnell</t>
  </si>
  <si>
    <t>Dunearn</t>
  </si>
  <si>
    <t>Dunkeld</t>
  </si>
  <si>
    <t>Dunkirk</t>
  </si>
  <si>
    <t>Dunluce</t>
  </si>
  <si>
    <t>Dunneworthy</t>
  </si>
  <si>
    <t>Dunnstown</t>
  </si>
  <si>
    <t>Dunolly</t>
  </si>
  <si>
    <t>Dunrobin</t>
  </si>
  <si>
    <t>Durdidwarrah</t>
  </si>
  <si>
    <t>Durham Lead</t>
  </si>
  <si>
    <t>Durham Ox</t>
  </si>
  <si>
    <t>Dutson</t>
  </si>
  <si>
    <t>Dutson Downs</t>
  </si>
  <si>
    <t>Dutton Way</t>
  </si>
  <si>
    <t>Duverney</t>
  </si>
  <si>
    <t>Eagle Point</t>
  </si>
  <si>
    <t>Eaglehawk</t>
  </si>
  <si>
    <t>Eaglehawk North</t>
  </si>
  <si>
    <t>Eaglemont</t>
  </si>
  <si>
    <t>Earlston</t>
  </si>
  <si>
    <t>East Bairnsdale</t>
  </si>
  <si>
    <t>East Bendigo</t>
  </si>
  <si>
    <t>East Geelong</t>
  </si>
  <si>
    <t>East Melbourne</t>
  </si>
  <si>
    <t>East Sale</t>
  </si>
  <si>
    <t>East Wangaratta</t>
  </si>
  <si>
    <t>East Warburton</t>
  </si>
  <si>
    <t>Eastern View</t>
  </si>
  <si>
    <t>Eastville</t>
  </si>
  <si>
    <t>Eastwood</t>
  </si>
  <si>
    <t>Ebden</t>
  </si>
  <si>
    <t>Echuca</t>
  </si>
  <si>
    <t>Echuca South</t>
  </si>
  <si>
    <t>Echuca Village</t>
  </si>
  <si>
    <t>Echuca West</t>
  </si>
  <si>
    <t>Ecklin South</t>
  </si>
  <si>
    <t>Eddington</t>
  </si>
  <si>
    <t>Eden Park</t>
  </si>
  <si>
    <t>Edenhope</t>
  </si>
  <si>
    <t>Edgecombe</t>
  </si>
  <si>
    <t>Edi</t>
  </si>
  <si>
    <t>Edi Upper</t>
  </si>
  <si>
    <t>Edithvale</t>
  </si>
  <si>
    <t>Eganstown</t>
  </si>
  <si>
    <t>Eildon</t>
  </si>
  <si>
    <t>Elaine</t>
  </si>
  <si>
    <t>Eldorado</t>
  </si>
  <si>
    <t>Elevated Plains</t>
  </si>
  <si>
    <t>Elingamite</t>
  </si>
  <si>
    <t>Elingamite North</t>
  </si>
  <si>
    <t>Elizabeth Island</t>
  </si>
  <si>
    <t>Ellaswood</t>
  </si>
  <si>
    <t>Ellerslie</t>
  </si>
  <si>
    <t>Elliminyt</t>
  </si>
  <si>
    <t>Ellinbank</t>
  </si>
  <si>
    <t>Elmhurst</t>
  </si>
  <si>
    <t>Elmore</t>
  </si>
  <si>
    <t>Elphinstone</t>
  </si>
  <si>
    <t>Elsternwick</t>
  </si>
  <si>
    <t>Eltham</t>
  </si>
  <si>
    <t>Eltham North</t>
  </si>
  <si>
    <t>Elwood</t>
  </si>
  <si>
    <t>Emerald</t>
  </si>
  <si>
    <t>Emu</t>
  </si>
  <si>
    <t>Emu Creek</t>
  </si>
  <si>
    <t>Endeavour Hills</t>
  </si>
  <si>
    <t>Enfield</t>
  </si>
  <si>
    <t>Englefield</t>
  </si>
  <si>
    <t>Enochs Point</t>
  </si>
  <si>
    <t>Ensay</t>
  </si>
  <si>
    <t>Ensay North</t>
  </si>
  <si>
    <t>Eppalock</t>
  </si>
  <si>
    <t>Epping</t>
  </si>
  <si>
    <t>Epsom</t>
  </si>
  <si>
    <t>Ercildoune</t>
  </si>
  <si>
    <t>Erica</t>
  </si>
  <si>
    <t>Errinundra</t>
  </si>
  <si>
    <t>Eskdale</t>
  </si>
  <si>
    <t>Esmond</t>
  </si>
  <si>
    <t>Essendon</t>
  </si>
  <si>
    <t>Essendon Fields</t>
  </si>
  <si>
    <t>Essendon North</t>
  </si>
  <si>
    <t>Essendon West</t>
  </si>
  <si>
    <t>Eumemmerring</t>
  </si>
  <si>
    <t>Eurack</t>
  </si>
  <si>
    <t>Eureka</t>
  </si>
  <si>
    <t>Euroa</t>
  </si>
  <si>
    <t>Eurobin</t>
  </si>
  <si>
    <t>Evansford</t>
  </si>
  <si>
    <t>Eversley</t>
  </si>
  <si>
    <t>Everton</t>
  </si>
  <si>
    <t>Everton Upper</t>
  </si>
  <si>
    <t>Exford</t>
  </si>
  <si>
    <t>Eynesbury</t>
  </si>
  <si>
    <t>Fairbank</t>
  </si>
  <si>
    <t>Fairfield</t>
  </si>
  <si>
    <t>Fairhaven</t>
  </si>
  <si>
    <t>Fairley</t>
  </si>
  <si>
    <t>Fairy Dell</t>
  </si>
  <si>
    <t>Falls Creek</t>
  </si>
  <si>
    <t>Faraday</t>
  </si>
  <si>
    <t>Fawcett</t>
  </si>
  <si>
    <t>Fawkner</t>
  </si>
  <si>
    <t>Fentons Creek</t>
  </si>
  <si>
    <t>Ferguson</t>
  </si>
  <si>
    <t>Fern Hill</t>
  </si>
  <si>
    <t>Fernbank</t>
  </si>
  <si>
    <t>Ferndale</t>
  </si>
  <si>
    <t>Fernihurst</t>
  </si>
  <si>
    <t>Fernshaw</t>
  </si>
  <si>
    <t>Ferntree Gully</t>
  </si>
  <si>
    <t>Ferny Creek</t>
  </si>
  <si>
    <t>Fiery Flat</t>
  </si>
  <si>
    <t>Fingal</t>
  </si>
  <si>
    <t>Fish Creek</t>
  </si>
  <si>
    <t>Fish Point</t>
  </si>
  <si>
    <t>Fiskville</t>
  </si>
  <si>
    <t>Fitzroy</t>
  </si>
  <si>
    <t>Fitzroy North</t>
  </si>
  <si>
    <t>Flaggy Creek</t>
  </si>
  <si>
    <t>Flagstaff</t>
  </si>
  <si>
    <t>Flamingo Beach</t>
  </si>
  <si>
    <t>Flemington</t>
  </si>
  <si>
    <t>Flinders</t>
  </si>
  <si>
    <t>Flora Hill</t>
  </si>
  <si>
    <t>Flowerdale</t>
  </si>
  <si>
    <t>Flynn</t>
  </si>
  <si>
    <t>Flynns Creek</t>
  </si>
  <si>
    <t>Footscray</t>
  </si>
  <si>
    <t>Forbes</t>
  </si>
  <si>
    <t>Forest Hill</t>
  </si>
  <si>
    <t>Forge Creek</t>
  </si>
  <si>
    <t>Forrest</t>
  </si>
  <si>
    <t>Foster</t>
  </si>
  <si>
    <t>Foster North</t>
  </si>
  <si>
    <t>Fosterville</t>
  </si>
  <si>
    <t>Fountain Gate</t>
  </si>
  <si>
    <t>Foxhow</t>
  </si>
  <si>
    <t>Framlingham</t>
  </si>
  <si>
    <t>Framlingham East</t>
  </si>
  <si>
    <t>Franklinford</t>
  </si>
  <si>
    <t>Frankston</t>
  </si>
  <si>
    <t>Frankston East</t>
  </si>
  <si>
    <t>Frankston Heights</t>
  </si>
  <si>
    <t>Frankston North</t>
  </si>
  <si>
    <t>Frankston South</t>
  </si>
  <si>
    <t>Freeburgh</t>
  </si>
  <si>
    <t>French Island</t>
  </si>
  <si>
    <t>Frenchmans</t>
  </si>
  <si>
    <t>Freshwater Creek</t>
  </si>
  <si>
    <t>Fryerstown</t>
  </si>
  <si>
    <t>Fulham</t>
  </si>
  <si>
    <t>Fumina</t>
  </si>
  <si>
    <t>Fumina South</t>
  </si>
  <si>
    <t>Fyans Creek</t>
  </si>
  <si>
    <t>Fyansford</t>
  </si>
  <si>
    <t>Gaffneys Creek</t>
  </si>
  <si>
    <t>Gainsborough</t>
  </si>
  <si>
    <t>Gannawarra</t>
  </si>
  <si>
    <t>Gapsted</t>
  </si>
  <si>
    <t>Garden City</t>
  </si>
  <si>
    <t>Gardenvale</t>
  </si>
  <si>
    <t>Garfield</t>
  </si>
  <si>
    <t>Garfield North</t>
  </si>
  <si>
    <t>Garibaldi</t>
  </si>
  <si>
    <t>Garvoc</t>
  </si>
  <si>
    <t>Gateway Island</t>
  </si>
  <si>
    <t>Gatum</t>
  </si>
  <si>
    <t>Gazette</t>
  </si>
  <si>
    <t>Geelong</t>
  </si>
  <si>
    <t>Geelong Mc</t>
  </si>
  <si>
    <t>Geelong North</t>
  </si>
  <si>
    <t>Geelong West</t>
  </si>
  <si>
    <t>Gelantipy</t>
  </si>
  <si>
    <t>Gellibrand</t>
  </si>
  <si>
    <t>Gellibrand Lower</t>
  </si>
  <si>
    <t>Gelliondale</t>
  </si>
  <si>
    <t>Gembrook</t>
  </si>
  <si>
    <t>Genoa</t>
  </si>
  <si>
    <t>Gentle Annie</t>
  </si>
  <si>
    <t>Georges Creek</t>
  </si>
  <si>
    <t>Gerahmin</t>
  </si>
  <si>
    <t>Gerang Gerung</t>
  </si>
  <si>
    <t>Gerangamete</t>
  </si>
  <si>
    <t>Germania</t>
  </si>
  <si>
    <t>Germantown</t>
  </si>
  <si>
    <t>Gerrigerrup</t>
  </si>
  <si>
    <t>Gherang</t>
  </si>
  <si>
    <t>Gheringhap</t>
  </si>
  <si>
    <t>Ghin Ghin</t>
  </si>
  <si>
    <t>Giffard</t>
  </si>
  <si>
    <t>Giffard West</t>
  </si>
  <si>
    <t>Gil Gil</t>
  </si>
  <si>
    <t>Gilberton</t>
  </si>
  <si>
    <t>Gilderoy</t>
  </si>
  <si>
    <t>Gillieston</t>
  </si>
  <si>
    <t>Gillum</t>
  </si>
  <si>
    <t>Gipsy Point</t>
  </si>
  <si>
    <t>Girgarre</t>
  </si>
  <si>
    <t>Girgarre East</t>
  </si>
  <si>
    <t>Gisborne</t>
  </si>
  <si>
    <t>Gisborne South</t>
  </si>
  <si>
    <t>Gladfield</t>
  </si>
  <si>
    <t>Gladstone Park</t>
  </si>
  <si>
    <t>Gladysdale</t>
  </si>
  <si>
    <t>Glen Alvie</t>
  </si>
  <si>
    <t>Glen Creek</t>
  </si>
  <si>
    <t>Glen Forbes</t>
  </si>
  <si>
    <t>Glen Huntly</t>
  </si>
  <si>
    <t>Glen Iris</t>
  </si>
  <si>
    <t>Glen Park</t>
  </si>
  <si>
    <t>Glen Valley</t>
  </si>
  <si>
    <t>Glen Wills</t>
  </si>
  <si>
    <t>Glenaire</t>
  </si>
  <si>
    <t>Glenaladale</t>
  </si>
  <si>
    <t>Glenalbyn</t>
  </si>
  <si>
    <t>Glenaroua</t>
  </si>
  <si>
    <t>Glenbrae</t>
  </si>
  <si>
    <t>Glenburn</t>
  </si>
  <si>
    <t>Glendaruel</t>
  </si>
  <si>
    <t>Glendonald</t>
  </si>
  <si>
    <t>Glenfalloch</t>
  </si>
  <si>
    <t>Glenferrie South</t>
  </si>
  <si>
    <t>Glenfyne</t>
  </si>
  <si>
    <t>Glengala</t>
  </si>
  <si>
    <t>Glengarry</t>
  </si>
  <si>
    <t>Glengarry North</t>
  </si>
  <si>
    <t>Glengarry West</t>
  </si>
  <si>
    <t>Glengower</t>
  </si>
  <si>
    <t>Glenhope</t>
  </si>
  <si>
    <t>Glenhope East</t>
  </si>
  <si>
    <t>Glenisla</t>
  </si>
  <si>
    <t>Glenlee</t>
  </si>
  <si>
    <t>Glenlofty</t>
  </si>
  <si>
    <t>Glenlogie</t>
  </si>
  <si>
    <t>Glenloth</t>
  </si>
  <si>
    <t>Glenloth East</t>
  </si>
  <si>
    <t>Glenluce</t>
  </si>
  <si>
    <t>Glenlyon</t>
  </si>
  <si>
    <t>Glenmaggie</t>
  </si>
  <si>
    <t>Glenmore</t>
  </si>
  <si>
    <t>Glenorchy</t>
  </si>
  <si>
    <t>Glenormiston</t>
  </si>
  <si>
    <t>Glenormiston North</t>
  </si>
  <si>
    <t>Glenormiston South</t>
  </si>
  <si>
    <t>Glenpatrick</t>
  </si>
  <si>
    <t>Glenrowan</t>
  </si>
  <si>
    <t>Glenrowan West</t>
  </si>
  <si>
    <t>Glenroy</t>
  </si>
  <si>
    <t>Glenthompson</t>
  </si>
  <si>
    <t>Glomar Beach</t>
  </si>
  <si>
    <t>Gnarwarre</t>
  </si>
  <si>
    <t>Gnotuk</t>
  </si>
  <si>
    <t>Gobarup</t>
  </si>
  <si>
    <t>Gobur</t>
  </si>
  <si>
    <t>Golden Beach</t>
  </si>
  <si>
    <t>Golden Gully</t>
  </si>
  <si>
    <t>Golden Point</t>
  </si>
  <si>
    <t>Golden Square</t>
  </si>
  <si>
    <t>Goldie</t>
  </si>
  <si>
    <t>Goldsborough</t>
  </si>
  <si>
    <t>Gong Gong</t>
  </si>
  <si>
    <t>Gonn Crossing</t>
  </si>
  <si>
    <t>Goomalibee</t>
  </si>
  <si>
    <t>Goon Nure</t>
  </si>
  <si>
    <t>Goongerah</t>
  </si>
  <si>
    <t>Gooram</t>
  </si>
  <si>
    <t>Gooramadda</t>
  </si>
  <si>
    <t>Goorambat</t>
  </si>
  <si>
    <t>Goornong</t>
  </si>
  <si>
    <t>Gooroc</t>
  </si>
  <si>
    <t>Gorae</t>
  </si>
  <si>
    <t>Gorae West</t>
  </si>
  <si>
    <t>Gordon</t>
  </si>
  <si>
    <t>Gormandale</t>
  </si>
  <si>
    <t>Goroke</t>
  </si>
  <si>
    <t>Goschen</t>
  </si>
  <si>
    <t>Goughs Bay</t>
  </si>
  <si>
    <t>Goulburn Weir</t>
  </si>
  <si>
    <t>Gowanbrae</t>
  </si>
  <si>
    <t>Gowanford</t>
  </si>
  <si>
    <t>Gowangardie</t>
  </si>
  <si>
    <t>Gowar East</t>
  </si>
  <si>
    <t>Gower</t>
  </si>
  <si>
    <t>Grahamvale</t>
  </si>
  <si>
    <t>Grampians</t>
  </si>
  <si>
    <t>Grand Ridge</t>
  </si>
  <si>
    <t>Granite Flat</t>
  </si>
  <si>
    <t>Granite Rock</t>
  </si>
  <si>
    <t>Grantville</t>
  </si>
  <si>
    <t>Granya</t>
  </si>
  <si>
    <t>Grass Flat</t>
  </si>
  <si>
    <t>Grassdale</t>
  </si>
  <si>
    <t>Grassmere</t>
  </si>
  <si>
    <t>Grays Bridge</t>
  </si>
  <si>
    <t>Graytown</t>
  </si>
  <si>
    <t>Gre Gre</t>
  </si>
  <si>
    <t>Gre Gre North</t>
  </si>
  <si>
    <t>Gre Gre South</t>
  </si>
  <si>
    <t>Great Southern</t>
  </si>
  <si>
    <t>Great Western</t>
  </si>
  <si>
    <t>Gredgwin</t>
  </si>
  <si>
    <t>Green Gully</t>
  </si>
  <si>
    <t>Greendale</t>
  </si>
  <si>
    <t>Greenhill</t>
  </si>
  <si>
    <t>Greens Creek</t>
  </si>
  <si>
    <t>Greensborough</t>
  </si>
  <si>
    <t>Greenvale</t>
  </si>
  <si>
    <t>Greenwald</t>
  </si>
  <si>
    <t>Grenville</t>
  </si>
  <si>
    <t>Greta</t>
  </si>
  <si>
    <t>Greta South</t>
  </si>
  <si>
    <t>Greta West</t>
  </si>
  <si>
    <t>Grey River</t>
  </si>
  <si>
    <t>Greythorn</t>
  </si>
  <si>
    <t>Gringegalgona</t>
  </si>
  <si>
    <t>Gritjurk</t>
  </si>
  <si>
    <t>Grovedale</t>
  </si>
  <si>
    <t>Grovedale East</t>
  </si>
  <si>
    <t>Gruyere</t>
  </si>
  <si>
    <t>Guildford</t>
  </si>
  <si>
    <t>Gunbower</t>
  </si>
  <si>
    <t>Gundowring</t>
  </si>
  <si>
    <t>Gunyah</t>
  </si>
  <si>
    <t>Guys Forest</t>
  </si>
  <si>
    <t>Guys Hill</t>
  </si>
  <si>
    <t>Gymbowen</t>
  </si>
  <si>
    <t>Haddon</t>
  </si>
  <si>
    <t>Hadfield</t>
  </si>
  <si>
    <t>Hallam</t>
  </si>
  <si>
    <t>Hallora</t>
  </si>
  <si>
    <t>Halls Gap</t>
  </si>
  <si>
    <t>Hallston</t>
  </si>
  <si>
    <t>Hamilton</t>
  </si>
  <si>
    <t>Hamlyn Heights</t>
  </si>
  <si>
    <t>Hampton</t>
  </si>
  <si>
    <t>Hampton East</t>
  </si>
  <si>
    <t>Hampton North</t>
  </si>
  <si>
    <t>Hampton Park</t>
  </si>
  <si>
    <t>Hansonville</t>
  </si>
  <si>
    <t>Happy Valley</t>
  </si>
  <si>
    <t>Harcourt</t>
  </si>
  <si>
    <t>Harcourt North</t>
  </si>
  <si>
    <t>Harkaway</t>
  </si>
  <si>
    <t>Harmers Haven</t>
  </si>
  <si>
    <t>Harrietville</t>
  </si>
  <si>
    <t>Harrow</t>
  </si>
  <si>
    <t>Harston</t>
  </si>
  <si>
    <t>Hartwell</t>
  </si>
  <si>
    <t>Hastings</t>
  </si>
  <si>
    <t>Hattah</t>
  </si>
  <si>
    <t>Havelock</t>
  </si>
  <si>
    <t>Haven</t>
  </si>
  <si>
    <t>Havilah</t>
  </si>
  <si>
    <t>Hawkesdale</t>
  </si>
  <si>
    <t>Hawkhurst</t>
  </si>
  <si>
    <t>Hawksburn</t>
  </si>
  <si>
    <t>Hawthorn</t>
  </si>
  <si>
    <t>Hawthorn East</t>
  </si>
  <si>
    <t>Hawthorn North</t>
  </si>
  <si>
    <t>Hawthorn West</t>
  </si>
  <si>
    <t>Haydens Bog</t>
  </si>
  <si>
    <t>Hazel Park</t>
  </si>
  <si>
    <t>Hazeldene</t>
  </si>
  <si>
    <t>Hazelwood</t>
  </si>
  <si>
    <t>Hazelwood North</t>
  </si>
  <si>
    <t>Hazelwood South</t>
  </si>
  <si>
    <t>Healesville</t>
  </si>
  <si>
    <t>Healesville Main Street</t>
  </si>
  <si>
    <t>Heath Hill</t>
  </si>
  <si>
    <t>Heathcote</t>
  </si>
  <si>
    <t>Heathcote Junction</t>
  </si>
  <si>
    <t>Heathcote South</t>
  </si>
  <si>
    <t>Heatherton</t>
  </si>
  <si>
    <t>Heathmere</t>
  </si>
  <si>
    <t>Heathmont</t>
  </si>
  <si>
    <t>Heathwood</t>
  </si>
  <si>
    <t>Hedley</t>
  </si>
  <si>
    <t>Heidelberg</t>
  </si>
  <si>
    <t>Heidelberg Heights</t>
  </si>
  <si>
    <t>Heidelberg Rgh</t>
  </si>
  <si>
    <t>Heidelberg West</t>
  </si>
  <si>
    <t>Hensley Park</t>
  </si>
  <si>
    <t>Henty</t>
  </si>
  <si>
    <t>Hepburn</t>
  </si>
  <si>
    <t>Hepburn Springs</t>
  </si>
  <si>
    <t>Herne Hill</t>
  </si>
  <si>
    <t>Hernes Oak</t>
  </si>
  <si>
    <t>Hesket</t>
  </si>
  <si>
    <t>Hesse</t>
  </si>
  <si>
    <t>Hexham</t>
  </si>
  <si>
    <t>Heyfield</t>
  </si>
  <si>
    <t>Heytesbury Lower</t>
  </si>
  <si>
    <t>Heywood</t>
  </si>
  <si>
    <t>Hiamdale</t>
  </si>
  <si>
    <t>Hiawatha</t>
  </si>
  <si>
    <t>High Camp</t>
  </si>
  <si>
    <t>Highett</t>
  </si>
  <si>
    <t>Highlands</t>
  </si>
  <si>
    <t>Highpoint City</t>
  </si>
  <si>
    <t>Highton</t>
  </si>
  <si>
    <t>Hilgay</t>
  </si>
  <si>
    <t>Hill End</t>
  </si>
  <si>
    <t>Hillcrest</t>
  </si>
  <si>
    <t>Hilldene</t>
  </si>
  <si>
    <t>Hillside</t>
  </si>
  <si>
    <t>Hinnomunjie</t>
  </si>
  <si>
    <t>Hmas Cerberus</t>
  </si>
  <si>
    <t>Hoddles Creek</t>
  </si>
  <si>
    <t>Hollands Landing</t>
  </si>
  <si>
    <t>Holmesglen</t>
  </si>
  <si>
    <t>Homebush</t>
  </si>
  <si>
    <t>Homerton</t>
  </si>
  <si>
    <t>Homewood</t>
  </si>
  <si>
    <t>Hopetoun</t>
  </si>
  <si>
    <t>Hopetoun Gardens</t>
  </si>
  <si>
    <t>Hopetoun Park</t>
  </si>
  <si>
    <t>Hoppers Crossing</t>
  </si>
  <si>
    <t>Hordern Vale</t>
  </si>
  <si>
    <t>Horfield</t>
  </si>
  <si>
    <t>Horsham</t>
  </si>
  <si>
    <t>Hotham Heights</t>
  </si>
  <si>
    <t>Hotham Hill</t>
  </si>
  <si>
    <t>Hotspur</t>
  </si>
  <si>
    <t>Houston</t>
  </si>
  <si>
    <t>Howes Creek</t>
  </si>
  <si>
    <t>Howitt Plains</t>
  </si>
  <si>
    <t>Howqua</t>
  </si>
  <si>
    <t>Howqua Hills</t>
  </si>
  <si>
    <t>Howqua Inlet</t>
  </si>
  <si>
    <t>Hughesdale</t>
  </si>
  <si>
    <t>Humevale</t>
  </si>
  <si>
    <t>Hunter</t>
  </si>
  <si>
    <t>Hunterston</t>
  </si>
  <si>
    <t>Huntingdale</t>
  </si>
  <si>
    <t>Huntly</t>
  </si>
  <si>
    <t>Huntly North</t>
  </si>
  <si>
    <t>Huon</t>
  </si>
  <si>
    <t>Huon Creek</t>
  </si>
  <si>
    <t>Hurstbridge</t>
  </si>
  <si>
    <t>Icy Creek</t>
  </si>
  <si>
    <t>Iguana Creek</t>
  </si>
  <si>
    <t>Illabarook</t>
  </si>
  <si>
    <t>Illawarra</t>
  </si>
  <si>
    <t>Illowa</t>
  </si>
  <si>
    <t>Indented Head</t>
  </si>
  <si>
    <t>Indigo Valley</t>
  </si>
  <si>
    <t>Inglewood</t>
  </si>
  <si>
    <t>Ingliston</t>
  </si>
  <si>
    <t>Inkerman</t>
  </si>
  <si>
    <t>Invergordon</t>
  </si>
  <si>
    <t>Inverleigh</t>
  </si>
  <si>
    <t>Inverloch</t>
  </si>
  <si>
    <t>Invermay</t>
  </si>
  <si>
    <t>Invermay Park</t>
  </si>
  <si>
    <t>Iona</t>
  </si>
  <si>
    <t>Iraak</t>
  </si>
  <si>
    <t>Irishtown</t>
  </si>
  <si>
    <t>Ironbark</t>
  </si>
  <si>
    <t>Irrewarra</t>
  </si>
  <si>
    <t>Irrewillipe</t>
  </si>
  <si>
    <t>Irrewillipe East</t>
  </si>
  <si>
    <t>Irymple</t>
  </si>
  <si>
    <t>Ivanhoe</t>
  </si>
  <si>
    <t>Ivanhoe East</t>
  </si>
  <si>
    <t>Ivanhoe North</t>
  </si>
  <si>
    <t>Jacana</t>
  </si>
  <si>
    <t>Jack River</t>
  </si>
  <si>
    <t>Jackass Flat</t>
  </si>
  <si>
    <t>Jacob Creek</t>
  </si>
  <si>
    <t>Jam Jerrup</t>
  </si>
  <si>
    <t>Jamieson</t>
  </si>
  <si>
    <t>Jan Juc</t>
  </si>
  <si>
    <t>Jancourt</t>
  </si>
  <si>
    <t>Jancourt East</t>
  </si>
  <si>
    <t>Jarklin</t>
  </si>
  <si>
    <t>Jarrahmond</t>
  </si>
  <si>
    <t>Jarvis Creek</t>
  </si>
  <si>
    <t>Jeeralang</t>
  </si>
  <si>
    <t>Jeeralang Junction</t>
  </si>
  <si>
    <t>Jeetho</t>
  </si>
  <si>
    <t>Jeffcott</t>
  </si>
  <si>
    <t>Jeffcott North</t>
  </si>
  <si>
    <t>Jeparit</t>
  </si>
  <si>
    <t>Jericho</t>
  </si>
  <si>
    <t>Jeruk</t>
  </si>
  <si>
    <t>Jil Jil</t>
  </si>
  <si>
    <t>Jilpanger</t>
  </si>
  <si>
    <t>Jindivick</t>
  </si>
  <si>
    <t>Joel Joel</t>
  </si>
  <si>
    <t>Joel South</t>
  </si>
  <si>
    <t>Johanna</t>
  </si>
  <si>
    <t>Johnsonville</t>
  </si>
  <si>
    <t>Johnstones Hill</t>
  </si>
  <si>
    <t>Jordanville</t>
  </si>
  <si>
    <t>Joyces Creek</t>
  </si>
  <si>
    <t>Jumbuk</t>
  </si>
  <si>
    <t>Jumbunna</t>
  </si>
  <si>
    <t>Junction Village</t>
  </si>
  <si>
    <t>Jung</t>
  </si>
  <si>
    <t>Jungaburra</t>
  </si>
  <si>
    <t>Junortoun</t>
  </si>
  <si>
    <t>Kaarimba</t>
  </si>
  <si>
    <t>Kadnook</t>
  </si>
  <si>
    <t>Kalimna</t>
  </si>
  <si>
    <t>Kalimna West</t>
  </si>
  <si>
    <t>Kalkallo</t>
  </si>
  <si>
    <t>Kalkee</t>
  </si>
  <si>
    <t>Kallista</t>
  </si>
  <si>
    <t>Kalorama</t>
  </si>
  <si>
    <t>Kalpienung</t>
  </si>
  <si>
    <t>Kamarooka</t>
  </si>
  <si>
    <t>Kamarooka North</t>
  </si>
  <si>
    <t>Kanagulk</t>
  </si>
  <si>
    <t>Kancoona</t>
  </si>
  <si>
    <t>Kangaroo Flat</t>
  </si>
  <si>
    <t>Kangaroo Ground</t>
  </si>
  <si>
    <t>Kaniva</t>
  </si>
  <si>
    <t>Kanumbra</t>
  </si>
  <si>
    <t>Kanya</t>
  </si>
  <si>
    <t>Kanyapella</t>
  </si>
  <si>
    <t>Karabeal</t>
  </si>
  <si>
    <t>Kardella</t>
  </si>
  <si>
    <t>Kardella South</t>
  </si>
  <si>
    <t>Kariah</t>
  </si>
  <si>
    <t>Karingal</t>
  </si>
  <si>
    <t>Karingal Centre</t>
  </si>
  <si>
    <t>Karnak</t>
  </si>
  <si>
    <t>Karramomus</t>
  </si>
  <si>
    <t>Karyrie</t>
  </si>
  <si>
    <t>Katamatite</t>
  </si>
  <si>
    <t>Katamatite East</t>
  </si>
  <si>
    <t>Katandra</t>
  </si>
  <si>
    <t>Katandra West</t>
  </si>
  <si>
    <t>Katunga</t>
  </si>
  <si>
    <t>Kawarren</t>
  </si>
  <si>
    <t>Kealba</t>
  </si>
  <si>
    <t>Keely</t>
  </si>
  <si>
    <t>Keilor</t>
  </si>
  <si>
    <t>Keilor Downs</t>
  </si>
  <si>
    <t>Keilor East</t>
  </si>
  <si>
    <t>Keilor Lodge</t>
  </si>
  <si>
    <t>Keilor North</t>
  </si>
  <si>
    <t>Keilor Park</t>
  </si>
  <si>
    <t>Kellalac</t>
  </si>
  <si>
    <t>Kelvin View</t>
  </si>
  <si>
    <t>Kenley</t>
  </si>
  <si>
    <t>Kenmare</t>
  </si>
  <si>
    <t>Kennedys Creek</t>
  </si>
  <si>
    <t>Kennett River</t>
  </si>
  <si>
    <t>Kennington</t>
  </si>
  <si>
    <t>Kensington</t>
  </si>
  <si>
    <t>Kerang</t>
  </si>
  <si>
    <t>Kerang East</t>
  </si>
  <si>
    <t>Kergunyah</t>
  </si>
  <si>
    <t>Kergunyah South</t>
  </si>
  <si>
    <t>Kernot</t>
  </si>
  <si>
    <t>Kerrie</t>
  </si>
  <si>
    <t>Kerrimuir</t>
  </si>
  <si>
    <t>Kerrisdale</t>
  </si>
  <si>
    <t>Kevington</t>
  </si>
  <si>
    <t>Kew</t>
  </si>
  <si>
    <t>Kew East</t>
  </si>
  <si>
    <t>Kewell</t>
  </si>
  <si>
    <t>Keysborough</t>
  </si>
  <si>
    <t>Kialla</t>
  </si>
  <si>
    <t>Kialla East</t>
  </si>
  <si>
    <t>Kialla West</t>
  </si>
  <si>
    <t>Kiata</t>
  </si>
  <si>
    <t>Kiewa</t>
  </si>
  <si>
    <t>Kilcunda</t>
  </si>
  <si>
    <t>Killara</t>
  </si>
  <si>
    <t>Killarney</t>
  </si>
  <si>
    <t>Killawarra</t>
  </si>
  <si>
    <t>Killingworth</t>
  </si>
  <si>
    <t>Kilmany</t>
  </si>
  <si>
    <t>Kilmore</t>
  </si>
  <si>
    <t>Kilmore East</t>
  </si>
  <si>
    <t>Kilsyth</t>
  </si>
  <si>
    <t>Kilsyth South</t>
  </si>
  <si>
    <t>Kimbolton</t>
  </si>
  <si>
    <t>King Valley</t>
  </si>
  <si>
    <t>Kinglake</t>
  </si>
  <si>
    <t>Kinglake Central</t>
  </si>
  <si>
    <t>Kinglake West</t>
  </si>
  <si>
    <t>Kingower</t>
  </si>
  <si>
    <t>Kings Park</t>
  </si>
  <si>
    <t>Kingsbury</t>
  </si>
  <si>
    <t>Kingston</t>
  </si>
  <si>
    <t>Kingsville</t>
  </si>
  <si>
    <t>Kinnabulla</t>
  </si>
  <si>
    <t>Kinypanial</t>
  </si>
  <si>
    <t>Kirkstall</t>
  </si>
  <si>
    <t>Kirwans Bridge</t>
  </si>
  <si>
    <t>Kithbrook</t>
  </si>
  <si>
    <t>Knebsworth</t>
  </si>
  <si>
    <t>Knockwood</t>
  </si>
  <si>
    <t>Knowsley</t>
  </si>
  <si>
    <t>Knox City Centre</t>
  </si>
  <si>
    <t>Knoxfield</t>
  </si>
  <si>
    <t>Koallah</t>
  </si>
  <si>
    <t>Koetong</t>
  </si>
  <si>
    <t>Kolora</t>
  </si>
  <si>
    <t>Kongwak</t>
  </si>
  <si>
    <t>Konongwootong</t>
  </si>
  <si>
    <t>Koo Wee Rup</t>
  </si>
  <si>
    <t>Koo Wee Rup North</t>
  </si>
  <si>
    <t>Kooloonong</t>
  </si>
  <si>
    <t>Koonda</t>
  </si>
  <si>
    <t>Koondrook</t>
  </si>
  <si>
    <t>Koonoomoo</t>
  </si>
  <si>
    <t>Koonwarra</t>
  </si>
  <si>
    <t>Kooreh</t>
  </si>
  <si>
    <t>Koorlong</t>
  </si>
  <si>
    <t>Koornalla</t>
  </si>
  <si>
    <t>Kooroocheang</t>
  </si>
  <si>
    <t>Koorool</t>
  </si>
  <si>
    <t>Koorooman</t>
  </si>
  <si>
    <t>Kooyong</t>
  </si>
  <si>
    <t>Koriella</t>
  </si>
  <si>
    <t>Korobeit</t>
  </si>
  <si>
    <t>Koroit</t>
  </si>
  <si>
    <t>Korong Vale</t>
  </si>
  <si>
    <t>Koroop</t>
  </si>
  <si>
    <t>Korumburra</t>
  </si>
  <si>
    <t>Korumburra South</t>
  </si>
  <si>
    <t>Korweinguboora</t>
  </si>
  <si>
    <t>Kotta</t>
  </si>
  <si>
    <t>Kotupna</t>
  </si>
  <si>
    <t>Koyuga</t>
  </si>
  <si>
    <t>Krowera</t>
  </si>
  <si>
    <t>Kulwin</t>
  </si>
  <si>
    <t>Kunat</t>
  </si>
  <si>
    <t>Kunyung</t>
  </si>
  <si>
    <t>Kurraca</t>
  </si>
  <si>
    <t>Kurraca West</t>
  </si>
  <si>
    <t>Kurting</t>
  </si>
  <si>
    <t>Kurunjang</t>
  </si>
  <si>
    <t>Kyabram</t>
  </si>
  <si>
    <t>Kyabram South</t>
  </si>
  <si>
    <t>Kyneton</t>
  </si>
  <si>
    <t>Kyneton South</t>
  </si>
  <si>
    <t>Kyvalley</t>
  </si>
  <si>
    <t>La Trobe University</t>
  </si>
  <si>
    <t>Laanecoorie</t>
  </si>
  <si>
    <t>Laang</t>
  </si>
  <si>
    <t>Labertouche</t>
  </si>
  <si>
    <t>Laburnum</t>
  </si>
  <si>
    <t>Laceby</t>
  </si>
  <si>
    <t>Ladys Pass</t>
  </si>
  <si>
    <t>Laen</t>
  </si>
  <si>
    <t>Laen East</t>
  </si>
  <si>
    <t>Laen North</t>
  </si>
  <si>
    <t>Lah</t>
  </si>
  <si>
    <t>Laharum</t>
  </si>
  <si>
    <t>Lake Boga</t>
  </si>
  <si>
    <t>Lake Bolac</t>
  </si>
  <si>
    <t>Lake Bunga</t>
  </si>
  <si>
    <t>Lake Charm</t>
  </si>
  <si>
    <t>Lake Condah</t>
  </si>
  <si>
    <t>Lake Eildon</t>
  </si>
  <si>
    <t>Lake Eppalock</t>
  </si>
  <si>
    <t>Lake Fyans</t>
  </si>
  <si>
    <t>Lake Gardens</t>
  </si>
  <si>
    <t>Lake Goldsmith</t>
  </si>
  <si>
    <t>Lake Hume Village</t>
  </si>
  <si>
    <t>Lake Lonsdale</t>
  </si>
  <si>
    <t>Lake Marmal</t>
  </si>
  <si>
    <t>Lake Meran</t>
  </si>
  <si>
    <t>Lake Mundi</t>
  </si>
  <si>
    <t>Lake Powell</t>
  </si>
  <si>
    <t>Lake Rowan</t>
  </si>
  <si>
    <t>Lake Tyers</t>
  </si>
  <si>
    <t>Lake Tyers Beach</t>
  </si>
  <si>
    <t>Lake Tyrrell</t>
  </si>
  <si>
    <t>Lake Wellington</t>
  </si>
  <si>
    <t>Lake Wendouree</t>
  </si>
  <si>
    <t>Lake Wongan</t>
  </si>
  <si>
    <t>Lakes Entrance</t>
  </si>
  <si>
    <t>Lal Lal</t>
  </si>
  <si>
    <t>Lalalty</t>
  </si>
  <si>
    <t>Lalbert</t>
  </si>
  <si>
    <t>Lalor</t>
  </si>
  <si>
    <t>Lamplough</t>
  </si>
  <si>
    <t>Lancaster</t>
  </si>
  <si>
    <t>Lance Creek</t>
  </si>
  <si>
    <t>Lancefield</t>
  </si>
  <si>
    <t>Landsborough</t>
  </si>
  <si>
    <t>Landsborough West</t>
  </si>
  <si>
    <t>Lang Lang</t>
  </si>
  <si>
    <t>Lang Lang East</t>
  </si>
  <si>
    <t>Langdons Hill</t>
  </si>
  <si>
    <t>Langi Kal Kal</t>
  </si>
  <si>
    <t>Langi Logan</t>
  </si>
  <si>
    <t>Langkoop</t>
  </si>
  <si>
    <t>Langley</t>
  </si>
  <si>
    <t>Langsborough</t>
  </si>
  <si>
    <t>Langwarrin</t>
  </si>
  <si>
    <t>Langwarrin South</t>
  </si>
  <si>
    <t>Lansell Plaza</t>
  </si>
  <si>
    <t>Lara</t>
  </si>
  <si>
    <t>Lardner</t>
  </si>
  <si>
    <t>Larpent</t>
  </si>
  <si>
    <t>Larralea</t>
  </si>
  <si>
    <t>Lascelles</t>
  </si>
  <si>
    <t>Launching Place</t>
  </si>
  <si>
    <t>Lauriston</t>
  </si>
  <si>
    <t>Lavers Hill</t>
  </si>
  <si>
    <t>Laverton</t>
  </si>
  <si>
    <t>Laverton North</t>
  </si>
  <si>
    <t>Lawler</t>
  </si>
  <si>
    <t>Lawloit</t>
  </si>
  <si>
    <t>Lawrence</t>
  </si>
  <si>
    <t>Leaghur</t>
  </si>
  <si>
    <t>Learmonth</t>
  </si>
  <si>
    <t>Ledcourt</t>
  </si>
  <si>
    <t>Leichardt</t>
  </si>
  <si>
    <t>Leigh Creek</t>
  </si>
  <si>
    <t>Leitchville</t>
  </si>
  <si>
    <t>Lemnos</t>
  </si>
  <si>
    <t>Leneva</t>
  </si>
  <si>
    <t>Leonards Hill</t>
  </si>
  <si>
    <t>Leongatha</t>
  </si>
  <si>
    <t>Leongatha North</t>
  </si>
  <si>
    <t>Leongatha South</t>
  </si>
  <si>
    <t>Leopold</t>
  </si>
  <si>
    <t>Lerderderg</t>
  </si>
  <si>
    <t>Leslie Manor</t>
  </si>
  <si>
    <t>Lethbridge</t>
  </si>
  <si>
    <t>Lexton</t>
  </si>
  <si>
    <t>Licola</t>
  </si>
  <si>
    <t>Licola North</t>
  </si>
  <si>
    <t>Lillico</t>
  </si>
  <si>
    <t>Lillicur</t>
  </si>
  <si>
    <t>Lillimur</t>
  </si>
  <si>
    <t>Lilliput</t>
  </si>
  <si>
    <t>Lilydale</t>
  </si>
  <si>
    <t>Lima</t>
  </si>
  <si>
    <t>Lima East</t>
  </si>
  <si>
    <t>Lima South</t>
  </si>
  <si>
    <t>Limestone</t>
  </si>
  <si>
    <t>Lindenow</t>
  </si>
  <si>
    <t>Lindenow South</t>
  </si>
  <si>
    <t>Lindsay</t>
  </si>
  <si>
    <t>Lindsay Point</t>
  </si>
  <si>
    <t>Linga</t>
  </si>
  <si>
    <t>Linton</t>
  </si>
  <si>
    <t>Liparoo</t>
  </si>
  <si>
    <t>Lismore</t>
  </si>
  <si>
    <t>Litchfield</t>
  </si>
  <si>
    <t>Little Desert</t>
  </si>
  <si>
    <t>Little Hampton</t>
  </si>
  <si>
    <t>Little River</t>
  </si>
  <si>
    <t>Llanelly</t>
  </si>
  <si>
    <t>Llowalong</t>
  </si>
  <si>
    <t>Loch</t>
  </si>
  <si>
    <t>Loch Sport</t>
  </si>
  <si>
    <t>Loch Valley</t>
  </si>
  <si>
    <t>Lockington</t>
  </si>
  <si>
    <t>Locksley</t>
  </si>
  <si>
    <t>Lockwood</t>
  </si>
  <si>
    <t>Lockwood South</t>
  </si>
  <si>
    <t>Loddon Vale</t>
  </si>
  <si>
    <t>Logan</t>
  </si>
  <si>
    <t>Londrigan</t>
  </si>
  <si>
    <t>Long Forest</t>
  </si>
  <si>
    <t>Long Gully</t>
  </si>
  <si>
    <t>Longerenong</t>
  </si>
  <si>
    <t>Longford</t>
  </si>
  <si>
    <t>Longlea</t>
  </si>
  <si>
    <t>Longwarry</t>
  </si>
  <si>
    <t>Longwarry North</t>
  </si>
  <si>
    <t>Longwood</t>
  </si>
  <si>
    <t>Longwood East</t>
  </si>
  <si>
    <t>Lorne</t>
  </si>
  <si>
    <t>Lorquon</t>
  </si>
  <si>
    <t>Lovely Banks</t>
  </si>
  <si>
    <t>Lower Moira</t>
  </si>
  <si>
    <t>Lower Norton</t>
  </si>
  <si>
    <t>Lower Plenty</t>
  </si>
  <si>
    <t>Loy Yang</t>
  </si>
  <si>
    <t>Lubeck</t>
  </si>
  <si>
    <t>Lucas</t>
  </si>
  <si>
    <t>Lucknow</t>
  </si>
  <si>
    <t>Lucyvale</t>
  </si>
  <si>
    <t>Lurg</t>
  </si>
  <si>
    <t>Lyal</t>
  </si>
  <si>
    <t>Lynbrook</t>
  </si>
  <si>
    <t>Lyndhurst</t>
  </si>
  <si>
    <t>Lyons</t>
  </si>
  <si>
    <t>Lyonville</t>
  </si>
  <si>
    <t>Lysterfield</t>
  </si>
  <si>
    <t>Lysterfield South</t>
  </si>
  <si>
    <t>Macarthur</t>
  </si>
  <si>
    <t>Macclesfield</t>
  </si>
  <si>
    <t>Macedon</t>
  </si>
  <si>
    <t>Macks Creek</t>
  </si>
  <si>
    <t>Macleod</t>
  </si>
  <si>
    <t>Macleod West</t>
  </si>
  <si>
    <t>Macorna</t>
  </si>
  <si>
    <t>Macorna North</t>
  </si>
  <si>
    <t>Macs Cove</t>
  </si>
  <si>
    <t>Madalya</t>
  </si>
  <si>
    <t>Maddingley</t>
  </si>
  <si>
    <t>Mafeking</t>
  </si>
  <si>
    <t>Maffra</t>
  </si>
  <si>
    <t>Maffra West Upper</t>
  </si>
  <si>
    <t>Magpie</t>
  </si>
  <si>
    <t>Maiden Gully</t>
  </si>
  <si>
    <t>Maidstone</t>
  </si>
  <si>
    <t>Mailors Flat</t>
  </si>
  <si>
    <t>Main Lead</t>
  </si>
  <si>
    <t>Main Ridge</t>
  </si>
  <si>
    <t>Maindample</t>
  </si>
  <si>
    <t>Maintongoon</t>
  </si>
  <si>
    <t>Major Plains</t>
  </si>
  <si>
    <t>Majorca</t>
  </si>
  <si>
    <t>Maldon</t>
  </si>
  <si>
    <t>Mallacoota</t>
  </si>
  <si>
    <t>Malmsbury</t>
  </si>
  <si>
    <t>Malvern</t>
  </si>
  <si>
    <t>Malvern East</t>
  </si>
  <si>
    <t>Malvern North</t>
  </si>
  <si>
    <t>Mambourin</t>
  </si>
  <si>
    <t>Manangatang</t>
  </si>
  <si>
    <t>Mandurang</t>
  </si>
  <si>
    <t>Mandurang South</t>
  </si>
  <si>
    <t>Mangalore</t>
  </si>
  <si>
    <t>Manifold Heights</t>
  </si>
  <si>
    <t>Mannerim</t>
  </si>
  <si>
    <t>Mannibadar</t>
  </si>
  <si>
    <t>Manns Beach</t>
  </si>
  <si>
    <t>Manor Lakes</t>
  </si>
  <si>
    <t>Manorina</t>
  </si>
  <si>
    <t>Mansfield</t>
  </si>
  <si>
    <t>Maramingo Creek</t>
  </si>
  <si>
    <t>Marcus Hill</t>
  </si>
  <si>
    <t>Mardan</t>
  </si>
  <si>
    <t>Marengo</t>
  </si>
  <si>
    <t>Maribyrnong</t>
  </si>
  <si>
    <t>Marionvale</t>
  </si>
  <si>
    <t>Markwood</t>
  </si>
  <si>
    <t>Marlbed</t>
  </si>
  <si>
    <t>Marlo</t>
  </si>
  <si>
    <t>Marnoo</t>
  </si>
  <si>
    <t>Marnoo East</t>
  </si>
  <si>
    <t>Marnoo West</t>
  </si>
  <si>
    <t>Marong</t>
  </si>
  <si>
    <t>Maroona</t>
  </si>
  <si>
    <t>Marraweeney</t>
  </si>
  <si>
    <t>Marshall</t>
  </si>
  <si>
    <t>Marthavale</t>
  </si>
  <si>
    <t>Marungi</t>
  </si>
  <si>
    <t>Maryborough</t>
  </si>
  <si>
    <t>Maryknoll</t>
  </si>
  <si>
    <t>Marysville</t>
  </si>
  <si>
    <t>Maryvale</t>
  </si>
  <si>
    <t>Massey</t>
  </si>
  <si>
    <t>Matlock</t>
  </si>
  <si>
    <t>Maude</t>
  </si>
  <si>
    <t>Mccrae</t>
  </si>
  <si>
    <t>Mcintyre</t>
  </si>
  <si>
    <t>Mckenzie Creek</t>
  </si>
  <si>
    <t>Mckenzie Hill</t>
  </si>
  <si>
    <t>Mckinnon</t>
  </si>
  <si>
    <t>Mcloughlins Beach</t>
  </si>
  <si>
    <t>Mcmahons Creek</t>
  </si>
  <si>
    <t>Mcmillans</t>
  </si>
  <si>
    <t>Mead</t>
  </si>
  <si>
    <t>Meadow Creek</t>
  </si>
  <si>
    <t>Meadow Heights</t>
  </si>
  <si>
    <t>Meatian</t>
  </si>
  <si>
    <t>Medlyn</t>
  </si>
  <si>
    <t>Meeniyan</t>
  </si>
  <si>
    <t>Meering West</t>
  </si>
  <si>
    <t>Meerlieu</t>
  </si>
  <si>
    <t>Melbourne</t>
  </si>
  <si>
    <t>Melbourne Airport</t>
  </si>
  <si>
    <t>Melbourne University</t>
  </si>
  <si>
    <t>Melton</t>
  </si>
  <si>
    <t>Melton South</t>
  </si>
  <si>
    <t>Melton West</t>
  </si>
  <si>
    <t>Melville Forest</t>
  </si>
  <si>
    <t>Melwood</t>
  </si>
  <si>
    <t>Mena Park</t>
  </si>
  <si>
    <t>Mentone</t>
  </si>
  <si>
    <t>Mentone East</t>
  </si>
  <si>
    <t>Menzies Creek</t>
  </si>
  <si>
    <t>Mepunga</t>
  </si>
  <si>
    <t>Mepunga East</t>
  </si>
  <si>
    <t>Mepunga West</t>
  </si>
  <si>
    <t>Merbein</t>
  </si>
  <si>
    <t>Merbein South</t>
  </si>
  <si>
    <t>Merbein West</t>
  </si>
  <si>
    <t>Meredith</t>
  </si>
  <si>
    <t>Meringur</t>
  </si>
  <si>
    <t>Merino</t>
  </si>
  <si>
    <t>Merlynston</t>
  </si>
  <si>
    <t>Mernda</t>
  </si>
  <si>
    <t>Merriang</t>
  </si>
  <si>
    <t>Merriang South</t>
  </si>
  <si>
    <t>Merricks</t>
  </si>
  <si>
    <t>Merricks Beach</t>
  </si>
  <si>
    <t>Merricks North</t>
  </si>
  <si>
    <t>Merrigum</t>
  </si>
  <si>
    <t>Merrijig</t>
  </si>
  <si>
    <t>Merrimu</t>
  </si>
  <si>
    <t>Merrinee</t>
  </si>
  <si>
    <t>Merton</t>
  </si>
  <si>
    <t>Metcalfe</t>
  </si>
  <si>
    <t>Metcalfe East</t>
  </si>
  <si>
    <t>Metung</t>
  </si>
  <si>
    <t>Mia Mia</t>
  </si>
  <si>
    <t>Mickleham</t>
  </si>
  <si>
    <t>Middle Camberwell</t>
  </si>
  <si>
    <t>Middle Creek</t>
  </si>
  <si>
    <t>Middle Park</t>
  </si>
  <si>
    <t>Middle Tarwin</t>
  </si>
  <si>
    <t>Miepoll</t>
  </si>
  <si>
    <t>Miga Lake</t>
  </si>
  <si>
    <t>Milawa</t>
  </si>
  <si>
    <t>Mildura</t>
  </si>
  <si>
    <t>Mildura Centre Plaza</t>
  </si>
  <si>
    <t>Mildura South</t>
  </si>
  <si>
    <t>Mildura West</t>
  </si>
  <si>
    <t>Mill Park</t>
  </si>
  <si>
    <t>Millbrook</t>
  </si>
  <si>
    <t>Millgrove</t>
  </si>
  <si>
    <t>Milloo</t>
  </si>
  <si>
    <t>Milltown</t>
  </si>
  <si>
    <t>Milnes Bridge</t>
  </si>
  <si>
    <t>Mincha</t>
  </si>
  <si>
    <t>Mincha West</t>
  </si>
  <si>
    <t>Miners Rest</t>
  </si>
  <si>
    <t>Mingay</t>
  </si>
  <si>
    <t>Minhamite</t>
  </si>
  <si>
    <t>Minimay</t>
  </si>
  <si>
    <t>Mininera</t>
  </si>
  <si>
    <t>Minjah</t>
  </si>
  <si>
    <t>Minmindie</t>
  </si>
  <si>
    <t>Minyip</t>
  </si>
  <si>
    <t>Miowera</t>
  </si>
  <si>
    <t>Miralie</t>
  </si>
  <si>
    <t>Miram</t>
  </si>
  <si>
    <t>Mirboo</t>
  </si>
  <si>
    <t>Mirboo North</t>
  </si>
  <si>
    <t>Mirimbah</t>
  </si>
  <si>
    <t>Mirranatwa</t>
  </si>
  <si>
    <t>Mitcham</t>
  </si>
  <si>
    <t>Mitcham North</t>
  </si>
  <si>
    <t>Mitchell Park</t>
  </si>
  <si>
    <t>Mitchellstown</t>
  </si>
  <si>
    <t>Mitiamo</t>
  </si>
  <si>
    <t>Mitre</t>
  </si>
  <si>
    <t>Mitta Mitta</t>
  </si>
  <si>
    <t>Mittyack</t>
  </si>
  <si>
    <t>Mockinya</t>
  </si>
  <si>
    <t>Modella</t>
  </si>
  <si>
    <t>Modewarre</t>
  </si>
  <si>
    <t>Moe</t>
  </si>
  <si>
    <t>Moe South</t>
  </si>
  <si>
    <t>Moggs Creek</t>
  </si>
  <si>
    <t>Moglonemby</t>
  </si>
  <si>
    <t>Mokepilly</t>
  </si>
  <si>
    <t>Molesworth</t>
  </si>
  <si>
    <t>Moliagul</t>
  </si>
  <si>
    <t>Molka</t>
  </si>
  <si>
    <t>Mollongghip</t>
  </si>
  <si>
    <t>Mologa</t>
  </si>
  <si>
    <t>Molyullah</t>
  </si>
  <si>
    <t>Monbulk</t>
  </si>
  <si>
    <t>Monegeetta</t>
  </si>
  <si>
    <t>Mongans Bridge</t>
  </si>
  <si>
    <t>Monomak</t>
  </si>
  <si>
    <t>Monomeith</t>
  </si>
  <si>
    <t>Mont Albert</t>
  </si>
  <si>
    <t>Mont Albert North</t>
  </si>
  <si>
    <t>Montgomery</t>
  </si>
  <si>
    <t>Montmorency</t>
  </si>
  <si>
    <t>Montrose</t>
  </si>
  <si>
    <t>Moolap</t>
  </si>
  <si>
    <t>Moolerr</t>
  </si>
  <si>
    <t>Moolort</t>
  </si>
  <si>
    <t>Moonambel</t>
  </si>
  <si>
    <t>Moondarra</t>
  </si>
  <si>
    <t>Moonee Ponds</t>
  </si>
  <si>
    <t>Moonee Vale</t>
  </si>
  <si>
    <t>Moonlight Flat</t>
  </si>
  <si>
    <t>Moora</t>
  </si>
  <si>
    <t>Moorabbin</t>
  </si>
  <si>
    <t>Moorabbin Airport</t>
  </si>
  <si>
    <t>Moorabbin East</t>
  </si>
  <si>
    <t>Moorabool</t>
  </si>
  <si>
    <t>Mooralla</t>
  </si>
  <si>
    <t>Moorilim</t>
  </si>
  <si>
    <t>Moormbool West</t>
  </si>
  <si>
    <t>Moornapa</t>
  </si>
  <si>
    <t>Moorngag</t>
  </si>
  <si>
    <t>Moorooduc</t>
  </si>
  <si>
    <t>Mooroolbark</t>
  </si>
  <si>
    <t>Mooroopna</t>
  </si>
  <si>
    <t>Mooroopna North</t>
  </si>
  <si>
    <t>Mooroopna North West</t>
  </si>
  <si>
    <t>Moranding</t>
  </si>
  <si>
    <t>Mordialloc</t>
  </si>
  <si>
    <t>Moreland</t>
  </si>
  <si>
    <t>Moreland West</t>
  </si>
  <si>
    <t>Morgiana</t>
  </si>
  <si>
    <t>Moriac</t>
  </si>
  <si>
    <t>Mornington</t>
  </si>
  <si>
    <t>Moroka</t>
  </si>
  <si>
    <t>Morrisons</t>
  </si>
  <si>
    <t>Morrl Morrl</t>
  </si>
  <si>
    <t>Mortlake</t>
  </si>
  <si>
    <t>Morton Plains</t>
  </si>
  <si>
    <t>Morwell</t>
  </si>
  <si>
    <t>Mossiface</t>
  </si>
  <si>
    <t>Mount Alfred</t>
  </si>
  <si>
    <t>Mount Beauty</t>
  </si>
  <si>
    <t>Mount Beckworth</t>
  </si>
  <si>
    <t>Mount Best</t>
  </si>
  <si>
    <t>Mount Bolton</t>
  </si>
  <si>
    <t>Mount Bruno</t>
  </si>
  <si>
    <t>Mount Buffalo</t>
  </si>
  <si>
    <t>Mount Buller</t>
  </si>
  <si>
    <t>Mount Burnett</t>
  </si>
  <si>
    <t>Mount Bute</t>
  </si>
  <si>
    <t>Mount Camel</t>
  </si>
  <si>
    <t>Mount Cameron</t>
  </si>
  <si>
    <t>Mount Clear</t>
  </si>
  <si>
    <t>Mount Cole</t>
  </si>
  <si>
    <t>Mount Cole Creek</t>
  </si>
  <si>
    <t>Mount Cottrell</t>
  </si>
  <si>
    <t>Mount Dandenong</t>
  </si>
  <si>
    <t>Mount Doran</t>
  </si>
  <si>
    <t>Mount Dryden</t>
  </si>
  <si>
    <t>Mount Duneed</t>
  </si>
  <si>
    <t>Mount Eccles</t>
  </si>
  <si>
    <t>Mount Eccles South</t>
  </si>
  <si>
    <t>Mount Egerton</t>
  </si>
  <si>
    <t>Mount Eliza</t>
  </si>
  <si>
    <t>Mount Emu</t>
  </si>
  <si>
    <t>Mount Evelyn</t>
  </si>
  <si>
    <t>Mount Franklin</t>
  </si>
  <si>
    <t>Mount Glasgow</t>
  </si>
  <si>
    <t>Mount Helen</t>
  </si>
  <si>
    <t>Mount Hooghly</t>
  </si>
  <si>
    <t>Mount Hotham</t>
  </si>
  <si>
    <t>Mount Lonarch</t>
  </si>
  <si>
    <t>Mount Macedon</t>
  </si>
  <si>
    <t>Mount Major</t>
  </si>
  <si>
    <t>Mount Martha</t>
  </si>
  <si>
    <t>Mount Mercer</t>
  </si>
  <si>
    <t>Mount Moriac</t>
  </si>
  <si>
    <t>Mount Napier</t>
  </si>
  <si>
    <t>Mount Pleasant</t>
  </si>
  <si>
    <t>Mount Prospect</t>
  </si>
  <si>
    <t>Mount Richmond</t>
  </si>
  <si>
    <t>Mount Rowan</t>
  </si>
  <si>
    <t>Mount Sabine</t>
  </si>
  <si>
    <t>Mount Tassie</t>
  </si>
  <si>
    <t>Mount Taylor</t>
  </si>
  <si>
    <t>Mount Toolebewong</t>
  </si>
  <si>
    <t>Mount Wallace</t>
  </si>
  <si>
    <t>Mount Waverley</t>
  </si>
  <si>
    <t>Mountain Bay</t>
  </si>
  <si>
    <t>Mountain Gate</t>
  </si>
  <si>
    <t>Mountain View</t>
  </si>
  <si>
    <t>Moutajup</t>
  </si>
  <si>
    <t>Moyarra</t>
  </si>
  <si>
    <t>Moyhu</t>
  </si>
  <si>
    <t>Moyreisk</t>
  </si>
  <si>
    <t>Moyston</t>
  </si>
  <si>
    <t>Muckatah</t>
  </si>
  <si>
    <t>Muckleford</t>
  </si>
  <si>
    <t>Muckleford South</t>
  </si>
  <si>
    <t>Mudgegonga</t>
  </si>
  <si>
    <t>Mulgrave</t>
  </si>
  <si>
    <t>Mumbannar</t>
  </si>
  <si>
    <t>Mundoona</t>
  </si>
  <si>
    <t>Munro</t>
  </si>
  <si>
    <t>Muntham</t>
  </si>
  <si>
    <t>Murchison East</t>
  </si>
  <si>
    <t>Murchison North</t>
  </si>
  <si>
    <t>Murgheboluc</t>
  </si>
  <si>
    <t>Murmungee</t>
  </si>
  <si>
    <t>Murnungin</t>
  </si>
  <si>
    <t>Murphys Creek</t>
  </si>
  <si>
    <t>Murra Warra</t>
  </si>
  <si>
    <t>Murrabit</t>
  </si>
  <si>
    <t>Murrabit West</t>
  </si>
  <si>
    <t>Murrawee</t>
  </si>
  <si>
    <t>Murray Sunset</t>
  </si>
  <si>
    <t>Murraydale</t>
  </si>
  <si>
    <t>Murrayville</t>
  </si>
  <si>
    <t>Murrindal</t>
  </si>
  <si>
    <t>Murrindindi</t>
  </si>
  <si>
    <t>Murroon</t>
  </si>
  <si>
    <t>Murrumbeena</t>
  </si>
  <si>
    <t>Murtoa</t>
  </si>
  <si>
    <t>Musk</t>
  </si>
  <si>
    <t>Musk Vale</t>
  </si>
  <si>
    <t>Muskerry</t>
  </si>
  <si>
    <t>Myall</t>
  </si>
  <si>
    <t>Myamyn</t>
  </si>
  <si>
    <t>Myers Flat</t>
  </si>
  <si>
    <t>Myola</t>
  </si>
  <si>
    <t>Myrniong</t>
  </si>
  <si>
    <t>Myrrhee</t>
  </si>
  <si>
    <t>Myrtle Creek</t>
  </si>
  <si>
    <t>Myrtlebank</t>
  </si>
  <si>
    <t>Myrtleford</t>
  </si>
  <si>
    <t>Mysia</t>
  </si>
  <si>
    <t>Mystic Park</t>
  </si>
  <si>
    <t>Mywee</t>
  </si>
  <si>
    <t>Nagambie</t>
  </si>
  <si>
    <t>Nalangil</t>
  </si>
  <si>
    <t>Nalinga</t>
  </si>
  <si>
    <t>Nambrok</t>
  </si>
  <si>
    <t>Nandaly</t>
  </si>
  <si>
    <t>Nangana</t>
  </si>
  <si>
    <t>Nangeela</t>
  </si>
  <si>
    <t>Nangiloc</t>
  </si>
  <si>
    <t>Nanneella</t>
  </si>
  <si>
    <t>Nap Nap Marra</t>
  </si>
  <si>
    <t>Napoleons</t>
  </si>
  <si>
    <t>Nar Nar Goon</t>
  </si>
  <si>
    <t>Nar Nar Goon North</t>
  </si>
  <si>
    <t>Narbethong</t>
  </si>
  <si>
    <t>Nareeb</t>
  </si>
  <si>
    <t>Nareen</t>
  </si>
  <si>
    <t>Nareewillock</t>
  </si>
  <si>
    <t>Nariel Valley</t>
  </si>
  <si>
    <t>Naring</t>
  </si>
  <si>
    <t>Naringal</t>
  </si>
  <si>
    <t>Naringal East</t>
  </si>
  <si>
    <t>Naroghid</t>
  </si>
  <si>
    <t>Narracan</t>
  </si>
  <si>
    <t>Narraport</t>
  </si>
  <si>
    <t>Narrapumelap South</t>
  </si>
  <si>
    <t>Narrawong</t>
  </si>
  <si>
    <t>Narre Warren</t>
  </si>
  <si>
    <t>Narre Warren East</t>
  </si>
  <si>
    <t>Narre Warren North</t>
  </si>
  <si>
    <t>Narre Warren South</t>
  </si>
  <si>
    <t>Narrung</t>
  </si>
  <si>
    <t>Nathalia</t>
  </si>
  <si>
    <t>Natimuk</t>
  </si>
  <si>
    <t>Natte Yallock</t>
  </si>
  <si>
    <t>Natya</t>
  </si>
  <si>
    <t>Navarre</t>
  </si>
  <si>
    <t>Navigators</t>
  </si>
  <si>
    <t>Nayook</t>
  </si>
  <si>
    <t>Neds Corner</t>
  </si>
  <si>
    <t>Neereman</t>
  </si>
  <si>
    <t>Neerim</t>
  </si>
  <si>
    <t>Neerim East</t>
  </si>
  <si>
    <t>Neerim Junction</t>
  </si>
  <si>
    <t>Neerim North</t>
  </si>
  <si>
    <t>Neerim South</t>
  </si>
  <si>
    <t>Neilborough</t>
  </si>
  <si>
    <t>Nelse</t>
  </si>
  <si>
    <t>Nelson</t>
  </si>
  <si>
    <t>Nerrena</t>
  </si>
  <si>
    <t>Nerrin Nerrin</t>
  </si>
  <si>
    <t>Nerrina</t>
  </si>
  <si>
    <t>Nerring</t>
  </si>
  <si>
    <t>Netherby</t>
  </si>
  <si>
    <t>Neuarpurr</t>
  </si>
  <si>
    <t>New Gisborne</t>
  </si>
  <si>
    <t>Newborough</t>
  </si>
  <si>
    <t>Newbridge</t>
  </si>
  <si>
    <t>Newbury</t>
  </si>
  <si>
    <t>Newcomb</t>
  </si>
  <si>
    <t>Newfield</t>
  </si>
  <si>
    <t>Newham</t>
  </si>
  <si>
    <t>Newhaven</t>
  </si>
  <si>
    <t>Newington</t>
  </si>
  <si>
    <t>Newlands Arm</t>
  </si>
  <si>
    <t>Newlyn</t>
  </si>
  <si>
    <t>Newlyn North</t>
  </si>
  <si>
    <t>Newmerella</t>
  </si>
  <si>
    <t>Newport</t>
  </si>
  <si>
    <t>Newry</t>
  </si>
  <si>
    <t>Newstead</t>
  </si>
  <si>
    <t>Newtown</t>
  </si>
  <si>
    <t>Nhill</t>
  </si>
  <si>
    <t>Nichols Point</t>
  </si>
  <si>
    <t>Nicholson</t>
  </si>
  <si>
    <t>Niddrie</t>
  </si>
  <si>
    <t>Niddrie North</t>
  </si>
  <si>
    <t>Nilma</t>
  </si>
  <si>
    <t>Nilma North</t>
  </si>
  <si>
    <t>Ninda</t>
  </si>
  <si>
    <t>Nine Mile</t>
  </si>
  <si>
    <t>Nintingbool</t>
  </si>
  <si>
    <t>Ninyeunook</t>
  </si>
  <si>
    <t>Nirranda</t>
  </si>
  <si>
    <t>Nirranda East</t>
  </si>
  <si>
    <t>Nirranda South</t>
  </si>
  <si>
    <t>Noble Park</t>
  </si>
  <si>
    <t>Noble Park North</t>
  </si>
  <si>
    <t>Noojee</t>
  </si>
  <si>
    <t>Noorat</t>
  </si>
  <si>
    <t>Noorat East</t>
  </si>
  <si>
    <t>Noorinbee</t>
  </si>
  <si>
    <t>Noorinbee North</t>
  </si>
  <si>
    <t>Noradjuha</t>
  </si>
  <si>
    <t>Norlane</t>
  </si>
  <si>
    <t>Normanville</t>
  </si>
  <si>
    <t>Norong</t>
  </si>
  <si>
    <t>North Bendigo</t>
  </si>
  <si>
    <t>North Blackwood</t>
  </si>
  <si>
    <t>North Geelong</t>
  </si>
  <si>
    <t>North Road</t>
  </si>
  <si>
    <t>North Shore</t>
  </si>
  <si>
    <t>North Wangaratta</t>
  </si>
  <si>
    <t>North Warrandyte</t>
  </si>
  <si>
    <t>North Wonthaggi</t>
  </si>
  <si>
    <t>Northcote</t>
  </si>
  <si>
    <t>Northcote South</t>
  </si>
  <si>
    <t>Northland Centre</t>
  </si>
  <si>
    <t>Northwood</t>
  </si>
  <si>
    <t>Norval</t>
  </si>
  <si>
    <t>Notting Hill</t>
  </si>
  <si>
    <t>Nowa Nowa</t>
  </si>
  <si>
    <t>Nowhere Creek</t>
  </si>
  <si>
    <t>Nowie</t>
  </si>
  <si>
    <t>Nug Nug</t>
  </si>
  <si>
    <t>Nuggetty</t>
  </si>
  <si>
    <t>Nulla Vale</t>
  </si>
  <si>
    <t>Nullawarre</t>
  </si>
  <si>
    <t>Nullawarre North</t>
  </si>
  <si>
    <t>Nullawil</t>
  </si>
  <si>
    <t>Numurkah</t>
  </si>
  <si>
    <t>Nunawading</t>
  </si>
  <si>
    <t>Nungurner</t>
  </si>
  <si>
    <t>Nunniong</t>
  </si>
  <si>
    <t>Nurcoung</t>
  </si>
  <si>
    <t>Nurrabiel</t>
  </si>
  <si>
    <t>Nurran</t>
  </si>
  <si>
    <t>Nutfield</t>
  </si>
  <si>
    <t>Nyah</t>
  </si>
  <si>
    <t>Nyah West</t>
  </si>
  <si>
    <t>Nyarrin</t>
  </si>
  <si>
    <t>Nyerimilang</t>
  </si>
  <si>
    <t>Nyora</t>
  </si>
  <si>
    <t>Nyrraby</t>
  </si>
  <si>
    <t>Oak Park</t>
  </si>
  <si>
    <t>Oaklands Junction</t>
  </si>
  <si>
    <t>Oakleigh</t>
  </si>
  <si>
    <t>Oakleigh East</t>
  </si>
  <si>
    <t>Oakleigh South</t>
  </si>
  <si>
    <t>Oakvale</t>
  </si>
  <si>
    <t>Ocean Grange</t>
  </si>
  <si>
    <t>Ocean Grove</t>
  </si>
  <si>
    <t>Officer</t>
  </si>
  <si>
    <t>Officer South</t>
  </si>
  <si>
    <t>Old Tallangatta</t>
  </si>
  <si>
    <t>Olinda</t>
  </si>
  <si>
    <t>Ombersley</t>
  </si>
  <si>
    <t>Omeo</t>
  </si>
  <si>
    <t>Omeo Valley</t>
  </si>
  <si>
    <t>Ondit</t>
  </si>
  <si>
    <t>Orbost</t>
  </si>
  <si>
    <t>Orford</t>
  </si>
  <si>
    <t>Ormond</t>
  </si>
  <si>
    <t>Orrvale</t>
  </si>
  <si>
    <t>Osbornes Flat</t>
  </si>
  <si>
    <t>Outtrim</t>
  </si>
  <si>
    <t>Ouyen</t>
  </si>
  <si>
    <t>Ovens</t>
  </si>
  <si>
    <t>Oxley</t>
  </si>
  <si>
    <t>Oxley Flats</t>
  </si>
  <si>
    <t>Ozenkadnook</t>
  </si>
  <si>
    <t>Paaratte</t>
  </si>
  <si>
    <t>Painswick</t>
  </si>
  <si>
    <t>Pakenham</t>
  </si>
  <si>
    <t>Pakenham South</t>
  </si>
  <si>
    <t>Pakenham Upper</t>
  </si>
  <si>
    <t>Panitya</t>
  </si>
  <si>
    <t>Panmure</t>
  </si>
  <si>
    <t>Panton Hill</t>
  </si>
  <si>
    <t>Paradise</t>
  </si>
  <si>
    <t>Paradise Beach</t>
  </si>
  <si>
    <t>Paraparap</t>
  </si>
  <si>
    <t>Park Orchards</t>
  </si>
  <si>
    <t>Parkdale</t>
  </si>
  <si>
    <t>Parkville</t>
  </si>
  <si>
    <t>Parwan</t>
  </si>
  <si>
    <t>Paschendale</t>
  </si>
  <si>
    <t>Pascoe Vale</t>
  </si>
  <si>
    <t>Pascoe Vale South</t>
  </si>
  <si>
    <t>Pastoria</t>
  </si>
  <si>
    <t>Pastoria East</t>
  </si>
  <si>
    <t>Patchewollock</t>
  </si>
  <si>
    <t>Patho</t>
  </si>
  <si>
    <t>Patterson</t>
  </si>
  <si>
    <t>Patterson Lakes</t>
  </si>
  <si>
    <t>Patyah</t>
  </si>
  <si>
    <t>Paynesville</t>
  </si>
  <si>
    <t>Pearcedale</t>
  </si>
  <si>
    <t>Pearsondale</t>
  </si>
  <si>
    <t>Peechelba</t>
  </si>
  <si>
    <t>Peechelba East</t>
  </si>
  <si>
    <t>Pelluebla</t>
  </si>
  <si>
    <t>Pennyroyal</t>
  </si>
  <si>
    <t>Penshurst</t>
  </si>
  <si>
    <t>Pental Island</t>
  </si>
  <si>
    <t>Pentland Hills</t>
  </si>
  <si>
    <t>Percydale</t>
  </si>
  <si>
    <t>Peronne</t>
  </si>
  <si>
    <t>Perry Bridge</t>
  </si>
  <si>
    <t>Peterborough</t>
  </si>
  <si>
    <t>Petticoat Creek</t>
  </si>
  <si>
    <t>Pheasant Creek</t>
  </si>
  <si>
    <t>Piangil</t>
  </si>
  <si>
    <t>Piavella</t>
  </si>
  <si>
    <t>Picola</t>
  </si>
  <si>
    <t>Picola West</t>
  </si>
  <si>
    <t>Piedmont</t>
  </si>
  <si>
    <t>Pier Milan</t>
  </si>
  <si>
    <t>Pigeon Ponds</t>
  </si>
  <si>
    <t>Piggoreet</t>
  </si>
  <si>
    <t>Pimpinio</t>
  </si>
  <si>
    <t>Pine Grove</t>
  </si>
  <si>
    <t>Pine Lodge</t>
  </si>
  <si>
    <t>Pine Mountain</t>
  </si>
  <si>
    <t>Pine View</t>
  </si>
  <si>
    <t>Pines Forest</t>
  </si>
  <si>
    <t>Pinewood</t>
  </si>
  <si>
    <t>Pioneer Bay</t>
  </si>
  <si>
    <t>Pipers Creek</t>
  </si>
  <si>
    <t>Pira</t>
  </si>
  <si>
    <t>Piries</t>
  </si>
  <si>
    <t>Pirron Yallock</t>
  </si>
  <si>
    <t>Pitfield</t>
  </si>
  <si>
    <t>Pittong</t>
  </si>
  <si>
    <t>Plenty</t>
  </si>
  <si>
    <t>Plumpton</t>
  </si>
  <si>
    <t>Point Cook</t>
  </si>
  <si>
    <t>Point Leo</t>
  </si>
  <si>
    <t>Point Lonsdale</t>
  </si>
  <si>
    <t>Point Wilson</t>
  </si>
  <si>
    <t>Polisbet</t>
  </si>
  <si>
    <t>Pomborneit</t>
  </si>
  <si>
    <t>Pomborneit East</t>
  </si>
  <si>
    <t>Pomborneit North</t>
  </si>
  <si>
    <t>Pomonal</t>
  </si>
  <si>
    <t>Pompapiel</t>
  </si>
  <si>
    <t>Poolaijelo</t>
  </si>
  <si>
    <t>Pootilla</t>
  </si>
  <si>
    <t>Poowong</t>
  </si>
  <si>
    <t>Poowong East</t>
  </si>
  <si>
    <t>Poowong North</t>
  </si>
  <si>
    <t>Porcupine Ridge</t>
  </si>
  <si>
    <t>Porepunkah</t>
  </si>
  <si>
    <t>Port Albert</t>
  </si>
  <si>
    <t>Port Campbell</t>
  </si>
  <si>
    <t>Port Fairy</t>
  </si>
  <si>
    <t>Port Franklin</t>
  </si>
  <si>
    <t>Port Melbourne</t>
  </si>
  <si>
    <t>Port Welshpool</t>
  </si>
  <si>
    <t>Portarlington</t>
  </si>
  <si>
    <t>Portland</t>
  </si>
  <si>
    <t>Portland North</t>
  </si>
  <si>
    <t>Portland West</t>
  </si>
  <si>
    <t>Portsea</t>
  </si>
  <si>
    <t>Pound Creek</t>
  </si>
  <si>
    <t>Powelltown</t>
  </si>
  <si>
    <t>Powers Creek</t>
  </si>
  <si>
    <t>Powlett Plains</t>
  </si>
  <si>
    <t>Prahran</t>
  </si>
  <si>
    <t>Prahran East</t>
  </si>
  <si>
    <t>Prairie</t>
  </si>
  <si>
    <t>Pranjip</t>
  </si>
  <si>
    <t>Prentice North</t>
  </si>
  <si>
    <t>Preston</t>
  </si>
  <si>
    <t>Preston Lower</t>
  </si>
  <si>
    <t>Preston South</t>
  </si>
  <si>
    <t>Preston West</t>
  </si>
  <si>
    <t>Princes Hill</t>
  </si>
  <si>
    <t>Princetown</t>
  </si>
  <si>
    <t>Puckapunyal</t>
  </si>
  <si>
    <t>Pura Pura</t>
  </si>
  <si>
    <t>Purdeet</t>
  </si>
  <si>
    <t>Purnim</t>
  </si>
  <si>
    <t>Purnim West</t>
  </si>
  <si>
    <t>Pyalong</t>
  </si>
  <si>
    <t>Pyramid Hill</t>
  </si>
  <si>
    <t>Quambatook</t>
  </si>
  <si>
    <t>Quandong</t>
  </si>
  <si>
    <t>Quantong</t>
  </si>
  <si>
    <t>Quarry Hill</t>
  </si>
  <si>
    <t>Queenscliff</t>
  </si>
  <si>
    <t>Queensferry</t>
  </si>
  <si>
    <t>Raglan</t>
  </si>
  <si>
    <t>Rainbow</t>
  </si>
  <si>
    <t>Ranceby</t>
  </si>
  <si>
    <t>Rangeview</t>
  </si>
  <si>
    <t>Rathscar</t>
  </si>
  <si>
    <t>Rathscar West</t>
  </si>
  <si>
    <t>Ravenhall</t>
  </si>
  <si>
    <t>Ravenswood</t>
  </si>
  <si>
    <t>Ravenswood South</t>
  </si>
  <si>
    <t>Rawson</t>
  </si>
  <si>
    <t>Raymond Island</t>
  </si>
  <si>
    <t>Raywood</t>
  </si>
  <si>
    <t>Red Cliffs</t>
  </si>
  <si>
    <t>Red Hill</t>
  </si>
  <si>
    <t>Red Hill South</t>
  </si>
  <si>
    <t>Red Lion</t>
  </si>
  <si>
    <t>Redan</t>
  </si>
  <si>
    <t>Redbank</t>
  </si>
  <si>
    <t>Redcastle</t>
  </si>
  <si>
    <t>Redesdale</t>
  </si>
  <si>
    <t>Reedy Creek</t>
  </si>
  <si>
    <t>Reedy Dam</t>
  </si>
  <si>
    <t>Reedy Flat</t>
  </si>
  <si>
    <t>Reedy Lake</t>
  </si>
  <si>
    <t>Reefton</t>
  </si>
  <si>
    <t>Regent West</t>
  </si>
  <si>
    <t>Research</t>
  </si>
  <si>
    <t>Reservoir</t>
  </si>
  <si>
    <t>Reynard</t>
  </si>
  <si>
    <t>Rheola</t>
  </si>
  <si>
    <t>Rhyll</t>
  </si>
  <si>
    <t>Rhymney</t>
  </si>
  <si>
    <t>Riachella</t>
  </si>
  <si>
    <t>Rich Avon</t>
  </si>
  <si>
    <t>Rich Avon East</t>
  </si>
  <si>
    <t>Rich Avon West</t>
  </si>
  <si>
    <t>Richmond</t>
  </si>
  <si>
    <t>Richmond East</t>
  </si>
  <si>
    <t>Richmond North</t>
  </si>
  <si>
    <t>Richmond Plains</t>
  </si>
  <si>
    <t>Richmond South</t>
  </si>
  <si>
    <t>Riddells Creek</t>
  </si>
  <si>
    <t>Riggs Creek</t>
  </si>
  <si>
    <t>Ringwood</t>
  </si>
  <si>
    <t>Ringwood East</t>
  </si>
  <si>
    <t>Ringwood North</t>
  </si>
  <si>
    <t>Ripplebrook</t>
  </si>
  <si>
    <t>Rippleside</t>
  </si>
  <si>
    <t>Ripponlea</t>
  </si>
  <si>
    <t>Riverside</t>
  </si>
  <si>
    <t>Riverslea</t>
  </si>
  <si>
    <t>Robertsons Beach</t>
  </si>
  <si>
    <t>Robinson</t>
  </si>
  <si>
    <t>Robinvale</t>
  </si>
  <si>
    <t>Robinvale Irrigation District Section B</t>
  </si>
  <si>
    <t>Robinvale Irrigation District Section C</t>
  </si>
  <si>
    <t>Robinvale Irrigation District Section D</t>
  </si>
  <si>
    <t>Robinvale Irrigation District Section E</t>
  </si>
  <si>
    <t>Rochester</t>
  </si>
  <si>
    <t>Rochford</t>
  </si>
  <si>
    <t>Rockbank</t>
  </si>
  <si>
    <t>Rocklands</t>
  </si>
  <si>
    <t>Rocklyn</t>
  </si>
  <si>
    <t>Rocky Point</t>
  </si>
  <si>
    <t>Rokeby</t>
  </si>
  <si>
    <t>Rokewood</t>
  </si>
  <si>
    <t>Rokewood Junction</t>
  </si>
  <si>
    <t>Romsey</t>
  </si>
  <si>
    <t>Rosanna</t>
  </si>
  <si>
    <t>Rose River</t>
  </si>
  <si>
    <t>Rosebery</t>
  </si>
  <si>
    <t>Rosebrook</t>
  </si>
  <si>
    <t>Rosebud</t>
  </si>
  <si>
    <t>Rosebud Plaza</t>
  </si>
  <si>
    <t>Rosebud West</t>
  </si>
  <si>
    <t>Rosedale</t>
  </si>
  <si>
    <t>Roses Gap</t>
  </si>
  <si>
    <t>Rosewhite</t>
  </si>
  <si>
    <t>Roslynmead</t>
  </si>
  <si>
    <t>Ross Creek</t>
  </si>
  <si>
    <t>Rossbridge</t>
  </si>
  <si>
    <t>Rostron</t>
  </si>
  <si>
    <t>Rowsley</t>
  </si>
  <si>
    <t>Rowville</t>
  </si>
  <si>
    <t>Roxburgh Park</t>
  </si>
  <si>
    <t>Rubicon</t>
  </si>
  <si>
    <t>Ruby</t>
  </si>
  <si>
    <t>Ruffy</t>
  </si>
  <si>
    <t>Running Creek</t>
  </si>
  <si>
    <t>Runnymede</t>
  </si>
  <si>
    <t>Rupanyup</t>
  </si>
  <si>
    <t>Rushworth</t>
  </si>
  <si>
    <t>Russells Bridge</t>
  </si>
  <si>
    <t>Rutherglen</t>
  </si>
  <si>
    <t>Ryans</t>
  </si>
  <si>
    <t>Ryanston</t>
  </si>
  <si>
    <t>Rye</t>
  </si>
  <si>
    <t>Rythdale</t>
  </si>
  <si>
    <t>Safety Beach</t>
  </si>
  <si>
    <t>Sailors Falls</t>
  </si>
  <si>
    <t>Sailors Gully</t>
  </si>
  <si>
    <t>Sailors Hill</t>
  </si>
  <si>
    <t>Sale</t>
  </si>
  <si>
    <t>Sale East Raaf</t>
  </si>
  <si>
    <t>Salisbury West</t>
  </si>
  <si>
    <t>Samaria</t>
  </si>
  <si>
    <t>San Remo</t>
  </si>
  <si>
    <t>Sandford</t>
  </si>
  <si>
    <t>Sandhill Lake</t>
  </si>
  <si>
    <t>Sandhurst</t>
  </si>
  <si>
    <t>Sandhurst East</t>
  </si>
  <si>
    <t>Sandon</t>
  </si>
  <si>
    <t>Sandown Village</t>
  </si>
  <si>
    <t>Sandringham</t>
  </si>
  <si>
    <t>Sandy Creek</t>
  </si>
  <si>
    <t>Sandy Point</t>
  </si>
  <si>
    <t>Sargood</t>
  </si>
  <si>
    <t>Sarsfield</t>
  </si>
  <si>
    <t>Sassafras</t>
  </si>
  <si>
    <t>Sassafras Gully</t>
  </si>
  <si>
    <t>Sawmill Settlement</t>
  </si>
  <si>
    <t>Scarsdale</t>
  </si>
  <si>
    <t>Scoresby</t>
  </si>
  <si>
    <t>Scotchmans Lead</t>
  </si>
  <si>
    <t>Scotsburn</t>
  </si>
  <si>
    <t>Scotts Creek</t>
  </si>
  <si>
    <t>Sea Lake</t>
  </si>
  <si>
    <t>Seabrook</t>
  </si>
  <si>
    <t>Seacombe</t>
  </si>
  <si>
    <t>Seaford</t>
  </si>
  <si>
    <t>Seaholme</t>
  </si>
  <si>
    <t>Seaspray</t>
  </si>
  <si>
    <t>Seaton</t>
  </si>
  <si>
    <t>Seaview</t>
  </si>
  <si>
    <t>Sebastian</t>
  </si>
  <si>
    <t>Sebastopol</t>
  </si>
  <si>
    <t>Seddon</t>
  </si>
  <si>
    <t>Seddon West</t>
  </si>
  <si>
    <t>Sedgwick</t>
  </si>
  <si>
    <t>Selby</t>
  </si>
  <si>
    <t>Selwyn</t>
  </si>
  <si>
    <t>Separation Creek</t>
  </si>
  <si>
    <t>Serpentine</t>
  </si>
  <si>
    <t>Serviceton</t>
  </si>
  <si>
    <t>Seville</t>
  </si>
  <si>
    <t>Seville East</t>
  </si>
  <si>
    <t>Seymour</t>
  </si>
  <si>
    <t>Seymour South</t>
  </si>
  <si>
    <t>Shady Creek</t>
  </si>
  <si>
    <t>Shallow Inlet</t>
  </si>
  <si>
    <t>Shannonvale</t>
  </si>
  <si>
    <t>Shays Flat</t>
  </si>
  <si>
    <t>She Oaks</t>
  </si>
  <si>
    <t>Sheans Creek</t>
  </si>
  <si>
    <t>Sheep Hills</t>
  </si>
  <si>
    <t>Shelbourne</t>
  </si>
  <si>
    <t>Shelford</t>
  </si>
  <si>
    <t>Shelley</t>
  </si>
  <si>
    <t>Shepherds Flat</t>
  </si>
  <si>
    <t>Shepparton</t>
  </si>
  <si>
    <t>Shepparton East</t>
  </si>
  <si>
    <t>Shepparton North</t>
  </si>
  <si>
    <t>Shepparton South</t>
  </si>
  <si>
    <t>Sherbrooke</t>
  </si>
  <si>
    <t>Shoreham</t>
  </si>
  <si>
    <t>Sidonia</t>
  </si>
  <si>
    <t>Silvan</t>
  </si>
  <si>
    <t>Silverleaves</t>
  </si>
  <si>
    <t>Simpson</t>
  </si>
  <si>
    <t>Simpsons Creek</t>
  </si>
  <si>
    <t>Simson</t>
  </si>
  <si>
    <t>Skenes Creek</t>
  </si>
  <si>
    <t>Skenes Creek North</t>
  </si>
  <si>
    <t>Skibo</t>
  </si>
  <si>
    <t>Skinners Flat</t>
  </si>
  <si>
    <t>Skipton</t>
  </si>
  <si>
    <t>Skye</t>
  </si>
  <si>
    <t>Slaty Creek</t>
  </si>
  <si>
    <t>Smeaton</t>
  </si>
  <si>
    <t>Smiths Beach</t>
  </si>
  <si>
    <t>Smiths Gully</t>
  </si>
  <si>
    <t>Smokeytown</t>
  </si>
  <si>
    <t>Smoko</t>
  </si>
  <si>
    <t>Smythes Creek</t>
  </si>
  <si>
    <t>Smythesdale</t>
  </si>
  <si>
    <t>Snake Island</t>
  </si>
  <si>
    <t>Snake Valley</t>
  </si>
  <si>
    <t>Soldiers Hill</t>
  </si>
  <si>
    <t>Somers</t>
  </si>
  <si>
    <t>Somerton</t>
  </si>
  <si>
    <t>Somerton Park</t>
  </si>
  <si>
    <t>Somerville</t>
  </si>
  <si>
    <t>Sorrento</t>
  </si>
  <si>
    <t>South Dudley</t>
  </si>
  <si>
    <t>South Geelong</t>
  </si>
  <si>
    <t>South Kingsville</t>
  </si>
  <si>
    <t>South Melbourne</t>
  </si>
  <si>
    <t>South Morang</t>
  </si>
  <si>
    <t>South Purrumbete</t>
  </si>
  <si>
    <t>South Wharf</t>
  </si>
  <si>
    <t>South Yarra</t>
  </si>
  <si>
    <t>Southbank</t>
  </si>
  <si>
    <t>Southern Cross</t>
  </si>
  <si>
    <t>Southland Centre</t>
  </si>
  <si>
    <t>Spargo Creek</t>
  </si>
  <si>
    <t>Speed</t>
  </si>
  <si>
    <t>Speewa</t>
  </si>
  <si>
    <t>Spotswood</t>
  </si>
  <si>
    <t>Spring Gully</t>
  </si>
  <si>
    <t>Spring Hill</t>
  </si>
  <si>
    <t>Springbank</t>
  </si>
  <si>
    <t>Springdallah</t>
  </si>
  <si>
    <t>Springfield</t>
  </si>
  <si>
    <t>Springhurst</t>
  </si>
  <si>
    <t>Springmount</t>
  </si>
  <si>
    <t>Springvale</t>
  </si>
  <si>
    <t>Springvale South</t>
  </si>
  <si>
    <t>St Albans</t>
  </si>
  <si>
    <t>St Albans Park</t>
  </si>
  <si>
    <t>St Andrews</t>
  </si>
  <si>
    <t>St Andrews Beach</t>
  </si>
  <si>
    <t>St Arnaud</t>
  </si>
  <si>
    <t>St Arnaud East</t>
  </si>
  <si>
    <t>St Arnaud North</t>
  </si>
  <si>
    <t>St Clair</t>
  </si>
  <si>
    <t>St Germains</t>
  </si>
  <si>
    <t>St Helena</t>
  </si>
  <si>
    <t>St Helens</t>
  </si>
  <si>
    <t>St Helens Plains</t>
  </si>
  <si>
    <t>St James</t>
  </si>
  <si>
    <t>St Kilda</t>
  </si>
  <si>
    <t>St Kilda East</t>
  </si>
  <si>
    <t>St Kilda Road Central</t>
  </si>
  <si>
    <t>St Kilda Road Melbourne</t>
  </si>
  <si>
    <t>St Kilda South</t>
  </si>
  <si>
    <t>St Kilda West</t>
  </si>
  <si>
    <t>St Leonards</t>
  </si>
  <si>
    <t>Staceys Bridge</t>
  </si>
  <si>
    <t>Staffordshire Reef</t>
  </si>
  <si>
    <t>Staghorn Flat</t>
  </si>
  <si>
    <t>Stanhope</t>
  </si>
  <si>
    <t>Stanhope South</t>
  </si>
  <si>
    <t>Stanley</t>
  </si>
  <si>
    <t>Staughton Vale</t>
  </si>
  <si>
    <t>Stavely</t>
  </si>
  <si>
    <t>Stawell</t>
  </si>
  <si>
    <t>Stawell West</t>
  </si>
  <si>
    <t>Steels Creek</t>
  </si>
  <si>
    <t>Steiglitz</t>
  </si>
  <si>
    <t>Stewarton</t>
  </si>
  <si>
    <t>Stirling</t>
  </si>
  <si>
    <t>Stockdale</t>
  </si>
  <si>
    <t>Stockyard Hill</t>
  </si>
  <si>
    <t>Stonehaven</t>
  </si>
  <si>
    <t>Stoneleigh</t>
  </si>
  <si>
    <t>Stony Creek</t>
  </si>
  <si>
    <t>Stonyford</t>
  </si>
  <si>
    <t>Stradbroke</t>
  </si>
  <si>
    <t>Stradbroke Park</t>
  </si>
  <si>
    <t>Strangways</t>
  </si>
  <si>
    <t>Straten</t>
  </si>
  <si>
    <t>Stratford</t>
  </si>
  <si>
    <t>Strath Creek</t>
  </si>
  <si>
    <t>Strathallan</t>
  </si>
  <si>
    <t>Strathbogie</t>
  </si>
  <si>
    <t>Strathdale</t>
  </si>
  <si>
    <t>Strathdownie</t>
  </si>
  <si>
    <t>Strathewen</t>
  </si>
  <si>
    <t>Strathfieldsaye</t>
  </si>
  <si>
    <t>Strathkellar</t>
  </si>
  <si>
    <t>Strathlea</t>
  </si>
  <si>
    <t>Strathmerton</t>
  </si>
  <si>
    <t>Strathmore</t>
  </si>
  <si>
    <t>Strathmore Heights</t>
  </si>
  <si>
    <t>Streatham</t>
  </si>
  <si>
    <t>Strzelecki</t>
  </si>
  <si>
    <t>Stuart Mill</t>
  </si>
  <si>
    <t>Studfield</t>
  </si>
  <si>
    <t>Sugarloaf</t>
  </si>
  <si>
    <t>Sugarloaf Creek</t>
  </si>
  <si>
    <t>Suggan Buggan</t>
  </si>
  <si>
    <t>Sulky</t>
  </si>
  <si>
    <t>Summerlands</t>
  </si>
  <si>
    <t>Sumner</t>
  </si>
  <si>
    <t>Sunbury</t>
  </si>
  <si>
    <t>Sunday Creek</t>
  </si>
  <si>
    <t>Sunderland Bay</t>
  </si>
  <si>
    <t>Sunnycliffs</t>
  </si>
  <si>
    <t>Sunset Strip</t>
  </si>
  <si>
    <t>Sunshine</t>
  </si>
  <si>
    <t>Sunshine North</t>
  </si>
  <si>
    <t>Sunshine West</t>
  </si>
  <si>
    <t>Surf Beach</t>
  </si>
  <si>
    <t>Surrey Hills</t>
  </si>
  <si>
    <t>Surrey Hills North</t>
  </si>
  <si>
    <t>Surrey Hills South</t>
  </si>
  <si>
    <t>Sutherland</t>
  </si>
  <si>
    <t>Sutherlands Creek</t>
  </si>
  <si>
    <t>Sutton</t>
  </si>
  <si>
    <t>Sutton Grange</t>
  </si>
  <si>
    <t>Swan Bay</t>
  </si>
  <si>
    <t>Swan Hill</t>
  </si>
  <si>
    <t>Swan Hill West</t>
  </si>
  <si>
    <t>Swan Island</t>
  </si>
  <si>
    <t>Swan Marsh</t>
  </si>
  <si>
    <t>Swan Reach</t>
  </si>
  <si>
    <t>Swanpool</t>
  </si>
  <si>
    <t>Swanwater</t>
  </si>
  <si>
    <t>Swanwater West</t>
  </si>
  <si>
    <t>Swifts Creek</t>
  </si>
  <si>
    <t>Sydenham</t>
  </si>
  <si>
    <t>Sylvaterre</t>
  </si>
  <si>
    <t>Syndal</t>
  </si>
  <si>
    <t>Tabberabbera</t>
  </si>
  <si>
    <t>Tabilk</t>
  </si>
  <si>
    <t>Tabor</t>
  </si>
  <si>
    <t>Taggerty</t>
  </si>
  <si>
    <t>Tahara</t>
  </si>
  <si>
    <t>Tahara Bridge</t>
  </si>
  <si>
    <t>Tahara West</t>
  </si>
  <si>
    <t>Talbot</t>
  </si>
  <si>
    <t>Talgarno</t>
  </si>
  <si>
    <t>Tallandoon</t>
  </si>
  <si>
    <t>Tallangatta</t>
  </si>
  <si>
    <t>Tallangatta East</t>
  </si>
  <si>
    <t>Tallangatta South</t>
  </si>
  <si>
    <t>Tallangatta Valley</t>
  </si>
  <si>
    <t>Tallarook</t>
  </si>
  <si>
    <t>Tallygaroopna</t>
  </si>
  <si>
    <t>Tambo Crossing</t>
  </si>
  <si>
    <t>Tambo Upper</t>
  </si>
  <si>
    <t>Tamboon</t>
  </si>
  <si>
    <t>Tamboritha</t>
  </si>
  <si>
    <t>Taminick</t>
  </si>
  <si>
    <t>Tamleugh</t>
  </si>
  <si>
    <t>Tamleugh North</t>
  </si>
  <si>
    <t>Tandarook</t>
  </si>
  <si>
    <t>Tandarra</t>
  </si>
  <si>
    <t>Tangambalanga</t>
  </si>
  <si>
    <t>Tanjil</t>
  </si>
  <si>
    <t>Tanjil Bren</t>
  </si>
  <si>
    <t>Tanjil South</t>
  </si>
  <si>
    <t>Tantaraboo</t>
  </si>
  <si>
    <t>Tanwood</t>
  </si>
  <si>
    <t>Tanybryn</t>
  </si>
  <si>
    <t>Taradale</t>
  </si>
  <si>
    <t>Tarcombe</t>
  </si>
  <si>
    <t>Tarilta</t>
  </si>
  <si>
    <t>Tarnagulla</t>
  </si>
  <si>
    <t>Tarneit</t>
  </si>
  <si>
    <t>Tarnook</t>
  </si>
  <si>
    <t>Taroon</t>
  </si>
  <si>
    <t>Tarra Valley</t>
  </si>
  <si>
    <t>Tarranyurk</t>
  </si>
  <si>
    <t>Tarraville</t>
  </si>
  <si>
    <t>Tarrawarra</t>
  </si>
  <si>
    <t>Tarrawingee</t>
  </si>
  <si>
    <t>Tarrayoukyan</t>
  </si>
  <si>
    <t>Tarrengower</t>
  </si>
  <si>
    <t>Tarrenlea</t>
  </si>
  <si>
    <t>Tarrington</t>
  </si>
  <si>
    <t>Tarrone</t>
  </si>
  <si>
    <t>Tarwin</t>
  </si>
  <si>
    <t>Tarwin Lower</t>
  </si>
  <si>
    <t>Tatong</t>
  </si>
  <si>
    <t>Tatura</t>
  </si>
  <si>
    <t>Tatura East</t>
  </si>
  <si>
    <t>Tatyoon</t>
  </si>
  <si>
    <t>Tawonga</t>
  </si>
  <si>
    <t>Tawonga South</t>
  </si>
  <si>
    <t>Taylor Bay</t>
  </si>
  <si>
    <t>Taylors Hill</t>
  </si>
  <si>
    <t>Taylors Lakes</t>
  </si>
  <si>
    <t>Teal Point</t>
  </si>
  <si>
    <t>Tecoma</t>
  </si>
  <si>
    <t>Teddywaddy</t>
  </si>
  <si>
    <t>Teddywaddy West</t>
  </si>
  <si>
    <t>Teesdale</t>
  </si>
  <si>
    <t>Telangatuk East</t>
  </si>
  <si>
    <t>Telford</t>
  </si>
  <si>
    <t>Telopea Downs</t>
  </si>
  <si>
    <t>Templestowe</t>
  </si>
  <si>
    <t>Templestowe Lower</t>
  </si>
  <si>
    <t>Tempy</t>
  </si>
  <si>
    <t>Tenby Point</t>
  </si>
  <si>
    <t>Tennyson</t>
  </si>
  <si>
    <t>Terang</t>
  </si>
  <si>
    <t>Terip Terip</t>
  </si>
  <si>
    <t>Terrappee</t>
  </si>
  <si>
    <t>Terrick Terrick</t>
  </si>
  <si>
    <t>Terrick Terrick East</t>
  </si>
  <si>
    <t>Tesbury</t>
  </si>
  <si>
    <t>Tetoora Road</t>
  </si>
  <si>
    <t>Thalia</t>
  </si>
  <si>
    <t>Thalloo</t>
  </si>
  <si>
    <t>The Basin</t>
  </si>
  <si>
    <t>The Cove</t>
  </si>
  <si>
    <t>The Gurdies</t>
  </si>
  <si>
    <t>The Heart</t>
  </si>
  <si>
    <t>The Honeysuckles</t>
  </si>
  <si>
    <t>The Patch</t>
  </si>
  <si>
    <t>The Sisters</t>
  </si>
  <si>
    <t>Thologolong</t>
  </si>
  <si>
    <t>Thomastown</t>
  </si>
  <si>
    <t>Thomson</t>
  </si>
  <si>
    <t>Thoona</t>
  </si>
  <si>
    <t>Thornbury</t>
  </si>
  <si>
    <t>Thornton</t>
  </si>
  <si>
    <t>Thorpdale</t>
  </si>
  <si>
    <t>Thorpdale South</t>
  </si>
  <si>
    <t>Thowgla Valley</t>
  </si>
  <si>
    <t>Three Bridges</t>
  </si>
  <si>
    <t>Tidal River</t>
  </si>
  <si>
    <t>Timbarra</t>
  </si>
  <si>
    <t>Timboon</t>
  </si>
  <si>
    <t>Timboon West</t>
  </si>
  <si>
    <t>Timmering</t>
  </si>
  <si>
    <t>Timor</t>
  </si>
  <si>
    <t>Timor West</t>
  </si>
  <si>
    <t>Tinamba</t>
  </si>
  <si>
    <t>Tinamba West</t>
  </si>
  <si>
    <t>Tintaldra</t>
  </si>
  <si>
    <t>Tittybong</t>
  </si>
  <si>
    <t>Tol Tol</t>
  </si>
  <si>
    <t>Tolmie</t>
  </si>
  <si>
    <t>Tom Groggin</t>
  </si>
  <si>
    <t>Tongala</t>
  </si>
  <si>
    <t>Tonghi Creek</t>
  </si>
  <si>
    <t>Tongio</t>
  </si>
  <si>
    <t>Tonimbuk</t>
  </si>
  <si>
    <t>Tooan</t>
  </si>
  <si>
    <t>Tooborac</t>
  </si>
  <si>
    <t>Toolamba</t>
  </si>
  <si>
    <t>Toolamba West</t>
  </si>
  <si>
    <t>Toolangi</t>
  </si>
  <si>
    <t>Toolern Vale</t>
  </si>
  <si>
    <t>Toolleen</t>
  </si>
  <si>
    <t>Toolome</t>
  </si>
  <si>
    <t>Toolondo</t>
  </si>
  <si>
    <t>Toolong</t>
  </si>
  <si>
    <t>Toombon</t>
  </si>
  <si>
    <t>Toongabbie</t>
  </si>
  <si>
    <t>Toora</t>
  </si>
  <si>
    <t>Toora North</t>
  </si>
  <si>
    <t>Tooradin</t>
  </si>
  <si>
    <t>Toorak</t>
  </si>
  <si>
    <t>Toorloo Arm</t>
  </si>
  <si>
    <t>Tooronga</t>
  </si>
  <si>
    <t>Toorongo</t>
  </si>
  <si>
    <t>Tootgarook</t>
  </si>
  <si>
    <t>Torquay</t>
  </si>
  <si>
    <t>Torrita</t>
  </si>
  <si>
    <t>Torrumbarry</t>
  </si>
  <si>
    <t>Torwood</t>
  </si>
  <si>
    <t>Tostaree</t>
  </si>
  <si>
    <t>Tottenham</t>
  </si>
  <si>
    <t>Tottington</t>
  </si>
  <si>
    <t>Tourello</t>
  </si>
  <si>
    <t>Towan</t>
  </si>
  <si>
    <t>Towaninny</t>
  </si>
  <si>
    <t>Towaninny South</t>
  </si>
  <si>
    <t>Tower Hill</t>
  </si>
  <si>
    <t>Towong</t>
  </si>
  <si>
    <t>Towong Upper</t>
  </si>
  <si>
    <t>Trafalgar</t>
  </si>
  <si>
    <t>Trafalgar East</t>
  </si>
  <si>
    <t>Trafalgar South</t>
  </si>
  <si>
    <t>Tragowel</t>
  </si>
  <si>
    <t>Traralgon</t>
  </si>
  <si>
    <t>Traralgon East</t>
  </si>
  <si>
    <t>Traralgon South</t>
  </si>
  <si>
    <t>Travancore</t>
  </si>
  <si>
    <t>Trawalla</t>
  </si>
  <si>
    <t>Trawool</t>
  </si>
  <si>
    <t>Traynors Lagoon</t>
  </si>
  <si>
    <t>Tremont</t>
  </si>
  <si>
    <t>Trentham</t>
  </si>
  <si>
    <t>Trentham East</t>
  </si>
  <si>
    <t>Tresco</t>
  </si>
  <si>
    <t>Tresco West</t>
  </si>
  <si>
    <t>Trida</t>
  </si>
  <si>
    <t>Truganina</t>
  </si>
  <si>
    <t>Tubbut</t>
  </si>
  <si>
    <t>Tuerong</t>
  </si>
  <si>
    <t>Tulkara</t>
  </si>
  <si>
    <t>Tullamarine</t>
  </si>
  <si>
    <t>Tungamah</t>
  </si>
  <si>
    <t>Turoar</t>
  </si>
  <si>
    <t>Turriff</t>
  </si>
  <si>
    <t>Turriff East</t>
  </si>
  <si>
    <t>Turtons Creek</t>
  </si>
  <si>
    <t>Tutye</t>
  </si>
  <si>
    <t>Tyaak</t>
  </si>
  <si>
    <t>Tyabb</t>
  </si>
  <si>
    <t>Tyenna</t>
  </si>
  <si>
    <t>Tyers</t>
  </si>
  <si>
    <t>Tylden</t>
  </si>
  <si>
    <t>Tylden South</t>
  </si>
  <si>
    <t>Tynong</t>
  </si>
  <si>
    <t>Tynong North</t>
  </si>
  <si>
    <t>Tyntynder</t>
  </si>
  <si>
    <t>Tyntynder South</t>
  </si>
  <si>
    <t>Tyrendarra</t>
  </si>
  <si>
    <t>Tyrendarra East</t>
  </si>
  <si>
    <t>Tyrrell</t>
  </si>
  <si>
    <t>Tyrrell Downs</t>
  </si>
  <si>
    <t>Ullina</t>
  </si>
  <si>
    <t>Ullswater</t>
  </si>
  <si>
    <t>Ultima</t>
  </si>
  <si>
    <t>Ultima East</t>
  </si>
  <si>
    <t>Ulupna</t>
  </si>
  <si>
    <t>Undera</t>
  </si>
  <si>
    <t>Underbool</t>
  </si>
  <si>
    <t>Upotipotpon</t>
  </si>
  <si>
    <t>Upper Gundowring</t>
  </si>
  <si>
    <t>Upper Lurg</t>
  </si>
  <si>
    <t>Upper Plenty</t>
  </si>
  <si>
    <t>Upper Ryans Creek</t>
  </si>
  <si>
    <t>Upton Hill</t>
  </si>
  <si>
    <t>Upwey</t>
  </si>
  <si>
    <t>Valencia Creek</t>
  </si>
  <si>
    <t>Vasey</t>
  </si>
  <si>
    <t>Vaughan</t>
  </si>
  <si>
    <t>Vectis</t>
  </si>
  <si>
    <t>Ventnor</t>
  </si>
  <si>
    <t>Venus Bay</t>
  </si>
  <si>
    <t>Vermont</t>
  </si>
  <si>
    <t>Vermont South</t>
  </si>
  <si>
    <t>Vervale</t>
  </si>
  <si>
    <t>Vesper</t>
  </si>
  <si>
    <t>Victoria Point</t>
  </si>
  <si>
    <t>Victoria Valley</t>
  </si>
  <si>
    <t>Viewbank</t>
  </si>
  <si>
    <t>Vinifera</t>
  </si>
  <si>
    <t>Violet Town</t>
  </si>
  <si>
    <t>Vite Vite</t>
  </si>
  <si>
    <t>Vite Vite North</t>
  </si>
  <si>
    <t>W Tree</t>
  </si>
  <si>
    <t>Waaia</t>
  </si>
  <si>
    <t>Waanyarra</t>
  </si>
  <si>
    <t>Waarre</t>
  </si>
  <si>
    <t>Wabonga</t>
  </si>
  <si>
    <t>Waggarandall</t>
  </si>
  <si>
    <t>Wahgunyah</t>
  </si>
  <si>
    <t>Wahring</t>
  </si>
  <si>
    <t>Wail</t>
  </si>
  <si>
    <t>Wairewa</t>
  </si>
  <si>
    <t>Waitchie</t>
  </si>
  <si>
    <t>Wal Wal</t>
  </si>
  <si>
    <t>Waldara</t>
  </si>
  <si>
    <t>Walhalla</t>
  </si>
  <si>
    <t>Walhalla East</t>
  </si>
  <si>
    <t>Walkerville</t>
  </si>
  <si>
    <t>Walkerville North</t>
  </si>
  <si>
    <t>Walkerville South</t>
  </si>
  <si>
    <t>Wallace</t>
  </si>
  <si>
    <t>Wallacedale</t>
  </si>
  <si>
    <t>Wallagaraugh</t>
  </si>
  <si>
    <t>Wallaloo</t>
  </si>
  <si>
    <t>Wallaloo East</t>
  </si>
  <si>
    <t>Wallan</t>
  </si>
  <si>
    <t>Wallinduc</t>
  </si>
  <si>
    <t>Wallington</t>
  </si>
  <si>
    <t>Wallup</t>
  </si>
  <si>
    <t>Walmer</t>
  </si>
  <si>
    <t>Walpa</t>
  </si>
  <si>
    <t>Walpeup</t>
  </si>
  <si>
    <t>Walwa</t>
  </si>
  <si>
    <t>Wanalta</t>
  </si>
  <si>
    <t>Wandana Heights</t>
  </si>
  <si>
    <t>Wandella</t>
  </si>
  <si>
    <t>Wandiligong</t>
  </si>
  <si>
    <t>Wandin East</t>
  </si>
  <si>
    <t>Wandin North</t>
  </si>
  <si>
    <t>Wando Bridge</t>
  </si>
  <si>
    <t>Wando Vale</t>
  </si>
  <si>
    <t>Wandong</t>
  </si>
  <si>
    <t>Wandown</t>
  </si>
  <si>
    <t>Wangandary</t>
  </si>
  <si>
    <t>Wangarabell</t>
  </si>
  <si>
    <t>Wangaratta</t>
  </si>
  <si>
    <t>Wangaratta Forward</t>
  </si>
  <si>
    <t>Wangaratta South</t>
  </si>
  <si>
    <t>Wangie</t>
  </si>
  <si>
    <t>Wangoom</t>
  </si>
  <si>
    <t>Wannon</t>
  </si>
  <si>
    <t>Wantirna</t>
  </si>
  <si>
    <t>Wantirna South</t>
  </si>
  <si>
    <t>Waranga</t>
  </si>
  <si>
    <t>Waranga Shores</t>
  </si>
  <si>
    <t>Waratah Bay</t>
  </si>
  <si>
    <t>Warburton</t>
  </si>
  <si>
    <t>Wareek</t>
  </si>
  <si>
    <t>Wargan</t>
  </si>
  <si>
    <t>Warmur</t>
  </si>
  <si>
    <t>Warncoort</t>
  </si>
  <si>
    <t>Warne</t>
  </si>
  <si>
    <t>Warneet</t>
  </si>
  <si>
    <t>Warrabkook</t>
  </si>
  <si>
    <t>Warracknabeal</t>
  </si>
  <si>
    <t>Warragul</t>
  </si>
  <si>
    <t>Warragul South</t>
  </si>
  <si>
    <t>Warragul West</t>
  </si>
  <si>
    <t>Warrak</t>
  </si>
  <si>
    <t>Warrandyte</t>
  </si>
  <si>
    <t>Warrandyte South</t>
  </si>
  <si>
    <t>Warranwood</t>
  </si>
  <si>
    <t>Warrayure</t>
  </si>
  <si>
    <t>Warrenbayne</t>
  </si>
  <si>
    <t>Warrenheip</t>
  </si>
  <si>
    <t>Warrenmang</t>
  </si>
  <si>
    <t>Warrion</t>
  </si>
  <si>
    <t>Warrnambool</t>
  </si>
  <si>
    <t>Warrock</t>
  </si>
  <si>
    <t>Warrong</t>
  </si>
  <si>
    <t>Wartook</t>
  </si>
  <si>
    <t>Watchem</t>
  </si>
  <si>
    <t>Watchem West</t>
  </si>
  <si>
    <t>Watchupga</t>
  </si>
  <si>
    <t>Waterford</t>
  </si>
  <si>
    <t>Waterford Park</t>
  </si>
  <si>
    <t>Watergardens</t>
  </si>
  <si>
    <t>Waterholes</t>
  </si>
  <si>
    <t>Waterloo</t>
  </si>
  <si>
    <t>Waterways</t>
  </si>
  <si>
    <t>Watsonia</t>
  </si>
  <si>
    <t>Watsonia North</t>
  </si>
  <si>
    <t>Watsons Creek</t>
  </si>
  <si>
    <t>Wattle Bank</t>
  </si>
  <si>
    <t>Wattle Creek</t>
  </si>
  <si>
    <t>Wattle Flat</t>
  </si>
  <si>
    <t>Wattle Glen</t>
  </si>
  <si>
    <t>Wattle Hill</t>
  </si>
  <si>
    <t>Wattle Park</t>
  </si>
  <si>
    <t>Wattletree Road Po</t>
  </si>
  <si>
    <t>Waubra</t>
  </si>
  <si>
    <t>Waurn Ponds</t>
  </si>
  <si>
    <t>Waverley Gardens</t>
  </si>
  <si>
    <t>Waygara</t>
  </si>
  <si>
    <t>Weatherboard</t>
  </si>
  <si>
    <t>Wedderburn</t>
  </si>
  <si>
    <t>Wedderburn Junction</t>
  </si>
  <si>
    <t>Wee Wee Rup</t>
  </si>
  <si>
    <t>Weeaproinah</t>
  </si>
  <si>
    <t>Weering</t>
  </si>
  <si>
    <t>Weerite</t>
  </si>
  <si>
    <t>Wehla</t>
  </si>
  <si>
    <t>Wellsford</t>
  </si>
  <si>
    <t>Welshmans Reef</t>
  </si>
  <si>
    <t>Welshpool</t>
  </si>
  <si>
    <t>Wemen</t>
  </si>
  <si>
    <t>Wendouree</t>
  </si>
  <si>
    <t>Wendouree Village</t>
  </si>
  <si>
    <t>Wensleydale</t>
  </si>
  <si>
    <t>Wentworth</t>
  </si>
  <si>
    <t>Were Street Po</t>
  </si>
  <si>
    <t>Werneth</t>
  </si>
  <si>
    <t>Werona</t>
  </si>
  <si>
    <t>Werribee</t>
  </si>
  <si>
    <t>Werribee South</t>
  </si>
  <si>
    <t>Werrimull</t>
  </si>
  <si>
    <t>Wesburn</t>
  </si>
  <si>
    <t>West Bendigo</t>
  </si>
  <si>
    <t>West Creek</t>
  </si>
  <si>
    <t>West Footscray</t>
  </si>
  <si>
    <t>West Melbourne</t>
  </si>
  <si>
    <t>West Wodonga</t>
  </si>
  <si>
    <t>Westbury</t>
  </si>
  <si>
    <t>Westby</t>
  </si>
  <si>
    <t>Westmeadows</t>
  </si>
  <si>
    <t>Westmere</t>
  </si>
  <si>
    <t>Whanregarwen</t>
  </si>
  <si>
    <t>Wharparilla</t>
  </si>
  <si>
    <t>Wheatsheaf</t>
  </si>
  <si>
    <t>Wheelers Hill</t>
  </si>
  <si>
    <t>Whipstick</t>
  </si>
  <si>
    <t>Whirily</t>
  </si>
  <si>
    <t>White Hills</t>
  </si>
  <si>
    <t>Whiteheads Creek</t>
  </si>
  <si>
    <t>Whitelaw</t>
  </si>
  <si>
    <t>Whitfield</t>
  </si>
  <si>
    <t>Whitlands</t>
  </si>
  <si>
    <t>Whittington</t>
  </si>
  <si>
    <t>Whittlesea</t>
  </si>
  <si>
    <t>Whoorel</t>
  </si>
  <si>
    <t>Whorouly</t>
  </si>
  <si>
    <t>Whorouly East</t>
  </si>
  <si>
    <t>Whorouly South</t>
  </si>
  <si>
    <t>Whroo</t>
  </si>
  <si>
    <t>Wickliffe</t>
  </si>
  <si>
    <t>Wilby</t>
  </si>
  <si>
    <t>Wild Dog Valley</t>
  </si>
  <si>
    <t>Wildwood</t>
  </si>
  <si>
    <t>Wilkur</t>
  </si>
  <si>
    <t>Willangie</t>
  </si>
  <si>
    <t>Willatook</t>
  </si>
  <si>
    <t>Willaura</t>
  </si>
  <si>
    <t>Willaura North</t>
  </si>
  <si>
    <t>Willenabrina</t>
  </si>
  <si>
    <t>Williams Landing</t>
  </si>
  <si>
    <t>Williamstown</t>
  </si>
  <si>
    <t>Williamstown North</t>
  </si>
  <si>
    <t>Willow Grove</t>
  </si>
  <si>
    <t>Willowmavin</t>
  </si>
  <si>
    <t>Willowvale</t>
  </si>
  <si>
    <t>Willung</t>
  </si>
  <si>
    <t>Willung South</t>
  </si>
  <si>
    <t>Wilsons Hill</t>
  </si>
  <si>
    <t>Wilsons Promontory</t>
  </si>
  <si>
    <t>Wimbledon Heights</t>
  </si>
  <si>
    <t>Winchelsea</t>
  </si>
  <si>
    <t>Winchelsea South</t>
  </si>
  <si>
    <t>Windermere</t>
  </si>
  <si>
    <t>Windsor</t>
  </si>
  <si>
    <t>Wingan River</t>
  </si>
  <si>
    <t>Wingeel</t>
  </si>
  <si>
    <t>Winjallok</t>
  </si>
  <si>
    <t>Winlaton</t>
  </si>
  <si>
    <t>Winnambool</t>
  </si>
  <si>
    <t>Winnap</t>
  </si>
  <si>
    <t>Winnindoo</t>
  </si>
  <si>
    <t>Winslow</t>
  </si>
  <si>
    <t>Winter Valley</t>
  </si>
  <si>
    <t>Winton</t>
  </si>
  <si>
    <t>Winton North</t>
  </si>
  <si>
    <t>Wirrate</t>
  </si>
  <si>
    <t>Wiseleigh</t>
  </si>
  <si>
    <t>Wishart</t>
  </si>
  <si>
    <t>Wodonga</t>
  </si>
  <si>
    <t>Wodonga Forward</t>
  </si>
  <si>
    <t>Wodonga Plaza</t>
  </si>
  <si>
    <t>Wollert</t>
  </si>
  <si>
    <t>Wombat Creek</t>
  </si>
  <si>
    <t>Wombelano</t>
  </si>
  <si>
    <t>Won Wron</t>
  </si>
  <si>
    <t>Wonga</t>
  </si>
  <si>
    <t>Wonga Park</t>
  </si>
  <si>
    <t>Wongarra</t>
  </si>
  <si>
    <t>Wongungarra</t>
  </si>
  <si>
    <t>Wonnangatta</t>
  </si>
  <si>
    <t>Wonthaggi</t>
  </si>
  <si>
    <t>Wonwondah</t>
  </si>
  <si>
    <t>Wonyip</t>
  </si>
  <si>
    <t>Wood Wood</t>
  </si>
  <si>
    <t>Woodend</t>
  </si>
  <si>
    <t>Woodend North</t>
  </si>
  <si>
    <t>Woodfield</t>
  </si>
  <si>
    <t>Woodford</t>
  </si>
  <si>
    <t>Woodglen</t>
  </si>
  <si>
    <t>Woodhouse</t>
  </si>
  <si>
    <t>Woodleigh</t>
  </si>
  <si>
    <t>Woods Point</t>
  </si>
  <si>
    <t>Woodside</t>
  </si>
  <si>
    <t>Woodside Beach</t>
  </si>
  <si>
    <t>Woodside North</t>
  </si>
  <si>
    <t>Woodstock</t>
  </si>
  <si>
    <t>Woodstock On Loddon</t>
  </si>
  <si>
    <t>Woodstock West</t>
  </si>
  <si>
    <t>Woodvale</t>
  </si>
  <si>
    <t>Wool Wool</t>
  </si>
  <si>
    <t>Woolamai</t>
  </si>
  <si>
    <t>Woolenook</t>
  </si>
  <si>
    <t>Woolshed Flat</t>
  </si>
  <si>
    <t>Woolsthorpe</t>
  </si>
  <si>
    <t>Woomelang</t>
  </si>
  <si>
    <t>Wooragee</t>
  </si>
  <si>
    <t>Woorarra East</t>
  </si>
  <si>
    <t>Woorarra West</t>
  </si>
  <si>
    <t>Wooreen</t>
  </si>
  <si>
    <t>Woori Yallock</t>
  </si>
  <si>
    <t>Woorinen</t>
  </si>
  <si>
    <t>Woorinen North</t>
  </si>
  <si>
    <t>Woorinen South</t>
  </si>
  <si>
    <t>Woorndoo</t>
  </si>
  <si>
    <t>Wooroonook</t>
  </si>
  <si>
    <t>Woosang</t>
  </si>
  <si>
    <t>Wootong Vale</t>
  </si>
  <si>
    <t>Worrowing</t>
  </si>
  <si>
    <t>Wrathung</t>
  </si>
  <si>
    <t>Wrixon</t>
  </si>
  <si>
    <t>Wroxham</t>
  </si>
  <si>
    <t>Wuk Wuk</t>
  </si>
  <si>
    <t>Wulgulmerang</t>
  </si>
  <si>
    <t>Wulgulmerang East</t>
  </si>
  <si>
    <t>Wulgulmerang West</t>
  </si>
  <si>
    <t>Wunghnu</t>
  </si>
  <si>
    <t>Wurdiboluc</t>
  </si>
  <si>
    <t>Wurruk</t>
  </si>
  <si>
    <t>Wy Yung</t>
  </si>
  <si>
    <t>Wycheproof</t>
  </si>
  <si>
    <t>Wycheproof South</t>
  </si>
  <si>
    <t>Wychitella</t>
  </si>
  <si>
    <t>Wychitella North</t>
  </si>
  <si>
    <t>Wye River</t>
  </si>
  <si>
    <t>Wyelangta</t>
  </si>
  <si>
    <t>Wyndham Vale</t>
  </si>
  <si>
    <t>Wyuna</t>
  </si>
  <si>
    <t>Wyuna East</t>
  </si>
  <si>
    <t>Yaapeet</t>
  </si>
  <si>
    <t>Yabba North</t>
  </si>
  <si>
    <t>Yabba South</t>
  </si>
  <si>
    <t>Yackandandah</t>
  </si>
  <si>
    <t>Yalca</t>
  </si>
  <si>
    <t>Yalla Y Poora</t>
  </si>
  <si>
    <t>Yallambie</t>
  </si>
  <si>
    <t>Yallourn</t>
  </si>
  <si>
    <t>Yallourn North</t>
  </si>
  <si>
    <t>Yalmy</t>
  </si>
  <si>
    <t>Yambuk</t>
  </si>
  <si>
    <t>Yambuna</t>
  </si>
  <si>
    <t>Yan Yean</t>
  </si>
  <si>
    <t>Yanac</t>
  </si>
  <si>
    <t>Yanakie</t>
  </si>
  <si>
    <t>Yando</t>
  </si>
  <si>
    <t>Yandoit</t>
  </si>
  <si>
    <t>Yandoit Hills</t>
  </si>
  <si>
    <t>Yangery</t>
  </si>
  <si>
    <t>Yangoura</t>
  </si>
  <si>
    <t>Yannathan</t>
  </si>
  <si>
    <t>Yapeen</t>
  </si>
  <si>
    <t>Yarck</t>
  </si>
  <si>
    <t>Yarpturk</t>
  </si>
  <si>
    <t>Yarra Glen</t>
  </si>
  <si>
    <t>Yarra Junction</t>
  </si>
  <si>
    <t>Yarraberb</t>
  </si>
  <si>
    <t>Yarragon</t>
  </si>
  <si>
    <t>Yarragon South</t>
  </si>
  <si>
    <t>Yarram</t>
  </si>
  <si>
    <t>Yarrambat</t>
  </si>
  <si>
    <t>Yarraville</t>
  </si>
  <si>
    <t>Yarraville West</t>
  </si>
  <si>
    <t>Yarrawalla</t>
  </si>
  <si>
    <t>Yarrawonga</t>
  </si>
  <si>
    <t>Yarrawonga South</t>
  </si>
  <si>
    <t>Yarroweyah</t>
  </si>
  <si>
    <t>Yarrunga</t>
  </si>
  <si>
    <t>Yatchaw</t>
  </si>
  <si>
    <t>Yawong Hills</t>
  </si>
  <si>
    <t>Yea</t>
  </si>
  <si>
    <t>Yellingbo</t>
  </si>
  <si>
    <t>Yelta</t>
  </si>
  <si>
    <t>Yendon</t>
  </si>
  <si>
    <t>Yeo</t>
  </si>
  <si>
    <t>Yeodene</t>
  </si>
  <si>
    <t>Yering</t>
  </si>
  <si>
    <t>Yeungroon</t>
  </si>
  <si>
    <t>Yeungroon East</t>
  </si>
  <si>
    <t>Yielima</t>
  </si>
  <si>
    <t>Yinnar</t>
  </si>
  <si>
    <t>Yinnar South</t>
  </si>
  <si>
    <t>York Plains</t>
  </si>
  <si>
    <t>Youanmite</t>
  </si>
  <si>
    <t>Youarang</t>
  </si>
  <si>
    <t>Yulecart</t>
  </si>
  <si>
    <t>Yundool</t>
  </si>
  <si>
    <t>Yuroke</t>
  </si>
  <si>
    <t>Yuulong</t>
  </si>
  <si>
    <t>Zeerust</t>
  </si>
  <si>
    <t>Zumsteins</t>
  </si>
  <si>
    <t>Springfield2</t>
  </si>
  <si>
    <t>Thomson3</t>
  </si>
  <si>
    <t>Select the umbrella department for your agency or statutory body. E.g.: Ambulance Vic = DHHS. Country Fire Authority (CFA) = DJCS. VicRoads = DoT. *If you can't find your Organisation or Sub Agency etc. in the dropdowns let us know.</t>
  </si>
  <si>
    <r>
      <t xml:space="preserve">Select the name of your organisation from the picklist. E.g.: Ambulance Vic/Country Fire Authority (CFA)/VicRoads. </t>
    </r>
    <r>
      <rPr>
        <b/>
        <sz val="11"/>
        <color theme="1"/>
        <rFont val="Calibri"/>
        <family val="2"/>
        <scheme val="minor"/>
      </rPr>
      <t>If unsure about Agency or Sub Agency you can look at the Organisation's page in AIR for info. If still unsure ask, as a wrong entry in these fields will bounce the BAR on upload.</t>
    </r>
  </si>
  <si>
    <t>Do not abbreviate e.g. ‘Nth Melbourne’. Pick the suburb from the dropdown list.</t>
  </si>
  <si>
    <t>As per Audit Register. Have a good look at the whole audit for this information. Also note that most audits don't supply this information.</t>
  </si>
  <si>
    <r>
      <t>Pick list dependent on ACM Product</t>
    </r>
    <r>
      <rPr>
        <sz val="8"/>
        <color theme="1"/>
        <rFont val="Calibri"/>
        <family val="2"/>
        <scheme val="minor"/>
      </rPr>
      <t> </t>
    </r>
    <r>
      <rPr>
        <sz val="11"/>
        <color theme="1"/>
        <rFont val="Calibri"/>
        <family val="2"/>
        <scheme val="minor"/>
      </rPr>
      <t xml:space="preserve"> Group.</t>
    </r>
  </si>
  <si>
    <r>
      <t xml:space="preserve">Look on the front of the audit report if not on page header. If unknown enter  ‘Unknown’. Make sure the name of the company is on the </t>
    </r>
    <r>
      <rPr>
        <b/>
        <sz val="11"/>
        <color theme="1"/>
        <rFont val="Calibri"/>
        <family val="2"/>
        <scheme val="minor"/>
      </rPr>
      <t>Hygiene Company Names</t>
    </r>
    <r>
      <rPr>
        <sz val="11"/>
        <color theme="1"/>
        <rFont val="Calibri"/>
        <family val="2"/>
        <scheme val="minor"/>
      </rPr>
      <t xml:space="preserve"> list attached to this BAR. Ask if in doubt.</t>
    </r>
  </si>
  <si>
    <t>State what is on audit report. If unknown, select ‘Unknown’. If ACM sample result is Negative (or Assumed Negative), select ‘NA (Negative)' or 'NA (Assumed Negative)’ depending on whether it has been sampled or not.</t>
  </si>
  <si>
    <r>
      <t>State what is on</t>
    </r>
    <r>
      <rPr>
        <sz val="8"/>
        <color theme="1"/>
        <rFont val="Calibri"/>
        <family val="2"/>
        <scheme val="minor"/>
      </rPr>
      <t> </t>
    </r>
    <r>
      <rPr>
        <sz val="11"/>
        <color theme="1"/>
        <rFont val="Calibri"/>
        <family val="2"/>
        <scheme val="minor"/>
      </rPr>
      <t xml:space="preserve"> audit report. If unknown, select ‘Unknown’. If ACM sample result is Negative, select ‘NA (Negative)’. or 'NA (Assumed Negative)’ depending on whether it has been sampled or not.  </t>
    </r>
  </si>
  <si>
    <r>
      <t>If possible, enter Label details. Otherwise</t>
    </r>
    <r>
      <rPr>
        <sz val="8"/>
        <color theme="1"/>
        <rFont val="Calibri"/>
        <family val="2"/>
        <scheme val="minor"/>
      </rPr>
      <t> </t>
    </r>
    <r>
      <rPr>
        <sz val="11"/>
        <color theme="1"/>
        <rFont val="Calibri"/>
        <family val="2"/>
        <scheme val="minor"/>
      </rPr>
      <t xml:space="preserve"> leave blank.</t>
    </r>
    <r>
      <rPr>
        <sz val="11"/>
        <color rgb="FFFF0000"/>
        <rFont val="Calibri"/>
        <family val="2"/>
        <scheme val="minor"/>
      </rPr>
      <t xml:space="preserve"> </t>
    </r>
    <r>
      <rPr>
        <sz val="11"/>
        <color theme="1"/>
        <rFont val="Calibri"/>
        <family val="2"/>
        <scheme val="minor"/>
      </rPr>
      <t xml:space="preserve">If Yes and there is no additional info then enter as “Labelled”. </t>
    </r>
  </si>
  <si>
    <t>Aim to limit additional comments. Do not cut and copy entire text from register. Only enter relevant information not included in an additional column. E.g. “Panel has small hole on left side”, “Brown 9” tiles”, “No access at time of audit, presumed to be present”. If an ACM has been removed, please provide all relevant information stated in audit. E.g. “Removed 9th Feb 2018. Job ID: 0261646. Clearance certificate: SFSF05446. ClearStar removalists.” – This info can also apply to the removal section of the BAR removal section</t>
  </si>
  <si>
    <t>Use of commas: Excluding the “Additional Comments” field, commas aren’t able to be used in the BAR due to the way they are interpreted by the data analyser. *Colons, semicolons, hyphens and other punctuation are appropriate substitutes.</t>
  </si>
  <si>
    <r>
      <rPr>
        <sz val="11"/>
        <color theme="1"/>
        <rFont val="Calibri"/>
        <family val="2"/>
        <scheme val="minor"/>
      </rPr>
      <t>NO ACCESS</t>
    </r>
    <r>
      <rPr>
        <sz val="10"/>
        <color theme="1"/>
        <rFont val="Calibri"/>
        <family val="2"/>
        <scheme val="minor"/>
      </rPr>
      <t xml:space="preserve"> - All items that could not be accessed due to 'No Access'. Product Group/Type may have to be Other/Unknown due to lack of data if the ITM has not been safely accessible. Include '</t>
    </r>
    <r>
      <rPr>
        <b/>
        <sz val="10"/>
        <color theme="1"/>
        <rFont val="Calibri"/>
        <family val="2"/>
        <scheme val="minor"/>
      </rPr>
      <t>No access at the time of audit</t>
    </r>
    <r>
      <rPr>
        <sz val="10"/>
        <color theme="1"/>
        <rFont val="Calibri"/>
        <family val="2"/>
        <scheme val="minor"/>
      </rPr>
      <t>' in the additional comments section</t>
    </r>
  </si>
  <si>
    <r>
      <t>1.</t>
    </r>
    <r>
      <rPr>
        <sz val="7"/>
        <color theme="1"/>
        <rFont val="Times New Roman"/>
        <family val="1"/>
      </rPr>
      <t xml:space="preserve">       </t>
    </r>
    <r>
      <rPr>
        <sz val="10"/>
        <color theme="1"/>
        <rFont val="Calibri"/>
        <family val="2"/>
        <scheme val="minor"/>
      </rPr>
      <t>Do not guess or assume. The register/audit report are the whole truth and nothing but the truth!</t>
    </r>
  </si>
  <si>
    <r>
      <t>2.</t>
    </r>
    <r>
      <rPr>
        <sz val="7"/>
        <color theme="1"/>
        <rFont val="Times New Roman"/>
        <family val="1"/>
      </rPr>
      <t xml:space="preserve">       </t>
    </r>
    <r>
      <rPr>
        <sz val="10"/>
        <color theme="1"/>
        <rFont val="Calibri"/>
        <family val="2"/>
        <scheme val="minor"/>
      </rPr>
      <t>Do not drag, drop, copy, paste, ctrl z or ctrl v, add or remove.  Including rows and columns. This WILL break the BAR.</t>
    </r>
  </si>
  <si>
    <r>
      <t>3.</t>
    </r>
    <r>
      <rPr>
        <sz val="7"/>
        <color theme="1"/>
        <rFont val="Times New Roman"/>
        <family val="1"/>
      </rPr>
      <t xml:space="preserve">       </t>
    </r>
    <r>
      <rPr>
        <sz val="10"/>
        <color theme="1"/>
        <rFont val="Calibri"/>
        <family val="2"/>
        <scheme val="minor"/>
      </rPr>
      <t>There is no silly question. Even if you have already asked it once or numerous times. If in doubt, ask!</t>
    </r>
  </si>
  <si>
    <t>OTHER RULES</t>
  </si>
  <si>
    <t>Use Walls and Ceiling not Ceiling and Walls for ITMs where this applies. Walls and Ceiling is the preferred format.</t>
  </si>
  <si>
    <t>Splashbacks - When the ACM sheet is behind the tiles we have two options. 1. Lining to Tiles or 2. Splashback lining. With either of these it is assumed the ACM sheet is behind. If there are no tiles present we use Splashback as the ACM sheet is the actual splashback not the tiles</t>
  </si>
  <si>
    <t xml:space="preserve">Entering Data into the BAR </t>
  </si>
  <si>
    <t>Alamein Train Station</t>
  </si>
  <si>
    <t>Aircraft Train Station</t>
  </si>
  <si>
    <t>Albion Train Station</t>
  </si>
  <si>
    <t>Alphington Train Station</t>
  </si>
  <si>
    <t>Altona Train Station</t>
  </si>
  <si>
    <t>Anstey Train Station</t>
  </si>
  <si>
    <t>Armadale Train Station</t>
  </si>
  <si>
    <t>Ascot Vale Train Station</t>
  </si>
  <si>
    <t>Ashburton Train Station</t>
  </si>
  <si>
    <t>Aspendale Train Station</t>
  </si>
  <si>
    <t>Auburn Train Station</t>
  </si>
  <si>
    <t>Balaclava Train Station</t>
  </si>
  <si>
    <t>Batman Train Station</t>
  </si>
  <si>
    <t>Baxter Train Station</t>
  </si>
  <si>
    <t>Bayswater Train Station</t>
  </si>
  <si>
    <t>Beaconsfield Train Station</t>
  </si>
  <si>
    <t>Belgrave Train Station</t>
  </si>
  <si>
    <t>Bell Train Station</t>
  </si>
  <si>
    <t>Bentleigh Train Station</t>
  </si>
  <si>
    <t>Berwick Train Station</t>
  </si>
  <si>
    <t>Bittern Train Station</t>
  </si>
  <si>
    <t>Blackburn Train Station</t>
  </si>
  <si>
    <t>Bonbeach Train Station</t>
  </si>
  <si>
    <t>Box Hill Train Station</t>
  </si>
  <si>
    <t>Brighton Beach Train Station</t>
  </si>
  <si>
    <t>Broadmeadows Train Station</t>
  </si>
  <si>
    <t>Brunswick Train Station</t>
  </si>
  <si>
    <t>Burnley Train Station</t>
  </si>
  <si>
    <t>Burwood Train Station</t>
  </si>
  <si>
    <t>Camberwell Train Station</t>
  </si>
  <si>
    <t>Canterbury Train Station</t>
  </si>
  <si>
    <t>Carnegie Train Station</t>
  </si>
  <si>
    <t>Carrum Train Station</t>
  </si>
  <si>
    <t>Caulfield Train Station</t>
  </si>
  <si>
    <t>Chelsea Train Station</t>
  </si>
  <si>
    <t>Cheltenham Train Station</t>
  </si>
  <si>
    <t>Clayton Train Station</t>
  </si>
  <si>
    <t>Clifton Hill Train Station</t>
  </si>
  <si>
    <t>Coburg Train Station</t>
  </si>
  <si>
    <t>Collingwood Train Station</t>
  </si>
  <si>
    <t>Coolaroo Train Station</t>
  </si>
  <si>
    <t>Craigieburn Train Station</t>
  </si>
  <si>
    <t>Cranbourne Train Station</t>
  </si>
  <si>
    <t>Crib Point Train Station</t>
  </si>
  <si>
    <t>Croxton Train Station</t>
  </si>
  <si>
    <t>Croydon Train Station</t>
  </si>
  <si>
    <t>Dandenong Train Station</t>
  </si>
  <si>
    <t>Darebin Train Station</t>
  </si>
  <si>
    <t>Darling Train Station</t>
  </si>
  <si>
    <t>Dennis Train Station</t>
  </si>
  <si>
    <t>Diamond Creek Train Station</t>
  </si>
  <si>
    <t>Eaglemont Train Station</t>
  </si>
  <si>
    <t>East Camberwell Train Station</t>
  </si>
  <si>
    <t>East Malvern Train Station</t>
  </si>
  <si>
    <t>East Pakenham Train Station</t>
  </si>
  <si>
    <t>East Richmond Train Station</t>
  </si>
  <si>
    <t>Edithvale Train Station</t>
  </si>
  <si>
    <t>Elsternwick Train Station</t>
  </si>
  <si>
    <t>Eltham Train Station</t>
  </si>
  <si>
    <t>Epping Train Station</t>
  </si>
  <si>
    <t>Essendon Train Station</t>
  </si>
  <si>
    <t>Fairfield Train Station</t>
  </si>
  <si>
    <t>Fawkner Train Station</t>
  </si>
  <si>
    <t>Ferntree Gully Train Station</t>
  </si>
  <si>
    <t>Flagstaff Train Station</t>
  </si>
  <si>
    <t>Flemington Bridge Train Station</t>
  </si>
  <si>
    <t>Flemington Racecourse Train Station</t>
  </si>
  <si>
    <t>Flemington Train Station</t>
  </si>
  <si>
    <t>Flinders Street Train Station</t>
  </si>
  <si>
    <t>Footscray Train Station</t>
  </si>
  <si>
    <t>Frankston Train Station</t>
  </si>
  <si>
    <t>Gardenvale Train Station</t>
  </si>
  <si>
    <t>Gardiner Train Station</t>
  </si>
  <si>
    <t>Glen Iris Train Station</t>
  </si>
  <si>
    <t>Glen Waverley Train Station</t>
  </si>
  <si>
    <t>Glenbervie Train Station</t>
  </si>
  <si>
    <t>Glenferrie Train Station</t>
  </si>
  <si>
    <t>Glenhuntly Train Station</t>
  </si>
  <si>
    <t>Glenroy Train Station</t>
  </si>
  <si>
    <t>Gowrie Train Station</t>
  </si>
  <si>
    <t>Greensborough Train Station</t>
  </si>
  <si>
    <t>Hallam Train Station</t>
  </si>
  <si>
    <t>Hampton Train Station</t>
  </si>
  <si>
    <t>Hartwell Train Station</t>
  </si>
  <si>
    <t>Hastings Train Station</t>
  </si>
  <si>
    <t>Hawksburn Train Station</t>
  </si>
  <si>
    <t>Hawthorn Train Station</t>
  </si>
  <si>
    <t>Heatherdale Train Station</t>
  </si>
  <si>
    <t>Heathmont Train Station</t>
  </si>
  <si>
    <t>Heidelberg Train Station</t>
  </si>
  <si>
    <t>Heyington Train Station</t>
  </si>
  <si>
    <t>Highett Train Station</t>
  </si>
  <si>
    <t>Holmesglen Train Station</t>
  </si>
  <si>
    <t>Hoppers Crossing Train Station</t>
  </si>
  <si>
    <t>Hughesdale Train Station</t>
  </si>
  <si>
    <t>Huntingdale Train Station</t>
  </si>
  <si>
    <t>Hurstbridge Train Station</t>
  </si>
  <si>
    <t>Ivanhoe Train Station</t>
  </si>
  <si>
    <t>Jacana Train Station</t>
  </si>
  <si>
    <t>Jewell Train Station</t>
  </si>
  <si>
    <t>Jolimont-MCG Train Station</t>
  </si>
  <si>
    <t>Jordanville Train Station</t>
  </si>
  <si>
    <t>Kananook Train Station</t>
  </si>
  <si>
    <t>Kensington Train Station</t>
  </si>
  <si>
    <t>Keon Park Train Station</t>
  </si>
  <si>
    <t>Kooyong Train Station</t>
  </si>
  <si>
    <t>Laburnum Train Station</t>
  </si>
  <si>
    <t>Lalor Train Station</t>
  </si>
  <si>
    <t>Laverton Train Station</t>
  </si>
  <si>
    <t>Leawarra Train Station</t>
  </si>
  <si>
    <t>Lilydale Train Station</t>
  </si>
  <si>
    <t>Lynbrook Train Station</t>
  </si>
  <si>
    <t>Macaulay Train Station</t>
  </si>
  <si>
    <t>Macleod Train Station</t>
  </si>
  <si>
    <t>Malvern Train Station</t>
  </si>
  <si>
    <t>McKinnon Train Station</t>
  </si>
  <si>
    <t>Melbourne Central Train Station</t>
  </si>
  <si>
    <t>Mentone Train Station</t>
  </si>
  <si>
    <t>Merinda Park Train Station</t>
  </si>
  <si>
    <t>Merlynston Train Station</t>
  </si>
  <si>
    <t>Merri Train Station</t>
  </si>
  <si>
    <t>Middle Brighton Train Station</t>
  </si>
  <si>
    <t>Middle Footscray Train Station</t>
  </si>
  <si>
    <t>Mitcham Train Station</t>
  </si>
  <si>
    <t>Mont Albert Train Station</t>
  </si>
  <si>
    <t>Montmorency Train Station</t>
  </si>
  <si>
    <t>Moonee Ponds Train Station</t>
  </si>
  <si>
    <t>Moorabbin Train Station</t>
  </si>
  <si>
    <t>Mooroolbark Train Station</t>
  </si>
  <si>
    <t>Mordialloc Train Station</t>
  </si>
  <si>
    <t>Moreland Train Station</t>
  </si>
  <si>
    <t>Morradoo Train Station</t>
  </si>
  <si>
    <t>Mount Waverley Train Station</t>
  </si>
  <si>
    <t>Murrumbeena Train Station</t>
  </si>
  <si>
    <t>Narre Warren Train Station</t>
  </si>
  <si>
    <t>Newmarket Train Station</t>
  </si>
  <si>
    <t>Newport Train Station</t>
  </si>
  <si>
    <t>Noble Park Train Station</t>
  </si>
  <si>
    <t>North Brighton Train Station</t>
  </si>
  <si>
    <t>North Melbourne Train Station</t>
  </si>
  <si>
    <t>North Richmond Train Station</t>
  </si>
  <si>
    <t>North Williamstown Train Station</t>
  </si>
  <si>
    <t>Northcote Train Station</t>
  </si>
  <si>
    <t>Nunawading Train Station</t>
  </si>
  <si>
    <t>Oak Park Train Station</t>
  </si>
  <si>
    <t>Oakleigh Train Station</t>
  </si>
  <si>
    <t>Officer Train Station</t>
  </si>
  <si>
    <t>Ormond Train Station</t>
  </si>
  <si>
    <t>Pakenham Train Station</t>
  </si>
  <si>
    <t>Parkdale Train Station</t>
  </si>
  <si>
    <t>Parliament Train Station</t>
  </si>
  <si>
    <t>Pascoe Vale Train Station</t>
  </si>
  <si>
    <t>Patterson Train Station</t>
  </si>
  <si>
    <t>Prahran Train Station</t>
  </si>
  <si>
    <t>Preston Train Station</t>
  </si>
  <si>
    <t>Regent Train Station</t>
  </si>
  <si>
    <t>Reservoir Train Station</t>
  </si>
  <si>
    <t>Richmond Train Station</t>
  </si>
  <si>
    <t>Ringwood East Train Station</t>
  </si>
  <si>
    <t>Ringwood Train Station</t>
  </si>
  <si>
    <t>Ripponlea Train Station</t>
  </si>
  <si>
    <t>Riversdale Train Station</t>
  </si>
  <si>
    <t>Rosanna Train Station</t>
  </si>
  <si>
    <t>Royal Park Train Station</t>
  </si>
  <si>
    <t>Rushall Train Station</t>
  </si>
  <si>
    <t>Ruthven Train Station</t>
  </si>
  <si>
    <t>Sandown Park Train Station</t>
  </si>
  <si>
    <t>Sandringham Train Station</t>
  </si>
  <si>
    <t>Seaford Train Station</t>
  </si>
  <si>
    <t>Seaholme Train Station</t>
  </si>
  <si>
    <t>Seddon Train Station</t>
  </si>
  <si>
    <t>Showgrounds Train Station</t>
  </si>
  <si>
    <t>Somerville Train Station</t>
  </si>
  <si>
    <t>South Kensington Train Station</t>
  </si>
  <si>
    <t>South Yarra Train Station</t>
  </si>
  <si>
    <t>Southern Cross Train Station</t>
  </si>
  <si>
    <t>Spotswood Train Station</t>
  </si>
  <si>
    <t>Springvale Train Station</t>
  </si>
  <si>
    <t>St Albans Train Station</t>
  </si>
  <si>
    <t>Stony Point Train Station</t>
  </si>
  <si>
    <t>Strathmore Train Station</t>
  </si>
  <si>
    <t>Sunshine Train Station</t>
  </si>
  <si>
    <t>Surrey Hills Train Station</t>
  </si>
  <si>
    <t>Syndal Train Station</t>
  </si>
  <si>
    <t>Tecoma Train Station</t>
  </si>
  <si>
    <t>Thomastown Train Station</t>
  </si>
  <si>
    <t>Thornbury Train Station</t>
  </si>
  <si>
    <t>Toorak Train Station</t>
  </si>
  <si>
    <t>Tooronga Train Station</t>
  </si>
  <si>
    <t>Tottenham Train Station</t>
  </si>
  <si>
    <t>Tyabb Train Station</t>
  </si>
  <si>
    <t>Upfield Train Station</t>
  </si>
  <si>
    <t>Upper Ferntree Gully Train Station</t>
  </si>
  <si>
    <t>Upwey Train Station</t>
  </si>
  <si>
    <t>Victoria Park Train Station</t>
  </si>
  <si>
    <t>Watergardens Train Station</t>
  </si>
  <si>
    <t>Watsonia Train Station</t>
  </si>
  <si>
    <t>Wattle Glen Train Station</t>
  </si>
  <si>
    <t>Werribee Train Station</t>
  </si>
  <si>
    <t>West Footscray Train Station</t>
  </si>
  <si>
    <t>West Richmond Train Station</t>
  </si>
  <si>
    <t>Westall Train Station</t>
  </si>
  <si>
    <t>Westgarth Train Station</t>
  </si>
  <si>
    <t>Westona Train Station</t>
  </si>
  <si>
    <t>Williamstown Beach Train Station</t>
  </si>
  <si>
    <t>Williamstown Train Station</t>
  </si>
  <si>
    <t>Willison Train Station</t>
  </si>
  <si>
    <t>Windsor Train Station</t>
  </si>
  <si>
    <t>Yarraman Train Station</t>
  </si>
  <si>
    <t>Yarraville Train Station</t>
  </si>
  <si>
    <t>Birchip Railway Station</t>
  </si>
  <si>
    <t>Bridgewater on Loddon Railway Station</t>
  </si>
  <si>
    <t>Clarkefield Railway Station</t>
  </si>
  <si>
    <t>Donald Railway Station</t>
  </si>
  <si>
    <t>Eaglehawk Railway Station</t>
  </si>
  <si>
    <t>Emu Railway Station</t>
  </si>
  <si>
    <t>Kyneton Railway Station</t>
  </si>
  <si>
    <t>Little River Railway Station</t>
  </si>
  <si>
    <t>Macedon Railway Station</t>
  </si>
  <si>
    <t>Mildura Railway Station</t>
  </si>
  <si>
    <t>Marong Railway Station.</t>
  </si>
  <si>
    <t>Morwell Railway Station</t>
  </si>
  <si>
    <t>Ouyen Railway Station</t>
  </si>
  <si>
    <t>South Geelong Railway Station</t>
  </si>
  <si>
    <t>St. Arnaud Railway Station</t>
  </si>
  <si>
    <t>Terang Railway Station</t>
  </si>
  <si>
    <t>Warncoort Railway Station</t>
  </si>
  <si>
    <t>Warrnambool Railway Station</t>
  </si>
  <si>
    <t>Waurn Ponds Railway Station</t>
  </si>
  <si>
    <t>Echuca Railway Station</t>
  </si>
  <si>
    <t>Lara Railway Station</t>
  </si>
  <si>
    <t>Specific Item/ACM Name</t>
  </si>
  <si>
    <t xml:space="preserve">Product Type list </t>
  </si>
  <si>
    <t>4.     Do not go past line 500 on the excel sheet. Start a new BAR at this point.</t>
  </si>
  <si>
    <r>
      <t xml:space="preserve">Synthetic Material Fibres (SMF), unless it has a sample number. </t>
    </r>
    <r>
      <rPr>
        <b/>
        <sz val="10"/>
        <rFont val="Calibri"/>
        <family val="2"/>
        <scheme val="minor"/>
      </rPr>
      <t>State in comments that 'Sample could be for SMF not ACM'</t>
    </r>
    <r>
      <rPr>
        <sz val="10"/>
        <rFont val="Calibri"/>
        <family val="2"/>
        <scheme val="minor"/>
      </rPr>
      <t>.</t>
    </r>
  </si>
  <si>
    <t>Adhesive under Vinyl or Carpet. If stated 'Black Adhesive' we use the Bitumen Product - Blackjack Adhesive</t>
  </si>
  <si>
    <t>RESTRICTED CHARS</t>
  </si>
  <si>
    <t>@</t>
  </si>
  <si>
    <t>,</t>
  </si>
  <si>
    <t>Alpine Shire Council</t>
  </si>
  <si>
    <t>Ararat Rural City Council</t>
  </si>
  <si>
    <t>Ballarat City Council</t>
  </si>
  <si>
    <t>Banyule City Council</t>
  </si>
  <si>
    <t>Bass Coast Shire Council</t>
  </si>
  <si>
    <t>Baw Baw Shire Council</t>
  </si>
  <si>
    <t>Bayside City Council</t>
  </si>
  <si>
    <t>Boroondara City Council</t>
  </si>
  <si>
    <t>Brimbank City Council</t>
  </si>
  <si>
    <t>Buloke Shire Council</t>
  </si>
  <si>
    <t>Campaspe Shire Council</t>
  </si>
  <si>
    <t>Cardinia Shire Council</t>
  </si>
  <si>
    <t>City of Casey</t>
  </si>
  <si>
    <t>Central Goldfields Shire Council</t>
  </si>
  <si>
    <t>Colac-Otway Shire Council</t>
  </si>
  <si>
    <t>Corangamite Shire Council</t>
  </si>
  <si>
    <t>Darebin City Council</t>
  </si>
  <si>
    <t>East Gippsland Shire Council</t>
  </si>
  <si>
    <t>Frankston City Council</t>
  </si>
  <si>
    <t>Gannawarra Shire Council</t>
  </si>
  <si>
    <t>Glen Eira City Council</t>
  </si>
  <si>
    <t>Glenelg Shire Council</t>
  </si>
  <si>
    <t>Golden Plains Shire Council</t>
  </si>
  <si>
    <t>Greater Bendigo City Council</t>
  </si>
  <si>
    <t>Greater Dandenong City Council</t>
  </si>
  <si>
    <t>Greater Geelong City Council</t>
  </si>
  <si>
    <t>Greater Shepparton City Council</t>
  </si>
  <si>
    <t>Hepburn Shire Council</t>
  </si>
  <si>
    <t>Hindmarsh Shire Council</t>
  </si>
  <si>
    <t>Hobsons Bay City Council</t>
  </si>
  <si>
    <t>Horsham Rural City Council</t>
  </si>
  <si>
    <t>Hume City Council</t>
  </si>
  <si>
    <t>Indigo Shire Council</t>
  </si>
  <si>
    <t>Kingston City Council</t>
  </si>
  <si>
    <t>Knox City Council</t>
  </si>
  <si>
    <t>La Trobe City Council</t>
  </si>
  <si>
    <t>Loddon Shire Council</t>
  </si>
  <si>
    <t>Macedon Ranges Shire Council</t>
  </si>
  <si>
    <t>Manningham City Council</t>
  </si>
  <si>
    <t>Maribyrnong City Council</t>
  </si>
  <si>
    <t>Maroondah City Council</t>
  </si>
  <si>
    <t>Melbourne City Council</t>
  </si>
  <si>
    <t>Melton Shire Council</t>
  </si>
  <si>
    <t>Wangaratta Rural City Council</t>
  </si>
  <si>
    <t>Mildura Rural City Council</t>
  </si>
  <si>
    <t>Mitchell Shire Council</t>
  </si>
  <si>
    <t>Moira Shire Council</t>
  </si>
  <si>
    <t>Monash City Council</t>
  </si>
  <si>
    <t>Moonee Valley City Council</t>
  </si>
  <si>
    <t>Moorabool Shire Council</t>
  </si>
  <si>
    <t>Moreland City Council</t>
  </si>
  <si>
    <t>Mornington Peninsula Shire Council</t>
  </si>
  <si>
    <t>Mount Alexander Shire Council</t>
  </si>
  <si>
    <t>Moyne Shire Council</t>
  </si>
  <si>
    <t>Murrindindi Shire Council</t>
  </si>
  <si>
    <t>Nillumbik Shire Council</t>
  </si>
  <si>
    <t>Northern Grampians Shire Council</t>
  </si>
  <si>
    <t>Port Phillip City Council</t>
  </si>
  <si>
    <t>Pyrenees Shire Council</t>
  </si>
  <si>
    <t>Queenscliffe Borough Council</t>
  </si>
  <si>
    <t>South Gippsland Shire Council</t>
  </si>
  <si>
    <t>Southern Grampians Shire Council</t>
  </si>
  <si>
    <t>Stonnington City Council</t>
  </si>
  <si>
    <t>Strathbogie Shire Council</t>
  </si>
  <si>
    <t>Surf Coast Shire Council</t>
  </si>
  <si>
    <t>Swan Hill Rural City Council</t>
  </si>
  <si>
    <t>Towong Shire Council</t>
  </si>
  <si>
    <t>Wellington Shire Council</t>
  </si>
  <si>
    <t>West Wimmera Shire Council</t>
  </si>
  <si>
    <t>Whitehorse City Council</t>
  </si>
  <si>
    <t>Whittlesea City Council</t>
  </si>
  <si>
    <t>Wodonga Rural City Council</t>
  </si>
  <si>
    <t>Wyndham City Council</t>
  </si>
  <si>
    <t>Yarra City Council</t>
  </si>
  <si>
    <t>Yarra Ranges Shire Council</t>
  </si>
  <si>
    <t>Yarriambiack Shire Council</t>
  </si>
  <si>
    <t>Mansfield Shire Council</t>
  </si>
  <si>
    <t>Benalla Rural City Council</t>
  </si>
  <si>
    <t>JTA, Health Safety &amp; Noise Specialists</t>
  </si>
  <si>
    <t>Greencap, Greencap/NAA, Green Cap</t>
  </si>
  <si>
    <t>Pebble Rendered Cement Sheeting</t>
  </si>
  <si>
    <t>T8 Insulation</t>
  </si>
  <si>
    <t xml:space="preserve">Gauze mats </t>
  </si>
  <si>
    <t xml:space="preserve">Paper </t>
  </si>
  <si>
    <t>Vinyl product debris </t>
  </si>
  <si>
    <t>Vinyl sheet and adhesive </t>
  </si>
  <si>
    <t>Vinyl sheet </t>
  </si>
  <si>
    <t>Vinyl tiles and adhesive </t>
  </si>
  <si>
    <t>Vinyl Tiles </t>
  </si>
  <si>
    <t>Linoleum (use Vinyl sheet for descriptor) </t>
  </si>
  <si>
    <t>Hessian backed Vinyl sheet </t>
  </si>
  <si>
    <t xml:space="preserve">Dust and debris </t>
  </si>
  <si>
    <t xml:space="preserve">Millboard/paper-backed sheet vinyl </t>
  </si>
  <si>
    <t xml:space="preserve">Dust </t>
  </si>
  <si>
    <t xml:space="preserve">Unknown </t>
  </si>
  <si>
    <t> Vinyl sheet</t>
  </si>
  <si>
    <t> Vinyl sheet and adhesive</t>
  </si>
  <si>
    <t> Vinyl Tiles</t>
  </si>
  <si>
    <t> Vinyl tiles and adhesive</t>
  </si>
  <si>
    <t xml:space="preserve">Contaminated Soil (Friable Debris) </t>
  </si>
  <si>
    <t>Ballarat City FRV Fire Station</t>
  </si>
  <si>
    <t>Bendigo FRV Fire Station</t>
  </si>
  <si>
    <t>Cranbourne FRV DMO</t>
  </si>
  <si>
    <t>Eltham City FRV Fire Station</t>
  </si>
  <si>
    <t>Frankston FRV Fire Station</t>
  </si>
  <si>
    <t>Lara FRV Fire Station</t>
  </si>
  <si>
    <t>Mildura FRV Fire Station</t>
  </si>
  <si>
    <t>Morwell FRV Fire Station</t>
  </si>
  <si>
    <t>Ocean Grove FRV Fire Station</t>
  </si>
  <si>
    <t>Portland FRV Fire Station</t>
  </si>
  <si>
    <t>Rowville FRV Fire Station</t>
  </si>
  <si>
    <t>Shepparton FRV Fire Station</t>
  </si>
  <si>
    <t>Wangaratta FRV Fire Station</t>
  </si>
  <si>
    <t>Jolimont Station</t>
  </si>
  <si>
    <t>Bendigo Railway Station</t>
  </si>
  <si>
    <t>Bet Bet Railway Station</t>
  </si>
  <si>
    <t>Bunyip Railway Station</t>
  </si>
  <si>
    <t>Castlemaine Railway Station</t>
  </si>
  <si>
    <t>Cope Cope Railway Station</t>
  </si>
  <si>
    <t>Deniliquin Railway Station</t>
  </si>
  <si>
    <t>Dingee Railway Station</t>
  </si>
  <si>
    <t>Drouin Railway Station</t>
  </si>
  <si>
    <t>Dunolly Railway Station</t>
  </si>
  <si>
    <t>Elmore Railway Station</t>
  </si>
  <si>
    <t>Geelong Railway Station</t>
  </si>
  <si>
    <t>Gisborne Railway Station</t>
  </si>
  <si>
    <t>Havelock Railway Station</t>
  </si>
  <si>
    <t>Kerang Railway Station</t>
  </si>
  <si>
    <t>Maryborough Railway Station</t>
  </si>
  <si>
    <t>Mittyack Railway Station</t>
  </si>
  <si>
    <t>Moama Railway Station</t>
  </si>
  <si>
    <t>Moe Railway Station</t>
  </si>
  <si>
    <t>Moulamein Railway Station</t>
  </si>
  <si>
    <t>Murrayville Railway Station</t>
  </si>
  <si>
    <t>Newport Railway Station</t>
  </si>
  <si>
    <t>Norlane Railway Station</t>
  </si>
  <si>
    <t>North Geelong Railway Station</t>
  </si>
  <si>
    <t>North Shore Railway Station</t>
  </si>
  <si>
    <t>Pyramid Hill Railway Station</t>
  </si>
  <si>
    <t>Riddels Creek Railway Station</t>
  </si>
  <si>
    <t>Sherwood Park Railway Station</t>
  </si>
  <si>
    <t>Swan Hill Railway Station</t>
  </si>
  <si>
    <t>Tynong Railway Station</t>
  </si>
  <si>
    <t>Winchelsea Railway Station</t>
  </si>
  <si>
    <t>Woodend Railway Station</t>
  </si>
  <si>
    <t>Woomelang Railway Station</t>
  </si>
  <si>
    <t>Wycheproof Railway Station</t>
  </si>
  <si>
    <t>Yarragon Railway Station</t>
  </si>
  <si>
    <t>Albion Former Substation</t>
  </si>
  <si>
    <t>Alexandra Railway Station</t>
  </si>
  <si>
    <t>Alexandra Station</t>
  </si>
  <si>
    <t>Ararat Station</t>
  </si>
  <si>
    <t>Arden Street</t>
  </si>
  <si>
    <t>Auburn Station</t>
  </si>
  <si>
    <t>Avenel Station</t>
  </si>
  <si>
    <t>Bairnsdale Station</t>
  </si>
  <si>
    <t>Ballarat Central Station</t>
  </si>
  <si>
    <t>Ballarat East Station</t>
  </si>
  <si>
    <t>Ballarat Station</t>
  </si>
  <si>
    <t>Banana Alley (Flinders Street)</t>
  </si>
  <si>
    <t>Bannockburn Station</t>
  </si>
  <si>
    <t>Bealiba Station</t>
  </si>
  <si>
    <t>Beaufort Station</t>
  </si>
  <si>
    <t>Bena Station</t>
  </si>
  <si>
    <t>Benalla Station</t>
  </si>
  <si>
    <t>Bendigo North Workshop</t>
  </si>
  <si>
    <t>Bendigo Workshops</t>
  </si>
  <si>
    <t>Birchip Station</t>
  </si>
  <si>
    <t>Birregurra Station</t>
  </si>
  <si>
    <t>Bridgewater On Loddon Station</t>
  </si>
  <si>
    <t>Brunswick Station</t>
  </si>
  <si>
    <t>Camberwell Station</t>
  </si>
  <si>
    <t>Carisbrook Station</t>
  </si>
  <si>
    <t>Casterton Station</t>
  </si>
  <si>
    <t>Castlemaine Station</t>
  </si>
  <si>
    <t>Caulfield Old Sub Station</t>
  </si>
  <si>
    <t>Chiltern Station</t>
  </si>
  <si>
    <t>Clarkefield Station</t>
  </si>
  <si>
    <t>Clayton Station</t>
  </si>
  <si>
    <t>Clifton Hill Station</t>
  </si>
  <si>
    <t>Clunes Station</t>
  </si>
  <si>
    <t>Coldblo Road Substation</t>
  </si>
  <si>
    <t>Croydon Gymnasium</t>
  </si>
  <si>
    <t>Daylesford Station</t>
  </si>
  <si>
    <t>Diggers Rest Station</t>
  </si>
  <si>
    <t>Dimboola Station</t>
  </si>
  <si>
    <t>Dingee Station</t>
  </si>
  <si>
    <t>Donald Station</t>
  </si>
  <si>
    <t>Drysdale Station</t>
  </si>
  <si>
    <t>Dynon/West Melbourne Railway</t>
  </si>
  <si>
    <t>Eaglehawk Station</t>
  </si>
  <si>
    <t>East Preston</t>
  </si>
  <si>
    <t>Echuca Station</t>
  </si>
  <si>
    <t>Elmore Station</t>
  </si>
  <si>
    <t>Elphinstone Station</t>
  </si>
  <si>
    <t>Elsternwick Station</t>
  </si>
  <si>
    <t>Gardenvale Station</t>
  </si>
  <si>
    <t>Geelong West Depot</t>
  </si>
  <si>
    <t>Gertrude Street Former Cable Tram Depot</t>
  </si>
  <si>
    <t>Gisborne Station</t>
  </si>
  <si>
    <t>Glenferrie Station</t>
  </si>
  <si>
    <t>Glenhuntly Station</t>
  </si>
  <si>
    <t>Glenthompson Station</t>
  </si>
  <si>
    <t>Golden Square Station</t>
  </si>
  <si>
    <t>Hamilton Station</t>
  </si>
  <si>
    <t>Harcourt Station</t>
  </si>
  <si>
    <t>Hawthorn Tram Museum</t>
  </si>
  <si>
    <t>Heywood Station</t>
  </si>
  <si>
    <t>Horsham Station</t>
  </si>
  <si>
    <t>Inglewood Station</t>
  </si>
  <si>
    <t>Jewell Station</t>
  </si>
  <si>
    <t>Kangaroo Flat Station</t>
  </si>
  <si>
    <t>Kaniva Station</t>
  </si>
  <si>
    <t>Kerang Station</t>
  </si>
  <si>
    <t>Kew Former Railway</t>
  </si>
  <si>
    <t>Korumburra Station</t>
  </si>
  <si>
    <t>Kyneton Station</t>
  </si>
  <si>
    <t>Lal Lal Station</t>
  </si>
  <si>
    <t>Leitchville Station</t>
  </si>
  <si>
    <t>Leongatha Station</t>
  </si>
  <si>
    <t>Macaulay Station</t>
  </si>
  <si>
    <t>Macedon Station</t>
  </si>
  <si>
    <t>Maldon Station</t>
  </si>
  <si>
    <t>Malvern Tramp Depot</t>
  </si>
  <si>
    <t>Marcus Station</t>
  </si>
  <si>
    <t>Maryborough Station</t>
  </si>
  <si>
    <t>Melbourne Markets</t>
  </si>
  <si>
    <t>Melbourne West Main Shed</t>
  </si>
  <si>
    <t>Melbourne Yard E Gate</t>
  </si>
  <si>
    <t>Meredith Station</t>
  </si>
  <si>
    <t>Middle Park (Old Station)</t>
  </si>
  <si>
    <t>Moe Station</t>
  </si>
  <si>
    <t>Morwell Station</t>
  </si>
  <si>
    <t>Muckleford Station</t>
  </si>
  <si>
    <t>Murrumbeena Station</t>
  </si>
  <si>
    <t>Murtoa Station</t>
  </si>
  <si>
    <t>Newport Station</t>
  </si>
  <si>
    <t>Newstead Station</t>
  </si>
  <si>
    <t>North Geelong Station</t>
  </si>
  <si>
    <t>North Melbourne Station</t>
  </si>
  <si>
    <t>North Williamstown Station</t>
  </si>
  <si>
    <t>Numurkah Station</t>
  </si>
  <si>
    <t>Nyora Station</t>
  </si>
  <si>
    <t>Oakleigh Station</t>
  </si>
  <si>
    <t>Pakenham Station</t>
  </si>
  <si>
    <t>Patchewollock Station</t>
  </si>
  <si>
    <t>Portland Station</t>
  </si>
  <si>
    <t>Preston Station</t>
  </si>
  <si>
    <t>Pyramid Hill Station</t>
  </si>
  <si>
    <t>Queenscliffe Station</t>
  </si>
  <si>
    <t>Rainbow Station</t>
  </si>
  <si>
    <t>Richmond Station</t>
  </si>
  <si>
    <t>Ripponlea Station</t>
  </si>
  <si>
    <t>Rochester Station</t>
  </si>
  <si>
    <t>Rosedale Station</t>
  </si>
  <si>
    <t>Sea Lake Station</t>
  </si>
  <si>
    <t>Serviceton Station</t>
  </si>
  <si>
    <t>Seymour Station</t>
  </si>
  <si>
    <t>Shepparton Station</t>
  </si>
  <si>
    <t>South Kensington Station</t>
  </si>
  <si>
    <t>South Melbourne Station</t>
  </si>
  <si>
    <t>South Yarra Station</t>
  </si>
  <si>
    <t>Spencer Street Bunker</t>
  </si>
  <si>
    <t>Spotswood Station</t>
  </si>
  <si>
    <t>Springvale Station</t>
  </si>
  <si>
    <t>St. Arnaud Station</t>
  </si>
  <si>
    <t>Stawell Station</t>
  </si>
  <si>
    <t>Stratford Station</t>
  </si>
  <si>
    <t>Sunshine North Station</t>
  </si>
  <si>
    <t>Talbot Station</t>
  </si>
  <si>
    <t>Tallarook Station</t>
  </si>
  <si>
    <t>Taradale Station</t>
  </si>
  <si>
    <t>Thurla Station</t>
  </si>
  <si>
    <t>Tocumwal Station</t>
  </si>
  <si>
    <t>Trafalgar Station</t>
  </si>
  <si>
    <t>Traralgon Station</t>
  </si>
  <si>
    <t>Trentham Station</t>
  </si>
  <si>
    <t>Wallan Station</t>
  </si>
  <si>
    <t>Wangaratta Station</t>
  </si>
  <si>
    <t>Warracknabeal Station</t>
  </si>
  <si>
    <t>Warragul Station</t>
  </si>
  <si>
    <t>Warrnambool Station</t>
  </si>
  <si>
    <t>Werribee Station</t>
  </si>
  <si>
    <t>West Footscray Station</t>
  </si>
  <si>
    <t>Willaura Station</t>
  </si>
  <si>
    <t>Windsor Station</t>
  </si>
  <si>
    <t>Woodend Station</t>
  </si>
  <si>
    <t>Woomelang Station</t>
  </si>
  <si>
    <t>Wycheproof Station</t>
  </si>
  <si>
    <t>Yarra Glen Station</t>
  </si>
  <si>
    <t>Yarragon Station</t>
  </si>
  <si>
    <t>Basement</t>
  </si>
  <si>
    <t>Basement 2</t>
  </si>
  <si>
    <t>Basement 3</t>
  </si>
  <si>
    <t>Basement 4</t>
  </si>
  <si>
    <t>Below Ground</t>
  </si>
  <si>
    <t>Concourse</t>
  </si>
  <si>
    <t>Ground</t>
  </si>
  <si>
    <t>Level 1</t>
  </si>
  <si>
    <t>Level 10</t>
  </si>
  <si>
    <t>Level 11</t>
  </si>
  <si>
    <t>Level 12</t>
  </si>
  <si>
    <t>Level 13</t>
  </si>
  <si>
    <t>Level 14</t>
  </si>
  <si>
    <t>Level 1A</t>
  </si>
  <si>
    <t>Level 2</t>
  </si>
  <si>
    <t>Level 2A</t>
  </si>
  <si>
    <t>Level 3</t>
  </si>
  <si>
    <t>Level 3A</t>
  </si>
  <si>
    <t>Level 4</t>
  </si>
  <si>
    <t>Level 4A</t>
  </si>
  <si>
    <t>Level 5</t>
  </si>
  <si>
    <t>Level 5A</t>
  </si>
  <si>
    <t>Level 6</t>
  </si>
  <si>
    <t>Level 6A</t>
  </si>
  <si>
    <t>Level 7</t>
  </si>
  <si>
    <t>Level 7A</t>
  </si>
  <si>
    <t>Level 8</t>
  </si>
  <si>
    <t>Level 8A</t>
  </si>
  <si>
    <t>Level 9</t>
  </si>
  <si>
    <t>Level 9A</t>
  </si>
  <si>
    <t>Lower Ground</t>
  </si>
  <si>
    <t>Mezzanine</t>
  </si>
  <si>
    <t>Mezzanine 2</t>
  </si>
  <si>
    <t>Platform 1</t>
  </si>
  <si>
    <t>Platform 10</t>
  </si>
  <si>
    <t>Platform 14</t>
  </si>
  <si>
    <t>Platform 2</t>
  </si>
  <si>
    <t>Platform 3</t>
  </si>
  <si>
    <t>Platform 4</t>
  </si>
  <si>
    <t>Platform 5</t>
  </si>
  <si>
    <t>Platform 6</t>
  </si>
  <si>
    <t>Platform 7</t>
  </si>
  <si>
    <t>Platform 8</t>
  </si>
  <si>
    <t>Platform 9</t>
  </si>
  <si>
    <t>Platform 11</t>
  </si>
  <si>
    <t>Platform 12</t>
  </si>
  <si>
    <t>Platform 13</t>
  </si>
  <si>
    <t>Roof Space</t>
  </si>
  <si>
    <t>Rooftop</t>
  </si>
  <si>
    <t>Sub-Floor</t>
  </si>
  <si>
    <t>Sub-Basement</t>
  </si>
  <si>
    <t>Subway</t>
  </si>
  <si>
    <t>VR Level</t>
  </si>
  <si>
    <t>Levels</t>
  </si>
  <si>
    <r>
      <t xml:space="preserve">Select from the dropdown. Must match what is on Audit report (unless VAEA friability scale states otherwise. E.g.: </t>
    </r>
    <r>
      <rPr>
        <b/>
        <u/>
        <sz val="11"/>
        <color theme="1"/>
        <rFont val="Calibri"/>
        <family val="2"/>
        <scheme val="minor"/>
      </rPr>
      <t>Dust will always be Friable regardless of what the audit says</t>
    </r>
    <r>
      <rPr>
        <sz val="11"/>
        <color theme="1"/>
        <rFont val="Calibri"/>
        <family val="2"/>
        <scheme val="minor"/>
      </rPr>
      <t xml:space="preserve"> - if in doubt ask). Remember</t>
    </r>
    <r>
      <rPr>
        <sz val="8"/>
        <color theme="1"/>
        <rFont val="Calibri"/>
        <family val="2"/>
        <scheme val="minor"/>
      </rPr>
      <t> </t>
    </r>
    <r>
      <rPr>
        <sz val="11"/>
        <color theme="1"/>
        <rFont val="Calibri"/>
        <family val="2"/>
        <scheme val="minor"/>
      </rPr>
      <t xml:space="preserve"> that this field is linked to the ACM Classification and filters your options in the next two columns. Note this is the what the hygienist/competent person rates the friability as.</t>
    </r>
  </si>
  <si>
    <t>6.     If a mistake is made right click and clear contents of the cell or line. Never delete as you will delete the formula of the cell</t>
  </si>
  <si>
    <t>As per Waste Transfer Certificate</t>
  </si>
  <si>
    <t>5.     Work systematically line by line</t>
  </si>
  <si>
    <t xml:space="preserve">YES/NO. Select ‘yes’ even if the public could access the space illegally. </t>
  </si>
  <si>
    <t>CFA/FRV</t>
  </si>
  <si>
    <t> CFA/FRV</t>
  </si>
  <si>
    <t>NAME</t>
  </si>
  <si>
    <t>ORDER</t>
  </si>
  <si>
    <t>DELWP SUBAGENCIES</t>
  </si>
  <si>
    <t>Dependent picklists used in the Data Entry tab utilise the INDIRECT function, data validation, and Name Manager to provide dependent dropdowns for Dept, Agency and Sub Agency.</t>
  </si>
  <si>
    <t>Department picklist uses Data validation with a list source of ='State Depts'!$C$1:$K$1</t>
  </si>
  <si>
    <t>DELWP sub agency looks up to a different sub agency list of values [DELWP SUBAGENCIES]</t>
  </si>
  <si>
    <t>Agency picklist uses Data validation with a list source of =INDIRECT(A4). Note A4 is dynamic not fixed with the string prefix. INDIRECT maps the test in A4 to a named range.</t>
  </si>
  <si>
    <t>INSTRUCTIONS FOR DEPENDENT PICKLISTS USED IN DATA ENTRY</t>
  </si>
  <si>
    <t>UPDATING PICKLISTS</t>
  </si>
  <si>
    <t>If you add any values to a department's picklist you need to check the name manager entry to ensure the fields referenced are accurate.</t>
  </si>
  <si>
    <t>For example, if you add one additional picklist value to the DPC picklist, the cells referred to will change from State Depts'!$C$2:$C$41 to State Depts'!$C$2:$C$42</t>
  </si>
  <si>
    <t>Changing the picklists on the State Depts tab means you need to update the named range in the Name Manager.</t>
  </si>
  <si>
    <t>Name Manager can be found in the Formulas tab.</t>
  </si>
  <si>
    <t>Freedom of Information Commissioner</t>
  </si>
  <si>
    <t>Office of Commissioner for Better Regulation</t>
  </si>
  <si>
    <t>Premier's Jobs and Investment Panel</t>
  </si>
  <si>
    <t>Social Cohesion and Community Resilience Advisory Group</t>
  </si>
  <si>
    <t>Victorian Competition and Efficiency Commission</t>
  </si>
  <si>
    <t>TAFE Gippsland</t>
  </si>
  <si>
    <t>Fire Rescue Victoria (FRV)</t>
  </si>
  <si>
    <t>BreastScreen Victoria</t>
  </si>
  <si>
    <t>Centre Against Sexual Assault – Loddon Campaspe Region</t>
  </si>
  <si>
    <t>Children's Services Coordination Board</t>
  </si>
  <si>
    <t>Cohealth</t>
  </si>
  <si>
    <t>Gaffney's Creek Cemetery Trust</t>
  </si>
  <si>
    <t>Gippsland Centre Against Sexual Assault Inc.</t>
  </si>
  <si>
    <t>Timboon and District Healthcare Service</t>
  </si>
  <si>
    <t>Metro Trains</t>
  </si>
  <si>
    <t>Public Transport Victoria</t>
  </si>
  <si>
    <t>Transport Accident Commission (TAC)</t>
  </si>
  <si>
    <t>V/Line Pty Ltd</t>
  </si>
  <si>
    <t>VicRoads</t>
  </si>
  <si>
    <t>Yarra Trams (Keolis Downer)</t>
  </si>
  <si>
    <t>Yuroke CFA Fire Station</t>
  </si>
  <si>
    <t>Yinnar South CFA Fire Station</t>
  </si>
  <si>
    <t>Yinnar CFA Fire Station</t>
  </si>
  <si>
    <t>Yarroweyah CFA Fire Station</t>
  </si>
  <si>
    <t>Yarrambat CFA Fire Station</t>
  </si>
  <si>
    <t>Yarram CFA Fire Station</t>
  </si>
  <si>
    <t>Yarragon CFA Fire Station</t>
  </si>
  <si>
    <t>Yarra Junction CFA Fire Station</t>
  </si>
  <si>
    <t>Yarra Glen CFA Fire Station</t>
  </si>
  <si>
    <t>Yarck CFA Fire Station</t>
  </si>
  <si>
    <t>Yanakie CFA Fire Station</t>
  </si>
  <si>
    <t>Yanac CFA Fire Station</t>
  </si>
  <si>
    <t>Yambuk CFA Fire Station</t>
  </si>
  <si>
    <t>Yallourn North CFA Fire Station</t>
  </si>
  <si>
    <t>Yackandandah CFA Fire Station</t>
  </si>
  <si>
    <t>Yabba North CFA Fire Station</t>
  </si>
  <si>
    <t>Wye River CFA Fire Station</t>
  </si>
  <si>
    <t>Wychitella CFA Fire Station</t>
  </si>
  <si>
    <t>Wycheproof CFA Fire Station (Old)</t>
  </si>
  <si>
    <t>Wunghnu CFA Fire Station</t>
  </si>
  <si>
    <t>Woorndoo CFA Fire Station</t>
  </si>
  <si>
    <t>Woorinen South CFA Fire Station</t>
  </si>
  <si>
    <t>Wooragee CFA Fire Station</t>
  </si>
  <si>
    <t>Woomelang CFA Fire Station (Old)</t>
  </si>
  <si>
    <t>Woomelang CFA Fire Station</t>
  </si>
  <si>
    <t>Woodstock West CFA Fire Station</t>
  </si>
  <si>
    <t>Woodside CFA Fire Station</t>
  </si>
  <si>
    <t>Woodford CFA Fire Station</t>
  </si>
  <si>
    <t>Woodend CFA Fire Station</t>
  </si>
  <si>
    <t>Wonthaggi CFA Fire Station</t>
  </si>
  <si>
    <t>Wonga Park CFA Fire Station</t>
  </si>
  <si>
    <t>Wonga Park CFA Burch Hall</t>
  </si>
  <si>
    <t>Wollert CFA Fire Station</t>
  </si>
  <si>
    <t>Wodonga CFA Fire Station</t>
  </si>
  <si>
    <t>Winslow CFA Fire Station</t>
  </si>
  <si>
    <t>Winchelsea CFA Fire Station</t>
  </si>
  <si>
    <t>Willow Grove CFA Fire Station</t>
  </si>
  <si>
    <t>Wildwood CFA Fire Station</t>
  </si>
  <si>
    <t>Wickliffe CFA Fire Station</t>
  </si>
  <si>
    <t>Whorouly CFA Fire Station</t>
  </si>
  <si>
    <t>Whitfield CFA Fire Station</t>
  </si>
  <si>
    <t>Whitegate CFA Fire Station</t>
  </si>
  <si>
    <t>Wedderburn CFA Fire Station</t>
  </si>
  <si>
    <t>Waubra CFA Fire Station</t>
  </si>
  <si>
    <t>Watchupga CFA Fire Station</t>
  </si>
  <si>
    <t>Watchem CFA Fire Station</t>
  </si>
  <si>
    <t>Tyrendarra CFA Fire Station</t>
  </si>
  <si>
    <t>Tyers CFA Fire Station</t>
  </si>
  <si>
    <t>Trafalgar CFA Fire Station</t>
  </si>
  <si>
    <t>Tongala CFA Fire Station</t>
  </si>
  <si>
    <t>Swan Hill CFA HQ</t>
  </si>
  <si>
    <t>Streatham CFA Fire Station</t>
  </si>
  <si>
    <t>Skye CFA Fire Station</t>
  </si>
  <si>
    <t>Sarsfield CFA Fire Station</t>
  </si>
  <si>
    <t>Robinvale Old CFA Fire Station</t>
  </si>
  <si>
    <t>Riddells Creek CFA Fire Station</t>
  </si>
  <si>
    <t>Rheola CFA Fire Station</t>
  </si>
  <si>
    <t>Research CFA Fire Station</t>
  </si>
  <si>
    <t>Reedy Creek CFA Fire Station</t>
  </si>
  <si>
    <t>Pyalong CFA Fire Station</t>
  </si>
  <si>
    <t>Propodollah CFA Fire Station</t>
  </si>
  <si>
    <t>Pound Creek CFA Fire Station</t>
  </si>
  <si>
    <t>Portarlington CFA Fire Station</t>
  </si>
  <si>
    <t>Port Fairy CFA Fire Station</t>
  </si>
  <si>
    <t>Port Campbell CFA Fire Station</t>
  </si>
  <si>
    <t>Pomonal CFA Fire Station</t>
  </si>
  <si>
    <t>Pomborneit CFA Fire Station</t>
  </si>
  <si>
    <t>Plenty CFA Fire Station</t>
  </si>
  <si>
    <t>Pimpinio CFA Fire Station</t>
  </si>
  <si>
    <t>Picola CFA Fire Station</t>
  </si>
  <si>
    <t>Phillip Island CFA Fire Station</t>
  </si>
  <si>
    <t>Peterborough CFA Fire Station</t>
  </si>
  <si>
    <t>Penhurst CFA Training Centre</t>
  </si>
  <si>
    <t>Peechelba CFA Fire Station</t>
  </si>
  <si>
    <t>Pearcedale CFA Fire Station</t>
  </si>
  <si>
    <t>Paynesville CFA Fire Station</t>
  </si>
  <si>
    <t>Panton Hill CFA Fire Station</t>
  </si>
  <si>
    <t>Panmure CFA Fire Station</t>
  </si>
  <si>
    <t>Pakenham Upper CFA Fire Station</t>
  </si>
  <si>
    <t>Pakenham CFA Fire Station</t>
  </si>
  <si>
    <t>Oxley Flats CFA Fire Station</t>
  </si>
  <si>
    <t>Orford CFA Fire Station</t>
  </si>
  <si>
    <t>Orbost CFA Fire Station</t>
  </si>
  <si>
    <t>Olinda CFA Fire Station</t>
  </si>
  <si>
    <t>Officer CFA Fire Station</t>
  </si>
  <si>
    <t>Nyah West CFA Fire Station</t>
  </si>
  <si>
    <t>Numurkah CFA Fire Station</t>
  </si>
  <si>
    <t>Nullawarre CFA Fire Station</t>
  </si>
  <si>
    <t>North West Mooroopna CFA Fire Station</t>
  </si>
  <si>
    <t>Noojee CFA Fire Station</t>
  </si>
  <si>
    <t>Noble Park CFA Fire Station</t>
  </si>
  <si>
    <t>Nilma North CFA Fire Station</t>
  </si>
  <si>
    <t>Newstead CFA Fire Station</t>
  </si>
  <si>
    <t>Newry CFA Fire Station</t>
  </si>
  <si>
    <t>Newmerella CFA Fire Station</t>
  </si>
  <si>
    <t>Newham CFA Fire Station</t>
  </si>
  <si>
    <t>Newborough CFA Fire Station</t>
  </si>
  <si>
    <t>Natte Yallock CFA Fire Station</t>
  </si>
  <si>
    <t>Natimuk CFA Fire Station</t>
  </si>
  <si>
    <t>Nathalia Old CFA Fire Station</t>
  </si>
  <si>
    <t>Narrawong CFA Fire Station</t>
  </si>
  <si>
    <t>Nar Nar Goon CFA Fire Station</t>
  </si>
  <si>
    <t>Nagambie CFA Fire Station</t>
  </si>
  <si>
    <t>Myrtleford CFA Fire Station</t>
  </si>
  <si>
    <t>Murtoa CFA Fire Station</t>
  </si>
  <si>
    <t>Murrayville Old CFA Fire Station</t>
  </si>
  <si>
    <t>Murchison CFA Fire Station</t>
  </si>
  <si>
    <t>Mt Eliza Fire CFA Station</t>
  </si>
  <si>
    <t>Moyhu Fire CFA Station</t>
  </si>
  <si>
    <t>Mount Taylor CFA Fire Station</t>
  </si>
  <si>
    <t>Mount Macedon CFA Fire Station</t>
  </si>
  <si>
    <t>Mount Evelyn CFA Fire Station</t>
  </si>
  <si>
    <t>Mount Eliza CFA Fire Station</t>
  </si>
  <si>
    <t>Mount Buller CFA Fire Station</t>
  </si>
  <si>
    <t>Mount Beauty CFA Fire Station</t>
  </si>
  <si>
    <t>Mossi-Tambo CFA Fire Station</t>
  </si>
  <si>
    <t>Mooroopna CFA Fire Station</t>
  </si>
  <si>
    <t>Mooroolbark CFA Fire Station</t>
  </si>
  <si>
    <t>Montrose CFA Fire Station</t>
  </si>
  <si>
    <t>Monbulk CFA Fire Station</t>
  </si>
  <si>
    <t>Moe CFA Fire Station</t>
  </si>
  <si>
    <t>Mirboo North CFA Fire Station</t>
  </si>
  <si>
    <t>Metung CFA Fire Station</t>
  </si>
  <si>
    <t>Merrigum CFA Fire Station</t>
  </si>
  <si>
    <t>Merino CFA Fire Station</t>
  </si>
  <si>
    <t>Meredith CFA Fire Station</t>
  </si>
  <si>
    <t>Merbein CFA Fire Station</t>
  </si>
  <si>
    <t>Menzies Creek CFA Fire Station</t>
  </si>
  <si>
    <t>Meeniyan CFA Fire Station</t>
  </si>
  <si>
    <t>Maryknoll &amp; District CFA Fire Station</t>
  </si>
  <si>
    <t>Marlo CFA Fire Station &amp; Coast Guard Building</t>
  </si>
  <si>
    <t>Mansfield CFA Fire Station</t>
  </si>
  <si>
    <t>Manangatang CFA Fire Station</t>
  </si>
  <si>
    <t>Mallacoota CFA Fire Station</t>
  </si>
  <si>
    <t>Maldon CFA Fire Station</t>
  </si>
  <si>
    <t>Main Ridge CFA Fire Station</t>
  </si>
  <si>
    <t>Maffra CFA Fire Station</t>
  </si>
  <si>
    <t>Macedon CFA Fire Station</t>
  </si>
  <si>
    <t>Macclesfield CFA Fire Station</t>
  </si>
  <si>
    <t>Lubeck CFA Fire Station</t>
  </si>
  <si>
    <t>Longwood CFA Fire Station</t>
  </si>
  <si>
    <t>Longwarry &amp; District CFA Fire Station</t>
  </si>
  <si>
    <t>Longerenong CFA Training Campus</t>
  </si>
  <si>
    <t>Lockwood CFA Fire Station</t>
  </si>
  <si>
    <t>Lockington CFA Fire Station</t>
  </si>
  <si>
    <t>Loch Sport CFA Fire Station</t>
  </si>
  <si>
    <t>Loch CFA Fire Station</t>
  </si>
  <si>
    <t>Little Yarra CFA Fire Station</t>
  </si>
  <si>
    <t>Little River CFA Fire Station</t>
  </si>
  <si>
    <t>Litchfield CFA Fire Station</t>
  </si>
  <si>
    <t>Linton CFA Fire Station (Old)</t>
  </si>
  <si>
    <t>Linton CFA Fire Station</t>
  </si>
  <si>
    <t>Lindenow South CFA Fire Station</t>
  </si>
  <si>
    <t>Lima South CFA Fire Station</t>
  </si>
  <si>
    <t>Lexton CFA Fire Station</t>
  </si>
  <si>
    <t>Lethbridge CFA Fire Station</t>
  </si>
  <si>
    <t>Leongatha CFA Fire Station</t>
  </si>
  <si>
    <t>Leitchville CFA Fire Station</t>
  </si>
  <si>
    <t>Lang Lang CFA Fire Station</t>
  </si>
  <si>
    <t>Lancefield CFA Fire Station</t>
  </si>
  <si>
    <t>Lakes Entrance CFA Fire Station</t>
  </si>
  <si>
    <t>Lake Boga Original CFA Fire Station</t>
  </si>
  <si>
    <t>Kyabram CFA Fire Station</t>
  </si>
  <si>
    <t>Korumburra CFA Fire Station</t>
  </si>
  <si>
    <t>Korong Vale CFA Fire Station</t>
  </si>
  <si>
    <t>Koroit CFA Fire Station</t>
  </si>
  <si>
    <t>Koonwarra CFA Fire Station</t>
  </si>
  <si>
    <t>Koo Wee Rup CFA Fire Station</t>
  </si>
  <si>
    <t>Kingston CFA Fire Station</t>
  </si>
  <si>
    <t>Kinglake West CFA Fire Station</t>
  </si>
  <si>
    <t>Kilcunda CFA Fire Station</t>
  </si>
  <si>
    <t>Keysborough CFA Fire Station</t>
  </si>
  <si>
    <t>Kaniva CFA Fire Station</t>
  </si>
  <si>
    <t>Kangaroo Ground CFA Fire Station</t>
  </si>
  <si>
    <t>Kangaroo Flat CFA District Maintenance Office</t>
  </si>
  <si>
    <t>Kalorama &amp; Mount Dandenong CFA Fire Station</t>
  </si>
  <si>
    <t>Kallista CFA Fire Station</t>
  </si>
  <si>
    <t>Kalimna West CFA Fire Station</t>
  </si>
  <si>
    <t>Kaarimba CFA Fire Station</t>
  </si>
  <si>
    <t>Junortoun CFA Fire Station</t>
  </si>
  <si>
    <t>Jung CFA Fire Station</t>
  </si>
  <si>
    <t>Johnsonville CFA Fire Station</t>
  </si>
  <si>
    <t>Jeparit CFA Fire Station</t>
  </si>
  <si>
    <t>Irymple CFA Fire Station</t>
  </si>
  <si>
    <t>Irrewarra CFA Fire Station</t>
  </si>
  <si>
    <t>Inverleigh CFA Fire Station</t>
  </si>
  <si>
    <t>Inglewood CFA Fire Station</t>
  </si>
  <si>
    <t>Indigo Valley CFA Fire Station</t>
  </si>
  <si>
    <t>Huntly Old CFA Fire Station</t>
  </si>
  <si>
    <t>Huntly CFA Training Campus</t>
  </si>
  <si>
    <t>Horsham District CFA Maintenance Office</t>
  </si>
  <si>
    <t>Horsham CFA Fire Station</t>
  </si>
  <si>
    <t>Hopetoun Old CFA Fire Station</t>
  </si>
  <si>
    <t>Hopetoun CFA Fire Station</t>
  </si>
  <si>
    <t>Hoddles Creek CFA Fire Station</t>
  </si>
  <si>
    <t>Hillside CFA Fire Station</t>
  </si>
  <si>
    <t>Hillcrest CFA Fire Station</t>
  </si>
  <si>
    <t>Highton CFA Fire Station</t>
  </si>
  <si>
    <t>Heywood CFA Fire Station</t>
  </si>
  <si>
    <t>Heyfield CFA Fire Station</t>
  </si>
  <si>
    <t>Hepburn Springs CFA Fire Station</t>
  </si>
  <si>
    <t>Hedley CFA Fire Station</t>
  </si>
  <si>
    <t>Heathcote CFA Fire Station</t>
  </si>
  <si>
    <t>Healesville CFA Fire Station</t>
  </si>
  <si>
    <t>Hazelwood North CFA Fire Station</t>
  </si>
  <si>
    <t>Hawkesdale CFA Fire Station</t>
  </si>
  <si>
    <t>Hastings CFA Fire Station</t>
  </si>
  <si>
    <t>Harrow CFA Fire Station</t>
  </si>
  <si>
    <t>Hampton Park CFA Fire Station</t>
  </si>
  <si>
    <t>Hamilton CFA Fire Station</t>
  </si>
  <si>
    <t>Haddon CFA Fire Station</t>
  </si>
  <si>
    <t>Gundowring CFA Fire Station</t>
  </si>
  <si>
    <t>Gunbower CFA Fire Station</t>
  </si>
  <si>
    <t>Guildford CFA Fire Station</t>
  </si>
  <si>
    <t>Gruyere CFA Fire Station</t>
  </si>
  <si>
    <t>Grovedale CFA Fire Station</t>
  </si>
  <si>
    <t>Gritjurk CFA Fire Station</t>
  </si>
  <si>
    <t>Greta CFA Fire Station</t>
  </si>
  <si>
    <t>Great Western CFA Fire Station</t>
  </si>
  <si>
    <t>Goroke CFA Fire Station</t>
  </si>
  <si>
    <t>Gormandale CFA Fire Station</t>
  </si>
  <si>
    <t>Gordon CFA Fire Siren</t>
  </si>
  <si>
    <t>Goorambat CFA Fire Siren</t>
  </si>
  <si>
    <t>Gooram CFA Fire Station</t>
  </si>
  <si>
    <t>Goongerah CFA Fire Siren</t>
  </si>
  <si>
    <t>Golden Beach CFA Fire Station</t>
  </si>
  <si>
    <t>Glenthompson CFA Fire Station</t>
  </si>
  <si>
    <t>Glenrowan CFA Fire Station</t>
  </si>
  <si>
    <t>Glenorchy CFA Fire Siren</t>
  </si>
  <si>
    <t>Glenlyon CFA Fire Siren</t>
  </si>
  <si>
    <t>Glenaladale CFA Fire Station</t>
  </si>
  <si>
    <t>Gisborne CFA Fire Station</t>
  </si>
  <si>
    <t>Girgarre CFA Fire Station</t>
  </si>
  <si>
    <t>Gerang Gerung CFA Fire Siren</t>
  </si>
  <si>
    <t>Gembrook CFA Fire Station</t>
  </si>
  <si>
    <t>Geelong West CFA Fire Station</t>
  </si>
  <si>
    <t>Garvoc CFA Fire Station</t>
  </si>
  <si>
    <t>Gapsted CFA Fire Station</t>
  </si>
  <si>
    <t>Fryertown CFA Fire Station</t>
  </si>
  <si>
    <t>Franklinford CFA Fire Siren</t>
  </si>
  <si>
    <t>Framlingham CFA Fire Station</t>
  </si>
  <si>
    <t>Foster CFA Fire Station</t>
  </si>
  <si>
    <t>Forrest CFA Fire Station</t>
  </si>
  <si>
    <t>Flinders CFA Fire Station</t>
  </si>
  <si>
    <t>Fiskville CFA Training Ground</t>
  </si>
  <si>
    <t>Fish Creek CFA Fire Station</t>
  </si>
  <si>
    <t>Ferntree Gully CFA Fire Station</t>
  </si>
  <si>
    <t>Fernbank CFA Fire Station</t>
  </si>
  <si>
    <t>Eskdale CFA Fire Station</t>
  </si>
  <si>
    <t>Eltham CFA Fire Station (Old)</t>
  </si>
  <si>
    <t>Elphinstone CFA Fire Station</t>
  </si>
  <si>
    <t>Elmore CFA Fire Station</t>
  </si>
  <si>
    <t>Elmhurst CFA Fire Station</t>
  </si>
  <si>
    <t>Eldorado CFA Fire Station</t>
  </si>
  <si>
    <t>Elaine CFA Fire Station</t>
  </si>
  <si>
    <t>Edithvale CFA Fire Station</t>
  </si>
  <si>
    <t>Edi CFA Fire Station</t>
  </si>
  <si>
    <t>Edenhope CFA Fire Station</t>
  </si>
  <si>
    <t>Echuca CFA Fire Station</t>
  </si>
  <si>
    <t>Earlston CFA Fire Station</t>
  </si>
  <si>
    <t>Eaglehawk CFA Fire Station</t>
  </si>
  <si>
    <t>Dunolly CFA Fire Station</t>
  </si>
  <si>
    <t>Dunkeld CFA Fire Station</t>
  </si>
  <si>
    <t>Dumbalk CFA Fire Station</t>
  </si>
  <si>
    <t>Drumanure CFA Fire Station</t>
  </si>
  <si>
    <t>Doreen CFA Fire Station</t>
  </si>
  <si>
    <t>Dooen CFA Fire Station</t>
  </si>
  <si>
    <t>Donald CFA Fire Station</t>
  </si>
  <si>
    <t>Don Valley CFA Fire Station (Launching Place)</t>
  </si>
  <si>
    <t>Dixon's Creek CFA Fire Station</t>
  </si>
  <si>
    <t>District 7 CFA Headquarters Geelong North</t>
  </si>
  <si>
    <t>District 5 CFA Head Quarters Hamilton</t>
  </si>
  <si>
    <t>Dingee-Tanara CFA Fire Station</t>
  </si>
  <si>
    <t>Dimboola CFA Fire Station</t>
  </si>
  <si>
    <t>Diggers Rest CFA Fire Station</t>
  </si>
  <si>
    <t>Diamond Creek CFA Fire Station</t>
  </si>
  <si>
    <t>Devon Meadows CFA Fire Station</t>
  </si>
  <si>
    <t>Devenish CFA Fire Station</t>
  </si>
  <si>
    <t>Deven Meadows CFA Fire Station</t>
  </si>
  <si>
    <t>Derrinallum CFA Fire Station</t>
  </si>
  <si>
    <t>Cooma CFA Fire Station</t>
  </si>
  <si>
    <t>Yarraville MFB Fire Station</t>
  </si>
  <si>
    <t>Windsor MFB Fire Station (F.S. No. 35)</t>
  </si>
  <si>
    <t>West Melbourne MFB Fire Station</t>
  </si>
  <si>
    <t>Vermont MFB Fire Station (F.S. No. 28)</t>
  </si>
  <si>
    <t>Tullamarine MFB Fire Station (F.S. No. 52)</t>
  </si>
  <si>
    <t>Thornbury MFB Fire Station</t>
  </si>
  <si>
    <t>Thomastown MFB Fire Station (F.S. No. 7)</t>
  </si>
  <si>
    <t>Templestowe MFB Fire Station (F.S. No. 30)</t>
  </si>
  <si>
    <t>Taylors Lake MFB Fire Station (F.S. No. 48)</t>
  </si>
  <si>
    <t>Sunshine MFB Fire Station (F.S. No. 44)</t>
  </si>
  <si>
    <t>St Albans MFB Fire Station (F.S. No. 41)</t>
  </si>
  <si>
    <t>Southern Zone MBF Office</t>
  </si>
  <si>
    <t>Bonang CFA Fire Station</t>
  </si>
  <si>
    <t>South Melbourne MFB Fire Station (F.S. No. 38)</t>
  </si>
  <si>
    <t>Ringwood MFB Fire Station (F.S. No. 22)</t>
  </si>
  <si>
    <t>Richmond MFB Offices</t>
  </si>
  <si>
    <t>Richmond MFB Fire Station (F.S. No. 10)</t>
  </si>
  <si>
    <t>Preston MFB Fire Station (F.S. No. 12)</t>
  </si>
  <si>
    <t>Port Melbourne MFB Fire Station (F.S. No. 39)</t>
  </si>
  <si>
    <t>Pascoe Vale MFB Fire Station (F.S. No. 6)</t>
  </si>
  <si>
    <t>Ormond Caulfield South MFB Fire Station (F.S. No. 32)</t>
  </si>
  <si>
    <t>Oakleigh MFB Fire Station</t>
  </si>
  <si>
    <t>Nunawading MFB Fire Station (F.S. No. 27)</t>
  </si>
  <si>
    <t>Northcote MFB Fire Station (F.S. No. 13)</t>
  </si>
  <si>
    <t>North Balwyn MFB Fire Station (F.S. No. 19)</t>
  </si>
  <si>
    <t>Beeac CFA Fire Station</t>
  </si>
  <si>
    <t>Newport MFB Fire Station (F.S. No. 42)</t>
  </si>
  <si>
    <t>Mentone MFB Fire Station (F.S. No. 33)</t>
  </si>
  <si>
    <t>Laverton North MFB Fire Station (F.S. No. 49)</t>
  </si>
  <si>
    <t>Laverton MFB Fire Station (F.S. No. 40)</t>
  </si>
  <si>
    <t>Keilor MFB Fire Station (F.S. No. 51)</t>
  </si>
  <si>
    <t>Highett MFB Fire Station (F.S. No. 34)</t>
  </si>
  <si>
    <t>Heidelberg MFB Fire Station (F.S. No. 15)</t>
  </si>
  <si>
    <t>Hawthorn MFB Fire Station (F.S. No. 18)</t>
  </si>
  <si>
    <t>Greensborough MFB Fire Station (F.S. No. 16)</t>
  </si>
  <si>
    <t>Glen Waverley MFB Fire Station (F.S. No. 31)</t>
  </si>
  <si>
    <t>Geelong FRV Fire Station</t>
  </si>
  <si>
    <t>FRV Richmond Computer Records</t>
  </si>
  <si>
    <t>Footscray MFB Fire Station (F.S. No. 47)</t>
  </si>
  <si>
    <t>Epping MFB Fire Station (F.S. No. 11)</t>
  </si>
  <si>
    <t>Eastern Hill MFB Fire Station (F.S. No. 1)</t>
  </si>
  <si>
    <t>Deer Park MFB Fire Station (F.S. No. 43)</t>
  </si>
  <si>
    <t>Craigieburn FRV Fire Station</t>
  </si>
  <si>
    <t>Clayton MFB Fire Station (F.S. No. 29)</t>
  </si>
  <si>
    <t>Carlton MFB Fire Station (F.S. No. 3)</t>
  </si>
  <si>
    <t>Campbellfield MFB Fire Station (F.S. No. 9)</t>
  </si>
  <si>
    <t>Burwood MFB Fire Station (F.S. No. 23)</t>
  </si>
  <si>
    <t>Burnley MFB Training Centre</t>
  </si>
  <si>
    <t>Bundoora MFB Fire Station (F.S. No. 14)</t>
  </si>
  <si>
    <t>Brunswick MFB Fire Station (F.S. No. 4)</t>
  </si>
  <si>
    <t>Broadmeadows MFB Fire Station (F.S. No. 5)</t>
  </si>
  <si>
    <t>Box Hill MFB Fire Station (F.S. No. 20)</t>
  </si>
  <si>
    <t>Ascot Vale MFB Fire Station (F.S. No. 50)</t>
  </si>
  <si>
    <t>Altona MFB Fire Station (F.S. No. 46)</t>
  </si>
  <si>
    <t>DOT</t>
  </si>
  <si>
    <t>Kerang Ambulance Branch</t>
  </si>
  <si>
    <t>Belfast House - Moyne Health Services</t>
  </si>
  <si>
    <t>Picklist values for Depts and Agencies are stored in the State Depts tab. This tab is usually hidden and can be revealed from Home --&gt; Format --&gt; Hide &amp; Unhide</t>
  </si>
  <si>
    <t>Data validation formula is =IF(A4="DELWP",'State Depts'!$M$2:$M$2024,INDIRECT(B4)</t>
  </si>
  <si>
    <t>Full formula with substitutions of spaces, brackets and parentheses is =IF(A4="DELWP",'State Depts'!$M$2:$M$2024,INDIRECT(SUBSTITUTE(SUBSTITUTE(SUBSTITUTE(SUBSTITUTE(B4," ","_"),"(","_"),")","_"),"/","_")))</t>
  </si>
  <si>
    <t>Subagency uses the INDIRECT function to look up Name Manager entries for column B, except for DELWP.</t>
  </si>
  <si>
    <r>
      <t xml:space="preserve">Vinyl products </t>
    </r>
    <r>
      <rPr>
        <b/>
        <sz val="11"/>
        <color rgb="FFFF0000"/>
        <rFont val="Calibri"/>
        <family val="2"/>
        <scheme val="minor"/>
      </rPr>
      <t>(f)</t>
    </r>
  </si>
  <si>
    <r>
      <t xml:space="preserve">Textiles </t>
    </r>
    <r>
      <rPr>
        <b/>
        <sz val="11"/>
        <color rgb="FFFF0000"/>
        <rFont val="Calibri"/>
        <family val="2"/>
        <scheme val="minor"/>
      </rPr>
      <t>(f)</t>
    </r>
  </si>
  <si>
    <t>Cloth </t>
  </si>
  <si>
    <t>Fire-fighting clothing </t>
  </si>
  <si>
    <t>Gloves </t>
  </si>
  <si>
    <t>Millboard/paper-backed sheet vinyl </t>
  </si>
  <si>
    <t>Paper </t>
  </si>
  <si>
    <t>Rope and string </t>
  </si>
  <si>
    <t>Fire Blanket</t>
  </si>
  <si>
    <t>Fire Curtains</t>
  </si>
  <si>
    <t>PSB Supplied ACM ID</t>
  </si>
  <si>
    <t>If the ACM has a unique identifying number or code supplied by the PSB, enter it here.</t>
  </si>
  <si>
    <r>
      <t>The room or general area in which the item is located. e.g. Toilet, Kitchen. Capitalise the first letter of each word, excluding conjunctions/prepositions. E.g. Bathroom at End of the Corridor.</t>
    </r>
    <r>
      <rPr>
        <sz val="11"/>
        <color rgb="FFFF0000"/>
        <rFont val="Calibri"/>
        <family val="2"/>
        <scheme val="minor"/>
      </rPr>
      <t xml:space="preserve"> </t>
    </r>
    <r>
      <rPr>
        <sz val="11"/>
        <color theme="1"/>
        <rFont val="Calibri"/>
        <family val="2"/>
        <scheme val="minor"/>
      </rPr>
      <t xml:space="preserve"> If Room/Area or Location state Vinyl Walls we don’t include the word Vinyl as that will be stated at product type column.  If stated</t>
    </r>
    <r>
      <rPr>
        <b/>
        <sz val="11"/>
        <color theme="1"/>
        <rFont val="Calibri"/>
        <family val="2"/>
        <scheme val="minor"/>
      </rPr>
      <t xml:space="preserve"> Internal only - enter 'Throughout'</t>
    </r>
    <r>
      <rPr>
        <sz val="11"/>
        <color theme="1"/>
        <rFont val="Calibri"/>
        <family val="2"/>
        <scheme val="minor"/>
      </rPr>
      <t xml:space="preserve"> - if stated </t>
    </r>
    <r>
      <rPr>
        <b/>
        <sz val="11"/>
        <color theme="1"/>
        <rFont val="Calibri"/>
        <family val="2"/>
        <scheme val="minor"/>
      </rPr>
      <t>External only - enter 'Exterior'.</t>
    </r>
    <r>
      <rPr>
        <sz val="11"/>
        <color theme="1"/>
        <rFont val="Calibri"/>
        <family val="2"/>
        <scheme val="minor"/>
      </rPr>
      <t xml:space="preserve"> When unsure ask questions. Do not use spaces around slashes, e.g. use Kitchen/Laundry rather than Kitchen / Laundry.</t>
    </r>
  </si>
  <si>
    <t>State where in the room or area the ACM is location. For example, whether the ACM is in the north/south, floor/ceiling. Capitalise the first letter of each word, excluding conjunctions/prepositions. E.g. Ceiling on West Side. Again if Room/Area or Location state Vinyl Walls we don’t include the word Vinyl as that will be stated at product type column. Do not enter any ACM information here as it will be captured in the ACM Name and product type columns. Do not use spaces around slashes, e.g. use Kitchen/Laundry rather than Kitchen / Laundry.</t>
  </si>
  <si>
    <t>Bairnsdale GTEC</t>
  </si>
  <si>
    <t>Bairnsdale Main Campus</t>
  </si>
  <si>
    <t>Bairnsdale Trade</t>
  </si>
  <si>
    <t>Kalimna West Forestec Campus</t>
  </si>
  <si>
    <t>Lakes Entrance Seamec Campus</t>
  </si>
  <si>
    <t>Leongatha Automotive Building</t>
  </si>
  <si>
    <t>Morwell Campus</t>
  </si>
  <si>
    <t>Sale Farmtec</t>
  </si>
  <si>
    <t>Sale Flexible Learning Centre</t>
  </si>
  <si>
    <t>Sale Fulham</t>
  </si>
  <si>
    <t>Sale SEATS</t>
  </si>
  <si>
    <t>Warragul Main Campus</t>
  </si>
  <si>
    <t>Yallourn Campus</t>
  </si>
  <si>
    <t>Warragul Automotive Campus</t>
  </si>
  <si>
    <t>Hygienist Recommendations</t>
  </si>
  <si>
    <t>Rosedale Police Station</t>
  </si>
  <si>
    <t>Traralgon Police Station</t>
  </si>
  <si>
    <t>Lismore Police Station</t>
  </si>
  <si>
    <t>Harrow Police Station</t>
  </si>
  <si>
    <t>Heywood Police Station</t>
  </si>
  <si>
    <t>Casterton Police Station</t>
  </si>
  <si>
    <t>Warrnambool Police Station</t>
  </si>
  <si>
    <t>Attwood Complex Stables and Garage</t>
  </si>
  <si>
    <t>Ballan Police Station</t>
  </si>
  <si>
    <t>Ballarat Operational Safety and Tactics Training Facility</t>
  </si>
  <si>
    <t>Bendigo Operational Safety and Tactics Training Facility</t>
  </si>
  <si>
    <t>Birregurra Police Station</t>
  </si>
  <si>
    <t>Boronia Police Station</t>
  </si>
  <si>
    <t>Briagolong Police Station</t>
  </si>
  <si>
    <t>Cobram Police Station and Criminal Investigation Unit</t>
  </si>
  <si>
    <t>Creswick Police Station</t>
  </si>
  <si>
    <t>Drysdale Police Station</t>
  </si>
  <si>
    <t>Dunolly Police Station</t>
  </si>
  <si>
    <t>Falls Creek Police Station</t>
  </si>
  <si>
    <t>Glen Waverley Police Complex</t>
  </si>
  <si>
    <t>Glenrowan Police Station</t>
  </si>
  <si>
    <t>Halls Gap Police Station</t>
  </si>
  <si>
    <t>Hamilton Divisional Headquarters</t>
  </si>
  <si>
    <t>Healesville Police Station</t>
  </si>
  <si>
    <t>Jamieson Police Station</t>
  </si>
  <si>
    <t>Jeparit Police Station</t>
  </si>
  <si>
    <t>Katamatite Police Station</t>
  </si>
  <si>
    <t>Kimore Police Station</t>
  </si>
  <si>
    <t>Loch Police Station</t>
  </si>
  <si>
    <t>Lorne Police Station</t>
  </si>
  <si>
    <t>Malmsbury Police Station</t>
  </si>
  <si>
    <t>Minyip Police Station</t>
  </si>
  <si>
    <t>Mordialloc Police Station</t>
  </si>
  <si>
    <t>Morwell Divisional Head Quarters</t>
  </si>
  <si>
    <t>Mount Buller Police Station</t>
  </si>
  <si>
    <t>Mount Waverley Police Station</t>
  </si>
  <si>
    <t>Moyhu Police Station</t>
  </si>
  <si>
    <t>Murrayville Police Station</t>
  </si>
  <si>
    <t>Numurkah Police Station</t>
  </si>
  <si>
    <t>Nunawading Police Station</t>
  </si>
  <si>
    <t>Oakleigh Police Station</t>
  </si>
  <si>
    <t>Port Campbell Police Station</t>
  </si>
  <si>
    <t>Portarlington Police Station</t>
  </si>
  <si>
    <t>Ringwood Police Station</t>
  </si>
  <si>
    <t>Trentham Police Station</t>
  </si>
  <si>
    <t>Tungamah Police Station</t>
  </si>
  <si>
    <t>Werrimull Police Station</t>
  </si>
  <si>
    <t>Westgarth Band Rehearsal and Offices</t>
  </si>
  <si>
    <t>Willaura Police Station</t>
  </si>
  <si>
    <t>Williamstown Police Station</t>
  </si>
  <si>
    <t>Winchelsea Police Station</t>
  </si>
  <si>
    <t>All Levels</t>
  </si>
  <si>
    <t>Victoria Police Academy</t>
  </si>
  <si>
    <t>Woodend Police Station</t>
  </si>
  <si>
    <t>Yarra Glen Police Station</t>
  </si>
  <si>
    <t>Yarram Police Station</t>
  </si>
  <si>
    <r>
      <t>Enter the name of Org that looks up to an Agency (where applicable). E.g. Port Fairy Ambulance Station looks up to Ambulance Victoria. Ballarat CFA Fire Station looks up to Country Fire Authority (CFA). Geelong Depot(34) looks up to VicRoads.</t>
    </r>
    <r>
      <rPr>
        <b/>
        <sz val="11"/>
        <color theme="1"/>
        <rFont val="Calibri"/>
        <family val="2"/>
        <scheme val="minor"/>
      </rPr>
      <t xml:space="preserve"> If unsure about Agency or Sub Agency you can look at the Organisation's page in AIR for info. If still unsure ask, as a wrong entry in these fields will bounce the BAR on upload.</t>
    </r>
  </si>
  <si>
    <t>Enter the name of the building as stated on the register or if not stated the recognised name of the building. Check if the building is already in AIR - if so, make sure the building has the same name, address and building type details to avoid creating a duplicate building in AIR.</t>
  </si>
  <si>
    <t>Select the appropriate BLD type from dropdown. If the building already exists in AIR it must have the same building type</t>
  </si>
  <si>
    <r>
      <t>Do not abbreviate ‘St' or 'Rd'. Write names in full e.g. 'Street' or 'Road'. If there is an address such as  'Smith St. Opp Jones St'. You would enter 'Smith Street' only. 'Opposite Jones Street' can go in the Additional comments. If it is on a corner do not enter the word 'corner' or 'corner of'. If it is the Corner of Smith and Jones St, Melbourne, enter as</t>
    </r>
    <r>
      <rPr>
        <b/>
        <sz val="11"/>
        <color theme="1"/>
        <rFont val="Calibri"/>
        <family val="2"/>
        <scheme val="minor"/>
      </rPr>
      <t xml:space="preserve"> </t>
    </r>
    <r>
      <rPr>
        <sz val="11"/>
        <color theme="1"/>
        <rFont val="Calibri"/>
        <family val="2"/>
        <scheme val="minor"/>
      </rPr>
      <t>Smith and Jones Street, Melbourne</t>
    </r>
    <r>
      <rPr>
        <b/>
        <sz val="11"/>
        <color theme="1"/>
        <rFont val="Calibri"/>
        <family val="2"/>
        <scheme val="minor"/>
      </rPr>
      <t>.</t>
    </r>
  </si>
  <si>
    <t>Enter PSB’s unique building ID. Where provided by Public Sector Body in audit (if applicable). If the Building already exists in AIR make sure the Building ID is the same on the BAR.</t>
  </si>
  <si>
    <r>
      <t>Use ‘External and Internal</t>
    </r>
    <r>
      <rPr>
        <sz val="8"/>
        <color theme="1"/>
        <rFont val="Calibri"/>
        <family val="2"/>
        <scheme val="minor"/>
      </rPr>
      <t> </t>
    </r>
    <r>
      <rPr>
        <sz val="11"/>
        <color theme="1"/>
        <rFont val="Calibri"/>
        <family val="2"/>
        <scheme val="minor"/>
      </rPr>
      <t>’ when asbestos is present internally and externally e.g. pipework leading to fixtures. Make sure the Room/Area &amp; Location correlate with External or Internal as stated in this column. Example: If the R/A or Location are obviously an internal item and it is marked as External - you can change the Internal/External to Internal.</t>
    </r>
  </si>
  <si>
    <t>Select from the dropdown options. Any items covering multiple levels need to be broken up line by line to reflect each level they correspond to. Negative items need to be broken up per floor also.</t>
  </si>
  <si>
    <t>This is the ACM that you must select from the dropdown list. E.g. Walls And Ceiling/Floor Covering/Pipework Flange Joint etc. Note that this can sometimes be the same as Room/Area &amp; Location. I.e. Walls, Ceiling.</t>
  </si>
  <si>
    <t>Enter sample number. If this is not available, type ‘Not Sampled’ (always capitalised). Use terminology ‘As Per’ if audit states ‘Similar to 83739’ or ‘Refer to 83739’. If you have multiple sample numbers separate with the word 'and'.Do not use &amp; symbol or a comma.</t>
  </si>
  <si>
    <t>Removal Comments</t>
  </si>
  <si>
    <t>Photo Reference Number</t>
  </si>
  <si>
    <t>Photo reference Number</t>
  </si>
  <si>
    <t>Enter the photo reference number for the corresponding item.</t>
  </si>
  <si>
    <t xml:space="preserve">Add any removal comments </t>
  </si>
  <si>
    <t>Myrtle Street Clinic</t>
  </si>
  <si>
    <t>24 Cooper Street</t>
  </si>
  <si>
    <t>Eaves</t>
  </si>
  <si>
    <t>J169642-001-001</t>
  </si>
  <si>
    <t>Painted White</t>
  </si>
  <si>
    <t>Wall</t>
  </si>
  <si>
    <t>J169642-001-002</t>
  </si>
  <si>
    <t>Textured Painted White</t>
  </si>
  <si>
    <t>Window Frames</t>
  </si>
  <si>
    <t>Mortuary Buildings</t>
  </si>
  <si>
    <t>J169642-001-004</t>
  </si>
  <si>
    <t>Maintain in current condition, label
and incorporate into an AMP.
Remove by licensed asbestos
contractor prior to demolition or
refurbishment.</t>
  </si>
  <si>
    <t>Boiler Room</t>
  </si>
  <si>
    <t>Fire Door</t>
  </si>
  <si>
    <t>Not Sampled</t>
  </si>
  <si>
    <t>Confirm status, label, maintain in
current condition and incorporate
into an AMP. Remove by licensed
asbestos contractor prior to
demolition or refurbishment</t>
  </si>
  <si>
    <t>Mortuary Room</t>
  </si>
  <si>
    <t>Height Restricted</t>
  </si>
  <si>
    <t>Shower Room</t>
  </si>
  <si>
    <t>Confirm status, label, maintain in
current condition and incorporate
into an AMP. Remove by licensed
asbestos contractor prior to
demolition or refurbishment.</t>
  </si>
  <si>
    <t>Above Door</t>
  </si>
  <si>
    <t>As Per J134889-01</t>
  </si>
  <si>
    <t>Pathology Department</t>
  </si>
  <si>
    <t>Kitchen</t>
  </si>
  <si>
    <t>Under Sink - Sink Lining</t>
  </si>
  <si>
    <t>J169642-001-019</t>
  </si>
  <si>
    <t>VMO Accommodations</t>
  </si>
  <si>
    <t>Exterior</t>
  </si>
  <si>
    <t>Beneath Window Wall</t>
  </si>
  <si>
    <t>J169642-001-021</t>
  </si>
  <si>
    <t>Rendered and Painted Cream</t>
  </si>
  <si>
    <t>On Ground Debris</t>
  </si>
  <si>
    <t>As Per J169642-001-020</t>
  </si>
  <si>
    <t>J169642-001-020</t>
  </si>
  <si>
    <t>Adjacent Workshop Gable End</t>
  </si>
  <si>
    <t>J169642-001-018</t>
  </si>
  <si>
    <t>Porch Ceiling</t>
  </si>
  <si>
    <t>As Per 35766/11</t>
  </si>
  <si>
    <t>South Window Frames</t>
  </si>
  <si>
    <t>J169642-001-016</t>
  </si>
  <si>
    <t>North Courtyard</t>
  </si>
  <si>
    <t>Expansion Joint</t>
  </si>
  <si>
    <t>J169642-001-015</t>
  </si>
  <si>
    <t>Bathroom Adjacent Labour Ward</t>
  </si>
  <si>
    <t>Shower Cubicle - Beneath Shower Tray</t>
  </si>
  <si>
    <t>Boiler Room South</t>
  </si>
  <si>
    <t>Mezzanine Floor</t>
  </si>
  <si>
    <t>J169642-001-006</t>
  </si>
  <si>
    <t>Engage a licensed asbestos
contractor to undertake
remedial/removal works on this
item as soon as practicable (within
3 months).</t>
  </si>
  <si>
    <t>Mezzanine Floor - Plant and Equipment</t>
  </si>
  <si>
    <t>J169642-001-005</t>
  </si>
  <si>
    <t>CCSD - Entry</t>
  </si>
  <si>
    <t>East Passage</t>
  </si>
  <si>
    <t xml:space="preserve">Floor </t>
  </si>
  <si>
    <t>J169642-001-010</t>
  </si>
  <si>
    <t>Black Floor covering previously partially removed</t>
  </si>
  <si>
    <t>J169642-001-011</t>
  </si>
  <si>
    <t>Brown Loose Piece</t>
  </si>
  <si>
    <t>J169642-001-013</t>
  </si>
  <si>
    <t>J169642-001-012</t>
  </si>
  <si>
    <t>Black Attached to Brown Loose Piece</t>
  </si>
  <si>
    <t>Flamable Liquids Store</t>
  </si>
  <si>
    <t>As Per J169642-001-017</t>
  </si>
  <si>
    <t>Former Laundry</t>
  </si>
  <si>
    <t>Stored Item</t>
  </si>
  <si>
    <t>Former Laundry - External Passage</t>
  </si>
  <si>
    <t>Electrical Distribution Board</t>
  </si>
  <si>
    <t>Medical Imprest Store Room</t>
  </si>
  <si>
    <t>J169642-001-008</t>
  </si>
  <si>
    <t>Rear Exit Foyer Adjacent Medical Records</t>
  </si>
  <si>
    <t>Grey Beneath Carpet</t>
  </si>
  <si>
    <t>35766/07 35766/08X</t>
  </si>
  <si>
    <t>No Access</t>
  </si>
  <si>
    <t>South Store Room</t>
  </si>
  <si>
    <t>Store Offices</t>
  </si>
  <si>
    <t>Utility Room Adjacent Ward 10</t>
  </si>
  <si>
    <t>Under Sink Shelf</t>
  </si>
  <si>
    <t>J169642-001-014</t>
  </si>
  <si>
    <t>Ward 12</t>
  </si>
  <si>
    <t>As Per J169642-001-007</t>
  </si>
  <si>
    <t>Confirm status, label and
incorporate into an AMP. Remove
by licensed asbestos contractor
prior to demolition or
refurbishment.</t>
  </si>
  <si>
    <t>West Passage</t>
  </si>
  <si>
    <t>Adjacent CCSD Fire Door</t>
  </si>
  <si>
    <t>Infill Panels</t>
  </si>
  <si>
    <t>J169642-001-017</t>
  </si>
  <si>
    <t>Above Flue Boxing Heater</t>
  </si>
  <si>
    <t>Cubicle - Beneath Shower Tray</t>
  </si>
  <si>
    <t>Cubicle - Behind Ceramic Tile</t>
  </si>
  <si>
    <t>Multi Purpose Area  Adjacent CCSD</t>
  </si>
  <si>
    <t>J169642-001-PHOTO011.jpg</t>
  </si>
  <si>
    <t>Old Alexandra Hospital Site</t>
  </si>
  <si>
    <t>Old Alexandra Hospital</t>
  </si>
  <si>
    <t>J169642-001-PHOTO010.jpg</t>
  </si>
  <si>
    <t>J169642-001-PHOTO008.jpg</t>
  </si>
  <si>
    <t>J169642-001-PHOTO007.jpg</t>
  </si>
  <si>
    <t>J169642-001-PHOTO004.jpg</t>
  </si>
  <si>
    <t>J169642-001-PHOTO065.jpg</t>
  </si>
  <si>
    <t>J169642-001-PHOTO063.jpg</t>
  </si>
  <si>
    <t>J169642-001-PHOTO062.jpg</t>
  </si>
  <si>
    <t>J169642-001-PHOTO054.jpg</t>
  </si>
  <si>
    <t>J169642-001-PHOTO057.jpg</t>
  </si>
  <si>
    <t>J169642-001-PHOTO059.jpg J169642-001-PHOTO060.jpg</t>
  </si>
  <si>
    <t>J169642-001-PHOTO039.jpg</t>
  </si>
  <si>
    <t>J169642-001-PHOTO043.jpg</t>
  </si>
  <si>
    <t>J169642-001-PHOTO014.jpg</t>
  </si>
  <si>
    <t>J169642-001-PHOTO029.jpg</t>
  </si>
  <si>
    <t>J169642-001-PHOTO053.jpg</t>
  </si>
  <si>
    <t>J169642-001-PHOTO052.jpg</t>
  </si>
  <si>
    <t>J169642-001-PHOTO030.jpg J169642-001-PHOTO031.jpg</t>
  </si>
  <si>
    <t>J169642-001-PHOTO033.jpg</t>
  </si>
  <si>
    <t>J169642-001-PHOTO048.jpg</t>
  </si>
  <si>
    <t>J169642-001-PHOTO019.jpg</t>
  </si>
  <si>
    <t>J169642-001-PHOTO038.jpg</t>
  </si>
  <si>
    <t>J169642-001-PHOTO012.jpg</t>
  </si>
  <si>
    <t>J169642-001-PHOTO028.jpg</t>
  </si>
  <si>
    <t>J169642-001-PHOTO017.jpg</t>
  </si>
  <si>
    <t>Alexandra District Hospital</t>
  </si>
  <si>
    <t>East Passage - Linen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</si>
</sst>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4" x14ac:knownFonts="1">
    <font>
      <sz val="11"/>
      <color theme="1"/>
      <name val="Calibri"/>
      <family val="2"/>
      <scheme val="minor"/>
    </font>
    <font>
      <b/>
      <sz val="11"/>
      <color theme="1"/>
      <name val="Calibri"/>
      <family val="2"/>
      <scheme val="minor"/>
    </font>
    <font>
      <sz val="11"/>
      <color theme="1" tint="0.34998626667073579"/>
      <name val="Calibri"/>
      <family val="2"/>
      <scheme val="minor"/>
    </font>
    <font>
      <sz val="36"/>
      <color theme="1" tint="0.34998626667073579"/>
      <name val="Calibri"/>
      <family val="2"/>
      <scheme val="minor"/>
    </font>
    <font>
      <sz val="14"/>
      <color theme="1"/>
      <name val="Calibri"/>
      <family val="2"/>
      <scheme val="minor"/>
    </font>
    <font>
      <sz val="11"/>
      <color theme="1"/>
      <name val="Calibri"/>
      <family val="2"/>
      <scheme val="minor"/>
    </font>
    <font>
      <sz val="10"/>
      <name val="Arial"/>
      <family val="2"/>
    </font>
    <font>
      <sz val="7"/>
      <name val="Helv"/>
    </font>
    <font>
      <b/>
      <sz val="11"/>
      <color theme="0"/>
      <name val="Arial"/>
      <family val="2"/>
    </font>
    <font>
      <b/>
      <sz val="11"/>
      <name val="Calibri"/>
      <family val="2"/>
      <scheme val="minor"/>
    </font>
    <font>
      <sz val="11"/>
      <name val="Calibri"/>
      <family val="2"/>
      <scheme val="minor"/>
    </font>
    <font>
      <sz val="11"/>
      <color theme="0"/>
      <name val="Calibri"/>
      <family val="2"/>
      <scheme val="minor"/>
    </font>
    <font>
      <b/>
      <sz val="14"/>
      <color theme="1"/>
      <name val="Calibri"/>
      <family val="2"/>
      <scheme val="minor"/>
    </font>
    <font>
      <sz val="20"/>
      <color theme="1" tint="0.34998626667073579"/>
      <name val="Calibri"/>
      <family val="2"/>
      <scheme val="minor"/>
    </font>
    <font>
      <sz val="11"/>
      <color rgb="FFFF0000"/>
      <name val="Calibri"/>
      <family val="2"/>
      <scheme val="minor"/>
    </font>
    <font>
      <sz val="36"/>
      <color theme="1"/>
      <name val="Calibri"/>
      <family val="2"/>
      <scheme val="minor"/>
    </font>
    <font>
      <sz val="11"/>
      <color theme="1"/>
      <name val="Calibri"/>
      <family val="2"/>
    </font>
    <font>
      <sz val="8"/>
      <color theme="1"/>
      <name val="Calibri"/>
      <family val="2"/>
      <scheme val="minor"/>
    </font>
    <font>
      <sz val="10"/>
      <color theme="1"/>
      <name val="Calibri"/>
      <family val="2"/>
      <scheme val="minor"/>
    </font>
    <font>
      <b/>
      <sz val="11"/>
      <color rgb="FFFF0000"/>
      <name val="Calibri"/>
      <family val="2"/>
      <scheme val="minor"/>
    </font>
    <font>
      <b/>
      <sz val="10"/>
      <color rgb="FF00B050"/>
      <name val="Calibri"/>
      <family val="2"/>
      <scheme val="minor"/>
    </font>
    <font>
      <sz val="10"/>
      <color rgb="FF00B050"/>
      <name val="Calibri"/>
      <family val="2"/>
      <scheme val="minor"/>
    </font>
    <font>
      <i/>
      <sz val="10"/>
      <color theme="1"/>
      <name val="Calibri"/>
      <family val="2"/>
      <scheme val="minor"/>
    </font>
    <font>
      <b/>
      <sz val="10"/>
      <color rgb="FFFF0000"/>
      <name val="Calibri"/>
      <family val="2"/>
      <scheme val="minor"/>
    </font>
    <font>
      <b/>
      <sz val="10"/>
      <color theme="1"/>
      <name val="Calibri"/>
      <family val="2"/>
      <scheme val="minor"/>
    </font>
    <font>
      <b/>
      <sz val="16"/>
      <color theme="1"/>
      <name val="Calibri"/>
      <family val="2"/>
      <scheme val="minor"/>
    </font>
    <font>
      <sz val="11"/>
      <color indexed="8"/>
      <name val="Calibri"/>
      <family val="2"/>
      <scheme val="minor"/>
    </font>
    <font>
      <b/>
      <sz val="16"/>
      <name val="Arial"/>
      <family val="2"/>
    </font>
    <font>
      <b/>
      <sz val="18"/>
      <color theme="1"/>
      <name val="Calibri"/>
      <family val="2"/>
      <scheme val="minor"/>
    </font>
    <font>
      <u/>
      <sz val="11"/>
      <color theme="10"/>
      <name val="Calibri"/>
      <family val="2"/>
      <scheme val="minor"/>
    </font>
    <font>
      <b/>
      <u/>
      <sz val="11"/>
      <color theme="0"/>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20"/>
      <color theme="1"/>
      <name val="Calibri"/>
      <family val="2"/>
      <scheme val="minor"/>
    </font>
    <font>
      <sz val="14"/>
      <color theme="1"/>
      <name val="Calibri"/>
      <family val="2"/>
    </font>
    <font>
      <b/>
      <sz val="12"/>
      <color theme="1"/>
      <name val="Calibri"/>
      <family val="2"/>
      <scheme val="minor"/>
    </font>
    <font>
      <sz val="10"/>
      <name val="Calibri"/>
      <family val="2"/>
      <scheme val="minor"/>
    </font>
    <font>
      <b/>
      <sz val="10"/>
      <name val="Calibri"/>
      <family val="2"/>
      <scheme val="minor"/>
    </font>
    <font>
      <sz val="7"/>
      <color theme="1"/>
      <name val="Times New Roman"/>
      <family val="1"/>
    </font>
    <font>
      <sz val="12"/>
      <color rgb="FF000000"/>
      <name val="Calibri"/>
      <family val="2"/>
    </font>
    <font>
      <b/>
      <u/>
      <sz val="11"/>
      <color theme="1"/>
      <name val="Calibri"/>
      <family val="2"/>
      <scheme val="minor"/>
    </font>
    <font>
      <sz val="10"/>
      <color rgb="FF181818"/>
      <name val="Segoe UI"/>
      <family val="2"/>
    </font>
    <font>
      <sz val="11"/>
      <color rgb="FF181818"/>
      <name val="Segoe UI"/>
      <family val="2"/>
    </font>
  </fonts>
  <fills count="42">
    <fill>
      <patternFill patternType="none"/>
    </fill>
    <fill>
      <patternFill patternType="gray125"/>
    </fill>
    <fill>
      <patternFill patternType="solid">
        <fgColor rgb="FF1E8F80"/>
        <bgColor indexed="64"/>
      </patternFill>
    </fill>
    <fill>
      <patternFill patternType="solid">
        <fgColor rgb="FF9ABE43"/>
        <bgColor indexed="64"/>
      </patternFill>
    </fill>
    <fill>
      <patternFill patternType="solid">
        <fgColor theme="9" tint="0.7999816888943144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F00"/>
        <bgColor indexed="64"/>
      </patternFill>
    </fill>
  </fills>
  <borders count="18">
    <border>
      <left/>
      <right/>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rgb="FFD5D3D1"/>
      </left>
      <right style="thin">
        <color rgb="FFD5D3D1"/>
      </right>
      <top style="thin">
        <color rgb="FFD5D3D1"/>
      </top>
      <bottom style="thin">
        <color rgb="FFD5D3D1"/>
      </bottom>
      <diagonal/>
    </border>
  </borders>
  <cellStyleXfs count="49">
    <xf numFmtId="0" fontId="0" fillId="0" borderId="0"/>
    <xf numFmtId="0" fontId="6" fillId="0" borderId="0"/>
    <xf numFmtId="0" fontId="6" fillId="0" borderId="0"/>
    <xf numFmtId="0" fontId="7" fillId="0" borderId="0"/>
    <xf numFmtId="0" fontId="5" fillId="0" borderId="0"/>
    <xf numFmtId="0" fontId="26" fillId="0" borderId="0"/>
    <xf numFmtId="0" fontId="29" fillId="0" borderId="0" applyNumberFormat="0" applyFill="0" applyBorder="0" applyAlignment="0" applyProtection="0"/>
    <xf numFmtId="0" fontId="31" fillId="0" borderId="0" applyNumberFormat="0" applyFill="0" applyBorder="0" applyAlignment="0" applyProtection="0"/>
    <xf numFmtId="0" fontId="32" fillId="0" borderId="7" applyNumberFormat="0" applyFill="0" applyAlignment="0" applyProtection="0"/>
    <xf numFmtId="0" fontId="33" fillId="0" borderId="8" applyNumberFormat="0" applyFill="0" applyAlignment="0" applyProtection="0"/>
    <xf numFmtId="0" fontId="34" fillId="0" borderId="9" applyNumberFormat="0" applyFill="0" applyAlignment="0" applyProtection="0"/>
    <xf numFmtId="0" fontId="34" fillId="0" borderId="0" applyNumberFormat="0" applyFill="0" applyBorder="0" applyAlignment="0" applyProtection="0"/>
    <xf numFmtId="0" fontId="35" fillId="6" borderId="0" applyNumberFormat="0" applyBorder="0" applyAlignment="0" applyProtection="0"/>
    <xf numFmtId="0" fontId="36" fillId="7" borderId="0" applyNumberFormat="0" applyBorder="0" applyAlignment="0" applyProtection="0"/>
    <xf numFmtId="0" fontId="37" fillId="8" borderId="0" applyNumberFormat="0" applyBorder="0" applyAlignment="0" applyProtection="0"/>
    <xf numFmtId="0" fontId="38" fillId="9" borderId="10" applyNumberFormat="0" applyAlignment="0" applyProtection="0"/>
    <xf numFmtId="0" fontId="39" fillId="10" borderId="11" applyNumberFormat="0" applyAlignment="0" applyProtection="0"/>
    <xf numFmtId="0" fontId="40" fillId="10" borderId="10" applyNumberFormat="0" applyAlignment="0" applyProtection="0"/>
    <xf numFmtId="0" fontId="41" fillId="0" borderId="12" applyNumberFormat="0" applyFill="0" applyAlignment="0" applyProtection="0"/>
    <xf numFmtId="0" fontId="42" fillId="11" borderId="13" applyNumberFormat="0" applyAlignment="0" applyProtection="0"/>
    <xf numFmtId="0" fontId="14" fillId="0" borderId="0" applyNumberFormat="0" applyFill="0" applyBorder="0" applyAlignment="0" applyProtection="0"/>
    <xf numFmtId="0" fontId="5" fillId="12" borderId="14" applyNumberFormat="0" applyFont="0" applyAlignment="0" applyProtection="0"/>
    <xf numFmtId="0" fontId="43" fillId="0" borderId="0" applyNumberFormat="0" applyFill="0" applyBorder="0" applyAlignment="0" applyProtection="0"/>
    <xf numFmtId="0" fontId="1" fillId="0" borderId="15" applyNumberFormat="0" applyFill="0" applyAlignment="0" applyProtection="0"/>
    <xf numFmtId="0" fontId="1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11" fillId="28" borderId="0" applyNumberFormat="0" applyBorder="0" applyAlignment="0" applyProtection="0"/>
    <xf numFmtId="0" fontId="1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11" fillId="32" borderId="0" applyNumberFormat="0" applyBorder="0" applyAlignment="0" applyProtection="0"/>
    <xf numFmtId="0" fontId="11"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11" fillId="36" borderId="0" applyNumberFormat="0" applyBorder="0" applyAlignment="0" applyProtection="0"/>
    <xf numFmtId="0" fontId="5" fillId="0" borderId="0"/>
  </cellStyleXfs>
  <cellXfs count="108">
    <xf numFmtId="0" fontId="0" fillId="0" borderId="0" xfId="0"/>
    <xf numFmtId="0" fontId="1" fillId="0" borderId="0" xfId="0" applyFont="1"/>
    <xf numFmtId="0" fontId="0" fillId="0" borderId="0" xfId="0" applyAlignment="1">
      <alignment wrapText="1"/>
    </xf>
    <xf numFmtId="0" fontId="0" fillId="0" borderId="0" xfId="0" applyAlignment="1" applyProtection="1">
      <alignment wrapText="1"/>
      <protection locked="0"/>
    </xf>
    <xf numFmtId="0" fontId="4" fillId="0" borderId="0" xfId="0" applyFont="1" applyAlignment="1">
      <alignment vertical="center"/>
    </xf>
    <xf numFmtId="0" fontId="3" fillId="0" borderId="0" xfId="0" applyFont="1"/>
    <xf numFmtId="0" fontId="3" fillId="0" borderId="0" xfId="0" applyFont="1" applyAlignment="1">
      <alignment vertical="top"/>
    </xf>
    <xf numFmtId="0" fontId="2" fillId="0" borderId="0" xfId="0" applyFont="1" applyAlignment="1">
      <alignment vertical="center" wrapText="1"/>
    </xf>
    <xf numFmtId="0" fontId="8" fillId="0" borderId="0" xfId="0" applyFont="1" applyAlignment="1">
      <alignment horizontal="center" vertical="center" wrapText="1"/>
    </xf>
    <xf numFmtId="0" fontId="9" fillId="0" borderId="0" xfId="0" applyFont="1"/>
    <xf numFmtId="0" fontId="10" fillId="0" borderId="0" xfId="0" applyFont="1"/>
    <xf numFmtId="0" fontId="0" fillId="0" borderId="0" xfId="0" applyAlignment="1">
      <alignment horizontal="center" wrapText="1"/>
    </xf>
    <xf numFmtId="0" fontId="11" fillId="0" borderId="0" xfId="0" applyFont="1" applyAlignment="1">
      <alignment vertical="center" wrapText="1"/>
    </xf>
    <xf numFmtId="0" fontId="11" fillId="0" borderId="0" xfId="0" applyFont="1" applyAlignment="1">
      <alignment wrapText="1"/>
    </xf>
    <xf numFmtId="0" fontId="11" fillId="0" borderId="0" xfId="0" applyFont="1" applyAlignment="1">
      <alignment vertical="top" wrapText="1"/>
    </xf>
    <xf numFmtId="0" fontId="0" fillId="0" borderId="0" xfId="0" applyAlignment="1" applyProtection="1">
      <alignment horizontal="center" wrapText="1"/>
      <protection locked="0"/>
    </xf>
    <xf numFmtId="0" fontId="4" fillId="0" borderId="0" xfId="0" applyFont="1"/>
    <xf numFmtId="0" fontId="12" fillId="0" borderId="0" xfId="0" applyFont="1" applyAlignment="1">
      <alignment vertical="center"/>
    </xf>
    <xf numFmtId="0" fontId="12" fillId="0" borderId="0" xfId="0" applyFont="1"/>
    <xf numFmtId="0" fontId="13" fillId="0" borderId="0" xfId="0" applyFont="1" applyAlignment="1">
      <alignment horizontal="left" vertical="center" wrapText="1"/>
    </xf>
    <xf numFmtId="0" fontId="13" fillId="0" borderId="0" xfId="0" applyFont="1" applyAlignment="1">
      <alignment horizontal="left" vertical="center"/>
    </xf>
    <xf numFmtId="0" fontId="3" fillId="0" borderId="0" xfId="0" applyFont="1" applyAlignment="1">
      <alignment horizontal="center" vertical="center"/>
    </xf>
    <xf numFmtId="0" fontId="0" fillId="0" borderId="0" xfId="0" applyProtection="1">
      <protection locked="0"/>
    </xf>
    <xf numFmtId="18" fontId="0" fillId="0" borderId="0" xfId="0" applyNumberFormat="1" applyAlignment="1" applyProtection="1">
      <alignment horizontal="center" wrapText="1"/>
      <protection locked="0"/>
    </xf>
    <xf numFmtId="2" fontId="11" fillId="0" borderId="0" xfId="0" applyNumberFormat="1" applyFont="1" applyAlignment="1">
      <alignment vertical="center" wrapText="1"/>
    </xf>
    <xf numFmtId="2" fontId="11" fillId="0" borderId="0" xfId="0" applyNumberFormat="1" applyFont="1" applyAlignment="1">
      <alignment wrapText="1"/>
    </xf>
    <xf numFmtId="2" fontId="0" fillId="0" borderId="0" xfId="0" applyNumberFormat="1" applyAlignment="1" applyProtection="1">
      <alignment horizontal="center" wrapText="1"/>
      <protection locked="0"/>
    </xf>
    <xf numFmtId="2" fontId="0" fillId="0" borderId="0" xfId="0" applyNumberFormat="1" applyAlignment="1">
      <alignment horizontal="center" wrapText="1"/>
    </xf>
    <xf numFmtId="14" fontId="0" fillId="0" borderId="0" xfId="0" applyNumberFormat="1" applyAlignment="1" applyProtection="1">
      <alignment wrapText="1"/>
      <protection locked="0"/>
    </xf>
    <xf numFmtId="2" fontId="0" fillId="0" borderId="0" xfId="0" applyNumberFormat="1" applyAlignment="1" applyProtection="1">
      <alignment wrapText="1"/>
      <protection locked="0"/>
    </xf>
    <xf numFmtId="0" fontId="28" fillId="0" borderId="0" xfId="0" applyFont="1"/>
    <xf numFmtId="0" fontId="8" fillId="2" borderId="0" xfId="0" applyFont="1" applyFill="1" applyAlignment="1">
      <alignment horizontal="center" vertical="center" wrapText="1"/>
    </xf>
    <xf numFmtId="0" fontId="0" fillId="0" borderId="2" xfId="0" applyBorder="1"/>
    <xf numFmtId="0" fontId="1" fillId="0" borderId="0" xfId="0" applyFont="1" applyAlignment="1">
      <alignment horizontal="center" vertical="center"/>
    </xf>
    <xf numFmtId="0" fontId="0" fillId="0" borderId="3" xfId="0" applyBorder="1"/>
    <xf numFmtId="0" fontId="1" fillId="0" borderId="4" xfId="0" applyFont="1" applyBorder="1" applyAlignment="1">
      <alignment horizontal="center" vertical="center"/>
    </xf>
    <xf numFmtId="0" fontId="0" fillId="4" borderId="1" xfId="0" applyFill="1" applyBorder="1"/>
    <xf numFmtId="0" fontId="0" fillId="4" borderId="2" xfId="0" applyFill="1" applyBorder="1"/>
    <xf numFmtId="0" fontId="1" fillId="0" borderId="0" xfId="0" applyFont="1" applyAlignment="1">
      <alignment vertical="top" wrapText="1"/>
    </xf>
    <xf numFmtId="0" fontId="1" fillId="0" borderId="0" xfId="0" applyFont="1" applyAlignment="1">
      <alignment vertical="top"/>
    </xf>
    <xf numFmtId="14" fontId="0" fillId="0" borderId="0" xfId="0" applyNumberFormat="1" applyAlignment="1" applyProtection="1">
      <alignment horizontal="center" wrapText="1"/>
      <protection locked="0"/>
    </xf>
    <xf numFmtId="0" fontId="30" fillId="2" borderId="0" xfId="6" applyFont="1" applyFill="1" applyAlignment="1" applyProtection="1">
      <alignment horizontal="center" vertical="center" wrapText="1"/>
    </xf>
    <xf numFmtId="0" fontId="30" fillId="3" borderId="0" xfId="6" applyFont="1" applyFill="1" applyAlignment="1" applyProtection="1">
      <alignment horizontal="center" vertical="center" wrapText="1"/>
    </xf>
    <xf numFmtId="2" fontId="30" fillId="3" borderId="0" xfId="6" applyNumberFormat="1" applyFont="1" applyFill="1" applyAlignment="1" applyProtection="1">
      <alignment horizontal="center" vertical="center" wrapText="1"/>
    </xf>
    <xf numFmtId="0" fontId="0" fillId="4" borderId="5" xfId="0" applyFill="1" applyBorder="1"/>
    <xf numFmtId="0" fontId="0" fillId="4" borderId="0" xfId="0" applyFill="1"/>
    <xf numFmtId="0" fontId="1" fillId="0" borderId="6" xfId="0" applyFont="1" applyBorder="1" applyAlignment="1">
      <alignment horizontal="center" vertical="center"/>
    </xf>
    <xf numFmtId="0" fontId="4" fillId="0" borderId="0" xfId="48" applyFont="1" applyAlignment="1">
      <alignment wrapText="1"/>
    </xf>
    <xf numFmtId="0" fontId="44" fillId="0" borderId="0" xfId="48" applyFont="1" applyAlignment="1">
      <alignment horizontal="center" vertical="center" wrapText="1"/>
    </xf>
    <xf numFmtId="0" fontId="12" fillId="0" borderId="0" xfId="48" applyFont="1" applyAlignment="1">
      <alignment horizontal="center" vertical="center" wrapText="1"/>
    </xf>
    <xf numFmtId="0" fontId="45" fillId="0" borderId="0" xfId="0" applyFont="1" applyAlignment="1">
      <alignment wrapText="1"/>
    </xf>
    <xf numFmtId="0" fontId="46" fillId="37" borderId="16" xfId="48" applyFont="1" applyFill="1" applyBorder="1" applyAlignment="1">
      <alignment horizontal="center" vertical="center" wrapText="1"/>
    </xf>
    <xf numFmtId="0" fontId="46" fillId="37" borderId="16" xfId="48" applyFont="1" applyFill="1" applyBorder="1" applyAlignment="1">
      <alignment horizontal="left" vertical="center" wrapText="1"/>
    </xf>
    <xf numFmtId="0" fontId="15" fillId="0" borderId="0" xfId="48" applyFont="1" applyAlignment="1">
      <alignment horizontal="left" wrapText="1"/>
    </xf>
    <xf numFmtId="0" fontId="15" fillId="0" borderId="0" xfId="48" applyFont="1" applyAlignment="1">
      <alignment wrapText="1"/>
    </xf>
    <xf numFmtId="0" fontId="8" fillId="3" borderId="16" xfId="48" applyFont="1" applyFill="1" applyBorder="1" applyAlignment="1">
      <alignment horizontal="center" vertical="center" wrapText="1"/>
    </xf>
    <xf numFmtId="0" fontId="5" fillId="0" borderId="16" xfId="48" applyBorder="1" applyAlignment="1">
      <alignment vertical="center" wrapText="1"/>
    </xf>
    <xf numFmtId="0" fontId="5" fillId="0" borderId="0" xfId="48" applyAlignment="1">
      <alignment wrapText="1"/>
    </xf>
    <xf numFmtId="0" fontId="5" fillId="0" borderId="16" xfId="48" applyBorder="1" applyAlignment="1">
      <alignment horizontal="left" vertical="center" wrapText="1"/>
    </xf>
    <xf numFmtId="0" fontId="14" fillId="0" borderId="0" xfId="48" applyFont="1" applyAlignment="1">
      <alignment wrapText="1"/>
    </xf>
    <xf numFmtId="0" fontId="0" fillId="0" borderId="16" xfId="48" applyFont="1" applyBorder="1" applyAlignment="1">
      <alignment vertical="center" wrapText="1"/>
    </xf>
    <xf numFmtId="0" fontId="16" fillId="0" borderId="16" xfId="48" applyFont="1" applyBorder="1" applyAlignment="1">
      <alignment vertical="center" wrapText="1"/>
    </xf>
    <xf numFmtId="2" fontId="8" fillId="3" borderId="16" xfId="48" applyNumberFormat="1" applyFont="1" applyFill="1" applyBorder="1" applyAlignment="1">
      <alignment horizontal="center" vertical="center" wrapText="1"/>
    </xf>
    <xf numFmtId="0" fontId="8" fillId="2" borderId="16" xfId="48" applyFont="1" applyFill="1" applyBorder="1" applyAlignment="1">
      <alignment horizontal="center" vertical="center" wrapText="1"/>
    </xf>
    <xf numFmtId="0" fontId="5" fillId="5" borderId="16" xfId="48" applyFill="1" applyBorder="1" applyAlignment="1">
      <alignment vertical="center" wrapText="1"/>
    </xf>
    <xf numFmtId="0" fontId="19" fillId="5" borderId="0" xfId="48" applyFont="1" applyFill="1" applyAlignment="1">
      <alignment wrapText="1"/>
    </xf>
    <xf numFmtId="0" fontId="5" fillId="5" borderId="0" xfId="48" applyFill="1" applyAlignment="1">
      <alignment wrapText="1"/>
    </xf>
    <xf numFmtId="0" fontId="5" fillId="0" borderId="16" xfId="48" applyBorder="1" applyAlignment="1">
      <alignment vertical="top" wrapText="1"/>
    </xf>
    <xf numFmtId="0" fontId="10" fillId="0" borderId="16" xfId="48" applyFont="1" applyBorder="1" applyAlignment="1">
      <alignment vertical="center" wrapText="1"/>
    </xf>
    <xf numFmtId="0" fontId="5" fillId="0" borderId="0" xfId="48" applyAlignment="1">
      <alignment horizontal="center" wrapText="1"/>
    </xf>
    <xf numFmtId="0" fontId="27" fillId="5" borderId="0" xfId="48" applyFont="1" applyFill="1" applyAlignment="1">
      <alignment horizontal="left" vertical="center" wrapText="1"/>
    </xf>
    <xf numFmtId="0" fontId="5" fillId="5" borderId="0" xfId="48" applyFill="1" applyAlignment="1">
      <alignment vertical="center" wrapText="1"/>
    </xf>
    <xf numFmtId="0" fontId="20" fillId="0" borderId="0" xfId="48" applyFont="1" applyAlignment="1">
      <alignment vertical="center" wrapText="1"/>
    </xf>
    <xf numFmtId="0" fontId="18" fillId="0" borderId="0" xfId="48" applyFont="1" applyAlignment="1">
      <alignment vertical="center" wrapText="1"/>
    </xf>
    <xf numFmtId="0" fontId="23" fillId="0" borderId="0" xfId="48" applyFont="1" applyAlignment="1">
      <alignment vertical="center" wrapText="1"/>
    </xf>
    <xf numFmtId="0" fontId="47" fillId="0" borderId="0" xfId="48" applyFont="1" applyAlignment="1">
      <alignment vertical="center" wrapText="1"/>
    </xf>
    <xf numFmtId="0" fontId="25" fillId="0" borderId="0" xfId="48" applyFont="1" applyAlignment="1">
      <alignment horizontal="left" vertical="center" wrapText="1"/>
    </xf>
    <xf numFmtId="0" fontId="18" fillId="0" borderId="0" xfId="48" applyFont="1" applyAlignment="1">
      <alignment horizontal="left" vertical="center" wrapText="1"/>
    </xf>
    <xf numFmtId="0" fontId="0" fillId="0" borderId="0" xfId="0" applyAlignment="1">
      <alignment horizontal="left" wrapText="1"/>
    </xf>
    <xf numFmtId="0" fontId="14" fillId="0" borderId="0" xfId="0" applyFont="1" applyAlignment="1">
      <alignment wrapText="1"/>
    </xf>
    <xf numFmtId="0" fontId="1" fillId="38" borderId="0" xfId="0" applyFont="1" applyFill="1"/>
    <xf numFmtId="0" fontId="1" fillId="38" borderId="16" xfId="0" applyFont="1" applyFill="1" applyBorder="1" applyAlignment="1">
      <alignment horizontal="center"/>
    </xf>
    <xf numFmtId="0" fontId="0" fillId="0" borderId="16" xfId="0" applyBorder="1" applyAlignment="1">
      <alignment horizontal="center"/>
    </xf>
    <xf numFmtId="0" fontId="0" fillId="0" borderId="0" xfId="0" applyAlignment="1">
      <alignment horizontal="center"/>
    </xf>
    <xf numFmtId="0" fontId="0" fillId="0" borderId="0" xfId="0" applyAlignment="1">
      <alignment vertical="top" wrapText="1"/>
    </xf>
    <xf numFmtId="0" fontId="0" fillId="0" borderId="0" xfId="0" applyAlignment="1">
      <alignment vertical="top"/>
    </xf>
    <xf numFmtId="0" fontId="10" fillId="0" borderId="0" xfId="0" applyFont="1" applyAlignment="1">
      <alignment vertical="top" wrapText="1"/>
    </xf>
    <xf numFmtId="0" fontId="50" fillId="0" borderId="0" xfId="0" applyFont="1" applyAlignment="1">
      <alignment horizontal="left"/>
    </xf>
    <xf numFmtId="0" fontId="50" fillId="0" borderId="17" xfId="0" applyFont="1" applyBorder="1" applyAlignment="1">
      <alignment horizontal="left"/>
    </xf>
    <xf numFmtId="0" fontId="0" fillId="0" borderId="16" xfId="48" applyFont="1" applyBorder="1" applyAlignment="1">
      <alignment horizontal="left" vertical="center" wrapText="1"/>
    </xf>
    <xf numFmtId="49" fontId="0" fillId="0" borderId="0" xfId="0" applyNumberFormat="1"/>
    <xf numFmtId="0" fontId="0" fillId="39" borderId="0" xfId="0" applyFill="1"/>
    <xf numFmtId="0" fontId="0" fillId="40" borderId="0" xfId="0" applyFill="1"/>
    <xf numFmtId="49" fontId="0" fillId="0" borderId="0" xfId="0" applyNumberFormat="1" applyAlignment="1" applyProtection="1">
      <alignment wrapText="1"/>
      <protection locked="0"/>
    </xf>
    <xf numFmtId="49" fontId="0" fillId="0" borderId="0" xfId="0" applyNumberFormat="1" applyAlignment="1">
      <alignment wrapText="1"/>
    </xf>
    <xf numFmtId="49" fontId="0" fillId="0" borderId="0" xfId="0" applyNumberFormat="1" applyAlignment="1" applyProtection="1">
      <alignment horizontal="center" wrapText="1"/>
      <protection locked="0"/>
    </xf>
    <xf numFmtId="49" fontId="0" fillId="0" borderId="0" xfId="0" applyNumberFormat="1" applyAlignment="1">
      <alignment horizontal="center" wrapText="1"/>
    </xf>
    <xf numFmtId="0" fontId="0" fillId="5" borderId="0" xfId="48" applyFont="1" applyFill="1" applyAlignment="1">
      <alignment vertical="center" wrapText="1"/>
    </xf>
    <xf numFmtId="0" fontId="52" fillId="0" borderId="0" xfId="0" applyFont="1" applyProtection="1">
      <protection locked="0"/>
    </xf>
    <xf numFmtId="0" fontId="53" fillId="0" borderId="0" xfId="0" applyFont="1" applyAlignment="1" applyProtection="1">
      <alignment horizontal="center"/>
      <protection locked="0"/>
    </xf>
    <xf numFmtId="0" fontId="2" fillId="0" borderId="0" xfId="0" applyFont="1" applyAlignment="1">
      <alignment vertical="center"/>
    </xf>
    <xf numFmtId="0" fontId="30" fillId="2" borderId="0" xfId="6" applyFont="1" applyFill="1" applyAlignment="1" applyProtection="1">
      <alignment horizontal="center" vertical="center"/>
    </xf>
    <xf numFmtId="0" fontId="0" fillId="41" borderId="0" xfId="0" applyFill="1" applyAlignment="1" applyProtection="1">
      <alignment horizontal="center" wrapText="1"/>
      <protection locked="0"/>
    </xf>
    <xf numFmtId="49" fontId="0" fillId="41" borderId="0" xfId="0" applyNumberFormat="1" applyFill="1" applyAlignment="1" applyProtection="1">
      <alignment horizontal="center" wrapText="1"/>
      <protection locked="0"/>
    </xf>
    <xf numFmtId="0" fontId="2" fillId="0" borderId="0" xfId="0" applyFont="1" applyAlignment="1">
      <alignment horizontal="center" vertical="center" wrapText="1"/>
    </xf>
    <xf numFmtId="0" fontId="3" fillId="0" borderId="0" xfId="0" applyFont="1" applyAlignment="1">
      <alignment horizontal="center" vertical="center"/>
    </xf>
    <xf numFmtId="0" fontId="25" fillId="0" borderId="0" xfId="0" applyFont="1" applyAlignment="1">
      <alignment horizontal="center" vertical="center"/>
    </xf>
    <xf numFmtId="0" fontId="28" fillId="0" borderId="0" xfId="0" applyFont="1" applyAlignment="1">
      <alignment horizontal="center" vertical="center"/>
    </xf>
  </cellXfs>
  <cellStyles count="49">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3" builtinId="27" customBuiltin="1"/>
    <cellStyle name="Calculation" xfId="17" builtinId="22" customBuiltin="1"/>
    <cellStyle name="Check Cell" xfId="19" builtinId="23" customBuiltin="1"/>
    <cellStyle name="Explanatory Text" xfId="22"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6" builtinId="8"/>
    <cellStyle name="Input" xfId="15" builtinId="20" customBuiltin="1"/>
    <cellStyle name="Linked Cell" xfId="18" builtinId="24" customBuiltin="1"/>
    <cellStyle name="Neutral" xfId="14" builtinId="28" customBuiltin="1"/>
    <cellStyle name="Normal" xfId="0" builtinId="0"/>
    <cellStyle name="Normal 2" xfId="3" xr:uid="{00000000-0005-0000-0000-000026000000}"/>
    <cellStyle name="Normal 2 2" xfId="1" xr:uid="{00000000-0005-0000-0000-000027000000}"/>
    <cellStyle name="Normal 2 3" xfId="4" xr:uid="{00000000-0005-0000-0000-000028000000}"/>
    <cellStyle name="Normal 2 4" xfId="2" xr:uid="{00000000-0005-0000-0000-000029000000}"/>
    <cellStyle name="Normal 2 5" xfId="5" xr:uid="{00000000-0005-0000-0000-00002A000000}"/>
    <cellStyle name="Normal 4" xfId="48" xr:uid="{00000000-0005-0000-0000-00002B000000}"/>
    <cellStyle name="Note" xfId="21" builtinId="10" customBuiltin="1"/>
    <cellStyle name="Output" xfId="16" builtinId="21" customBuiltin="1"/>
    <cellStyle name="Title" xfId="7" builtinId="15" customBuiltin="1"/>
    <cellStyle name="Total" xfId="23" builtinId="25" customBuiltin="1"/>
    <cellStyle name="Warning Text" xfId="20" builtinId="11" customBuiltin="1"/>
  </cellStyles>
  <dxfs count="1722">
    <dxf>
      <font>
        <color rgb="FF9C0006"/>
      </font>
      <fill>
        <patternFill>
          <bgColor rgb="FFFFC7CE"/>
        </patternFill>
      </fill>
    </dxf>
    <dxf>
      <font>
        <color rgb="FF9C0006"/>
      </font>
      <fill>
        <patternFill>
          <bgColor rgb="FFFFC7CE"/>
        </patternFill>
      </fill>
    </dxf>
    <dxf>
      <alignment horizontal="general" vertical="bottom" textRotation="0" wrapText="0" indent="0" justifyLastLine="0" shrinkToFit="0" readingOrder="0"/>
    </dxf>
    <dxf>
      <border outline="0">
        <left style="medium">
          <color indexed="64"/>
        </left>
        <right style="medium">
          <color indexed="64"/>
        </right>
        <top style="medium">
          <color indexed="64"/>
        </top>
        <bottom style="medium">
          <color indexed="64"/>
        </bottom>
      </border>
    </dxf>
    <dxf>
      <alignment horizontal="general"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1E8F80"/>
      <color rgb="FF0070C0"/>
      <color rgb="FF9ABE4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1590675</xdr:colOff>
      <xdr:row>1</xdr:row>
      <xdr:rowOff>542925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76200"/>
          <a:ext cx="2571750" cy="1162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861319</xdr:colOff>
      <xdr:row>0</xdr:row>
      <xdr:rowOff>139054</xdr:rowOff>
    </xdr:from>
    <xdr:to>
      <xdr:col>1</xdr:col>
      <xdr:colOff>1675535</xdr:colOff>
      <xdr:row>1</xdr:row>
      <xdr:rowOff>19511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1319" y="139054"/>
          <a:ext cx="1805682" cy="8502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133350</xdr:colOff>
      <xdr:row>0</xdr:row>
      <xdr:rowOff>166688</xdr:rowOff>
    </xdr:from>
    <xdr:to>
      <xdr:col>0</xdr:col>
      <xdr:colOff>1094167</xdr:colOff>
      <xdr:row>0</xdr:row>
      <xdr:rowOff>619126</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0" y="166688"/>
          <a:ext cx="960817" cy="452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0</xdr:col>
      <xdr:colOff>2081213</xdr:colOff>
      <xdr:row>3</xdr:row>
      <xdr:rowOff>5989</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0" y="38100"/>
          <a:ext cx="2195513" cy="6727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180975</xdr:colOff>
      <xdr:row>0</xdr:row>
      <xdr:rowOff>672739</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85725" y="0"/>
          <a:ext cx="2343150" cy="672739"/>
        </a:xfrm>
        <a:prstGeom prst="rect">
          <a:avLst/>
        </a:prstGeom>
      </xdr:spPr>
    </xdr:pic>
    <xdr:clientData/>
  </xdr:twoCellAnchor>
  <xdr:twoCellAnchor editAs="oneCell">
    <xdr:from>
      <xdr:col>0</xdr:col>
      <xdr:colOff>0</xdr:colOff>
      <xdr:row>0</xdr:row>
      <xdr:rowOff>0</xdr:rowOff>
    </xdr:from>
    <xdr:to>
      <xdr:col>1</xdr:col>
      <xdr:colOff>890587</xdr:colOff>
      <xdr:row>0</xdr:row>
      <xdr:rowOff>953941</xdr:rowOff>
    </xdr:to>
    <xdr:pic>
      <xdr:nvPicPr>
        <xdr:cNvPr id="4" name="Picture 3">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0" y="0"/>
          <a:ext cx="3133725" cy="954501"/>
        </a:xfrm>
        <a:prstGeom prst="rect">
          <a:avLst/>
        </a:prstGeom>
      </xdr:spPr>
    </xdr:pic>
    <xdr:clientData/>
  </xdr:twoCellAnchor>
  <xdr:twoCellAnchor editAs="oneCell">
    <xdr:from>
      <xdr:col>0</xdr:col>
      <xdr:colOff>0</xdr:colOff>
      <xdr:row>0</xdr:row>
      <xdr:rowOff>0</xdr:rowOff>
    </xdr:from>
    <xdr:to>
      <xdr:col>1</xdr:col>
      <xdr:colOff>890587</xdr:colOff>
      <xdr:row>0</xdr:row>
      <xdr:rowOff>954501</xdr:rowOff>
    </xdr:to>
    <xdr:pic>
      <xdr:nvPicPr>
        <xdr:cNvPr id="5" name="Picture 4">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0" y="0"/>
          <a:ext cx="3133725" cy="9545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242888</xdr:colOff>
      <xdr:row>0</xdr:row>
      <xdr:rowOff>714374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0" y="0"/>
          <a:ext cx="2481263" cy="71437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0</xdr:col>
      <xdr:colOff>1881189</xdr:colOff>
      <xdr:row>0</xdr:row>
      <xdr:rowOff>552450</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 y="0"/>
          <a:ext cx="1881188" cy="5524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VAEA\Team\Operations%20team\AIRSystem\Data%20Entry\Data%20entered%20by%20OV\Alexandra%20District%20Health\Alexandra%20DH_Bar2_OV_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te Depts"/>
      <sheetName val="Building Classifications"/>
    </sheet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1:A5" totalsRowShown="0">
  <autoFilter ref="A1:A5" xr:uid="{00000000-0009-0000-0100-000004000000}"/>
  <tableColumns count="1">
    <tableColumn id="1" xr3:uid="{00000000-0010-0000-0000-000001000000}" name="Construction Typ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1:B6" totalsRowShown="0">
  <autoFilter ref="B1:B6" xr:uid="{00000000-0009-0000-0100-000005000000}"/>
  <tableColumns count="1">
    <tableColumn id="1" xr3:uid="{00000000-0010-0000-0100-000001000000}" name="Roof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2:A64" totalsRowShown="0" headerRowDxfId="6" dataDxfId="4" headerRowBorderDxfId="5" tableBorderDxfId="3">
  <autoFilter ref="A2:A64" xr:uid="{00000000-0009-0000-0100-000002000000}"/>
  <tableColumns count="1">
    <tableColumn id="1" xr3:uid="{00000000-0010-0000-0200-000001000000}" name="Registered Company Name" dataDxfId="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A1:DPB648" totalsRowShown="0">
  <tableColumns count="3122">
    <tableColumn id="3" xr3:uid="{00000000-0010-0000-0300-000003000000}" name="Abbeyard"/>
    <tableColumn id="4" xr3:uid="{00000000-0010-0000-0300-000004000000}" name="Abbotsford"/>
    <tableColumn id="5" xr3:uid="{00000000-0010-0000-0300-000005000000}" name="Aberfeldie"/>
    <tableColumn id="6" xr3:uid="{00000000-0010-0000-0300-000006000000}" name="Aberfeldy"/>
    <tableColumn id="7" xr3:uid="{00000000-0010-0000-0300-000007000000}" name="Acheron"/>
    <tableColumn id="8" xr3:uid="{00000000-0010-0000-0300-000008000000}" name="Ada"/>
    <tableColumn id="9" xr3:uid="{00000000-0010-0000-0300-000009000000}" name="Adams Estate"/>
    <tableColumn id="10" xr3:uid="{00000000-0010-0000-0300-00000A000000}" name="Addington"/>
    <tableColumn id="11" xr3:uid="{00000000-0010-0000-0300-00000B000000}" name="Adelaide Lead"/>
    <tableColumn id="12" xr3:uid="{00000000-0010-0000-0300-00000C000000}" name="Agnes"/>
    <tableColumn id="13" xr3:uid="{00000000-0010-0000-0300-00000D000000}" name="Aire Valley"/>
    <tableColumn id="14" xr3:uid="{00000000-0010-0000-0300-00000E000000}" name="Aireys Inlet"/>
    <tableColumn id="15" xr3:uid="{00000000-0010-0000-0300-00000F000000}" name="Airly"/>
    <tableColumn id="16" xr3:uid="{00000000-0010-0000-0300-000010000000}" name="Airport West"/>
    <tableColumn id="17" xr3:uid="{00000000-0010-0000-0300-000011000000}" name="Albacutya"/>
    <tableColumn id="18" xr3:uid="{00000000-0010-0000-0300-000012000000}" name="Albanvale"/>
    <tableColumn id="19" xr3:uid="{00000000-0010-0000-0300-000013000000}" name="Albert Park"/>
    <tableColumn id="20" xr3:uid="{00000000-0010-0000-0300-000014000000}" name="Alberton"/>
    <tableColumn id="21" xr3:uid="{00000000-0010-0000-0300-000015000000}" name="Alberton West"/>
    <tableColumn id="22" xr3:uid="{00000000-0010-0000-0300-000016000000}" name="Albion"/>
    <tableColumn id="23" xr3:uid="{00000000-0010-0000-0300-000017000000}" name="Alexandra"/>
    <tableColumn id="24" xr3:uid="{00000000-0010-0000-0300-000018000000}" name="Alfredton"/>
    <tableColumn id="25" xr3:uid="{00000000-0010-0000-0300-000019000000}" name="Allambee"/>
    <tableColumn id="26" xr3:uid="{00000000-0010-0000-0300-00001A000000}" name="Allambee Reserve"/>
    <tableColumn id="27" xr3:uid="{00000000-0010-0000-0300-00001B000000}" name="Allambee South"/>
    <tableColumn id="28" xr3:uid="{00000000-0010-0000-0300-00001C000000}" name="Allans Flat"/>
    <tableColumn id="29" xr3:uid="{00000000-0010-0000-0300-00001D000000}" name="Allansford"/>
    <tableColumn id="30" xr3:uid="{00000000-0010-0000-0300-00001E000000}" name="Allendale"/>
    <tableColumn id="31" xr3:uid="{00000000-0010-0000-0300-00001F000000}" name="Allestree"/>
    <tableColumn id="32" xr3:uid="{00000000-0010-0000-0300-000020000000}" name="Alma"/>
    <tableColumn id="33" xr3:uid="{00000000-0010-0000-0300-000021000000}" name="Almonds"/>
    <tableColumn id="34" xr3:uid="{00000000-0010-0000-0300-000022000000}" name="Almurta"/>
    <tableColumn id="35" xr3:uid="{00000000-0010-0000-0300-000023000000}" name="Alphington"/>
    <tableColumn id="36" xr3:uid="{00000000-0010-0000-0300-000024000000}" name="Altona"/>
    <tableColumn id="37" xr3:uid="{00000000-0010-0000-0300-000025000000}" name="Altona East"/>
    <tableColumn id="38" xr3:uid="{00000000-0010-0000-0300-000026000000}" name="Altona Gate"/>
    <tableColumn id="39" xr3:uid="{00000000-0010-0000-0300-000027000000}" name="Altona Meadows"/>
    <tableColumn id="40" xr3:uid="{00000000-0010-0000-0300-000028000000}" name="Altona North"/>
    <tableColumn id="41" xr3:uid="{00000000-0010-0000-0300-000029000000}" name="Alvie"/>
    <tableColumn id="42" xr3:uid="{00000000-0010-0000-0300-00002A000000}" name="Amherst"/>
    <tableColumn id="43" xr3:uid="{00000000-0010-0000-0300-00002B000000}" name="Amor"/>
    <tableColumn id="44" xr3:uid="{00000000-0010-0000-0300-00002C000000}" name="Amphitheatre"/>
    <tableColumn id="45" xr3:uid="{00000000-0010-0000-0300-00002D000000}" name="Anakie"/>
    <tableColumn id="46" xr3:uid="{00000000-0010-0000-0300-00002E000000}" name="Ancona"/>
    <tableColumn id="47" xr3:uid="{00000000-0010-0000-0300-00002F000000}" name="Anderson"/>
    <tableColumn id="48" xr3:uid="{00000000-0010-0000-0300-000030000000}" name="Anglers Rest"/>
    <tableColumn id="49" xr3:uid="{00000000-0010-0000-0300-000031000000}" name="Anglesea"/>
    <tableColumn id="50" xr3:uid="{00000000-0010-0000-0300-000032000000}" name="Annuello"/>
    <tableColumn id="51" xr3:uid="{00000000-0010-0000-0300-000033000000}" name="Antwerp"/>
    <tableColumn id="52" xr3:uid="{00000000-0010-0000-0300-000034000000}" name="Apollo Bay"/>
    <tableColumn id="53" xr3:uid="{00000000-0010-0000-0300-000035000000}" name="Appin"/>
    <tableColumn id="54" xr3:uid="{00000000-0010-0000-0300-000036000000}" name="Appin South"/>
    <tableColumn id="55" xr3:uid="{00000000-0010-0000-0300-000037000000}" name="Apsley"/>
    <tableColumn id="56" xr3:uid="{00000000-0010-0000-0300-000038000000}" name="Arapiles"/>
    <tableColumn id="57" xr3:uid="{00000000-0010-0000-0300-000039000000}" name="Ararat"/>
    <tableColumn id="58" xr3:uid="{00000000-0010-0000-0300-00003A000000}" name="Arawata"/>
    <tableColumn id="59" xr3:uid="{00000000-0010-0000-0300-00003B000000}" name="Arbuckle"/>
    <tableColumn id="60" xr3:uid="{00000000-0010-0000-0300-00003C000000}" name="Arcadia"/>
    <tableColumn id="61" xr3:uid="{00000000-0010-0000-0300-00003D000000}" name="Arcadia South"/>
    <tableColumn id="62" xr3:uid="{00000000-0010-0000-0300-00003E000000}" name="Archdale"/>
    <tableColumn id="63" xr3:uid="{00000000-0010-0000-0300-00003F000000}" name="Archdale Junction"/>
    <tableColumn id="64" xr3:uid="{00000000-0010-0000-0300-000040000000}" name="Archerton"/>
    <tableColumn id="65" xr3:uid="{00000000-0010-0000-0300-000041000000}" name="Archies Creek"/>
    <tableColumn id="66" xr3:uid="{00000000-0010-0000-0300-000042000000}" name="Ardeer"/>
    <tableColumn id="67" xr3:uid="{00000000-0010-0000-0300-000043000000}" name="Ardmona"/>
    <tableColumn id="68" xr3:uid="{00000000-0010-0000-0300-000044000000}" name="Areegra"/>
    <tableColumn id="69" xr3:uid="{00000000-0010-0000-0300-000045000000}" name="Argyle"/>
    <tableColumn id="70" xr3:uid="{00000000-0010-0000-0300-000046000000}" name="Armadale"/>
    <tableColumn id="71" xr3:uid="{00000000-0010-0000-0300-000047000000}" name="Armadale North"/>
    <tableColumn id="72" xr3:uid="{00000000-0010-0000-0300-000048000000}" name="Armstrong"/>
    <tableColumn id="73" xr3:uid="{00000000-0010-0000-0300-000049000000}" name="Armstrong Creek"/>
    <tableColumn id="74" xr3:uid="{00000000-0010-0000-0300-00004A000000}" name="Arnold"/>
    <tableColumn id="75" xr3:uid="{00000000-0010-0000-0300-00004B000000}" name="Arnold West"/>
    <tableColumn id="76" xr3:uid="{00000000-0010-0000-0300-00004C000000}" name="Arthurs Creek"/>
    <tableColumn id="77" xr3:uid="{00000000-0010-0000-0300-00004D000000}" name="Arthurs Seat"/>
    <tableColumn id="78" xr3:uid="{00000000-0010-0000-0300-00004E000000}" name="Ascot"/>
    <tableColumn id="79" xr3:uid="{00000000-0010-0000-0300-00004F000000}" name="Ascot Vale"/>
    <tableColumn id="80" xr3:uid="{00000000-0010-0000-0300-000050000000}" name="Ashbourne"/>
    <tableColumn id="81" xr3:uid="{00000000-0010-0000-0300-000051000000}" name="Ashburton"/>
    <tableColumn id="82" xr3:uid="{00000000-0010-0000-0300-000052000000}" name="Ashwood"/>
    <tableColumn id="83" xr3:uid="{00000000-0010-0000-0300-000053000000}" name="Aspendale"/>
    <tableColumn id="84" xr3:uid="{00000000-0010-0000-0300-000054000000}" name="Aspendale Gardens"/>
    <tableColumn id="85" xr3:uid="{00000000-0010-0000-0300-000055000000}" name="Athlone"/>
    <tableColumn id="86" xr3:uid="{00000000-0010-0000-0300-000056000000}" name="Attwood"/>
    <tableColumn id="87" xr3:uid="{00000000-0010-0000-0300-000057000000}" name="Aubrey"/>
    <tableColumn id="88" xr3:uid="{00000000-0010-0000-0300-000058000000}" name="Auburn"/>
    <tableColumn id="89" xr3:uid="{00000000-0010-0000-0300-000059000000}" name="Auburn South"/>
    <tableColumn id="90" xr3:uid="{00000000-0010-0000-0300-00005A000000}" name="Auchmore"/>
    <tableColumn id="91" xr3:uid="{00000000-0010-0000-0300-00005B000000}" name="Avalon"/>
    <tableColumn id="92" xr3:uid="{00000000-0010-0000-0300-00005C000000}" name="Avenel"/>
    <tableColumn id="93" xr3:uid="{00000000-0010-0000-0300-00005D000000}" name="Avoca"/>
    <tableColumn id="94" xr3:uid="{00000000-0010-0000-0300-00005E000000}" name="Avon Plains"/>
    <tableColumn id="95" xr3:uid="{00000000-0010-0000-0300-00005F000000}" name="Avondale Heights"/>
    <tableColumn id="96" xr3:uid="{00000000-0010-0000-0300-000060000000}" name="Avonmore"/>
    <tableColumn id="97" xr3:uid="{00000000-0010-0000-0300-000061000000}" name="Avonsleigh"/>
    <tableColumn id="98" xr3:uid="{00000000-0010-0000-0300-000062000000}" name="Axe Creek"/>
    <tableColumn id="99" xr3:uid="{00000000-0010-0000-0300-000063000000}" name="Axedale"/>
    <tableColumn id="100" xr3:uid="{00000000-0010-0000-0300-000064000000}" name="Ayrford"/>
    <tableColumn id="101" xr3:uid="{00000000-0010-0000-0300-000065000000}" name="Bacchus Marsh"/>
    <tableColumn id="102" xr3:uid="{00000000-0010-0000-0300-000066000000}" name="Baddaginnie"/>
    <tableColumn id="103" xr3:uid="{00000000-0010-0000-0300-000067000000}" name="Badger Creek"/>
    <tableColumn id="104" xr3:uid="{00000000-0010-0000-0300-000068000000}" name="Bael Bael"/>
    <tableColumn id="105" xr3:uid="{00000000-0010-0000-0300-000069000000}" name="Bagshot"/>
    <tableColumn id="106" xr3:uid="{00000000-0010-0000-0300-00006A000000}" name="Bagshot North"/>
    <tableColumn id="107" xr3:uid="{00000000-0010-0000-0300-00006B000000}" name="Bahgallah"/>
    <tableColumn id="108" xr3:uid="{00000000-0010-0000-0300-00006C000000}" name="Bailieston"/>
    <tableColumn id="109" xr3:uid="{00000000-0010-0000-0300-00006D000000}" name="Bairnsdale"/>
    <tableColumn id="110" xr3:uid="{00000000-0010-0000-0300-00006E000000}" name="Bakery Hill"/>
    <tableColumn id="111" xr3:uid="{00000000-0010-0000-0300-00006F000000}" name="Balaclava"/>
    <tableColumn id="112" xr3:uid="{00000000-0010-0000-0300-000070000000}" name="Bald Hills"/>
    <tableColumn id="113" xr3:uid="{00000000-0010-0000-0300-000071000000}" name="Balintore"/>
    <tableColumn id="114" xr3:uid="{00000000-0010-0000-0300-000072000000}" name="Ballan"/>
    <tableColumn id="115" xr3:uid="{00000000-0010-0000-0300-000073000000}" name="Ballangeich"/>
    <tableColumn id="116" xr3:uid="{00000000-0010-0000-0300-000074000000}" name="Ballapur"/>
    <tableColumn id="117" xr3:uid="{00000000-0010-0000-0300-000075000000}" name="Ballarat"/>
    <tableColumn id="118" xr3:uid="{00000000-0010-0000-0300-000076000000}" name="Ballarat Central"/>
    <tableColumn id="119" xr3:uid="{00000000-0010-0000-0300-000077000000}" name="Ballarat East"/>
    <tableColumn id="120" xr3:uid="{00000000-0010-0000-0300-000078000000}" name="Ballarat North"/>
    <tableColumn id="121" xr3:uid="{00000000-0010-0000-0300-000079000000}" name="Ballarat West"/>
    <tableColumn id="122" xr3:uid="{00000000-0010-0000-0300-00007A000000}" name="Ballendella"/>
    <tableColumn id="123" xr3:uid="{00000000-0010-0000-0300-00007B000000}" name="Balliang"/>
    <tableColumn id="124" xr3:uid="{00000000-0010-0000-0300-00007C000000}" name="Balliang East"/>
    <tableColumn id="125" xr3:uid="{00000000-0010-0000-0300-00007D000000}" name="Ballyrogan"/>
    <tableColumn id="126" xr3:uid="{00000000-0010-0000-0300-00007E000000}" name="Balmattum"/>
    <tableColumn id="127" xr3:uid="{00000000-0010-0000-0300-00007F000000}" name="Balmoral"/>
    <tableColumn id="128" xr3:uid="{00000000-0010-0000-0300-000080000000}" name="Balnarring"/>
    <tableColumn id="129" xr3:uid="{00000000-0010-0000-0300-000081000000}" name="Balnarring Beach"/>
    <tableColumn id="130" xr3:uid="{00000000-0010-0000-0300-000082000000}" name="Balook"/>
    <tableColumn id="131" xr3:uid="{00000000-0010-0000-0300-000083000000}" name="Balwyn"/>
    <tableColumn id="132" xr3:uid="{00000000-0010-0000-0300-000084000000}" name="Balwyn East"/>
    <tableColumn id="133" xr3:uid="{00000000-0010-0000-0300-000085000000}" name="Balwyn North"/>
    <tableColumn id="134" xr3:uid="{00000000-0010-0000-0300-000086000000}" name="Bamawm"/>
    <tableColumn id="135" xr3:uid="{00000000-0010-0000-0300-000087000000}" name="Bamawm Extension"/>
    <tableColumn id="136" xr3:uid="{00000000-0010-0000-0300-000088000000}" name="Bambra"/>
    <tableColumn id="137" xr3:uid="{00000000-0010-0000-0300-000089000000}" name="Bamganie"/>
    <tableColumn id="138" xr3:uid="{00000000-0010-0000-0300-00008A000000}" name="Bandiana"/>
    <tableColumn id="139" xr3:uid="{00000000-0010-0000-0300-00008B000000}" name="Bangerang"/>
    <tableColumn id="140" xr3:uid="{00000000-0010-0000-0300-00008C000000}" name="Bangholme"/>
    <tableColumn id="141" xr3:uid="{00000000-0010-0000-0300-00008D000000}" name="Banksia Peninsula"/>
    <tableColumn id="142" xr3:uid="{00000000-0010-0000-0300-00008E000000}" name="Bannerton"/>
    <tableColumn id="143" xr3:uid="{00000000-0010-0000-0300-00008F000000}" name="Bannockburn"/>
    <tableColumn id="144" xr3:uid="{00000000-0010-0000-0300-000090000000}" name="Banyan"/>
    <tableColumn id="145" xr3:uid="{00000000-0010-0000-0300-000091000000}" name="Banyena"/>
    <tableColumn id="146" xr3:uid="{00000000-0010-0000-0300-000092000000}" name="Banyule"/>
    <tableColumn id="147" xr3:uid="{00000000-0010-0000-0300-000093000000}" name="Baranduda"/>
    <tableColumn id="148" xr3:uid="{00000000-0010-0000-0300-000094000000}" name="Bareena"/>
    <tableColumn id="149" xr3:uid="{00000000-0010-0000-0300-000095000000}" name="Barfold"/>
    <tableColumn id="150" xr3:uid="{00000000-0010-0000-0300-000096000000}" name="Baringhup"/>
    <tableColumn id="151" xr3:uid="{00000000-0010-0000-0300-000097000000}" name="Baringhup West"/>
    <tableColumn id="152" xr3:uid="{00000000-0010-0000-0300-000098000000}" name="Barjarg"/>
    <tableColumn id="153" xr3:uid="{00000000-0010-0000-0300-000099000000}" name="Barkers Creek"/>
    <tableColumn id="154" xr3:uid="{00000000-0010-0000-0300-00009A000000}" name="Barkly"/>
    <tableColumn id="155" xr3:uid="{00000000-0010-0000-0300-00009B000000}" name="Barkstead"/>
    <tableColumn id="156" xr3:uid="{00000000-0010-0000-0300-00009C000000}" name="Barmah"/>
    <tableColumn id="157" xr3:uid="{00000000-0010-0000-0300-00009D000000}" name="Barnadown"/>
    <tableColumn id="158" xr3:uid="{00000000-0010-0000-0300-00009E000000}" name="Barnawartha"/>
    <tableColumn id="159" xr3:uid="{00000000-0010-0000-0300-00009F000000}" name="Barnawartha North"/>
    <tableColumn id="160" xr3:uid="{00000000-0010-0000-0300-0000A0000000}" name="Baromi"/>
    <tableColumn id="161" xr3:uid="{00000000-0010-0000-0300-0000A1000000}" name="Barongarook"/>
    <tableColumn id="162" xr3:uid="{00000000-0010-0000-0300-0000A2000000}" name="Barongarook West"/>
    <tableColumn id="163" xr3:uid="{00000000-0010-0000-0300-0000A3000000}" name="Barooga"/>
    <tableColumn id="164" xr3:uid="{00000000-0010-0000-0300-0000A4000000}" name="Barrabool"/>
    <tableColumn id="165" xr3:uid="{00000000-0010-0000-0300-0000A5000000}" name="Barrakee"/>
    <tableColumn id="166" xr3:uid="{00000000-0010-0000-0300-0000A6000000}" name="Barramunga"/>
    <tableColumn id="167" xr3:uid="{00000000-0010-0000-0300-0000A7000000}" name="Barraport"/>
    <tableColumn id="168" xr3:uid="{00000000-0010-0000-0300-0000A8000000}" name="Barraport West"/>
    <tableColumn id="169" xr3:uid="{00000000-0010-0000-0300-0000A9000000}" name="Barrys Reef"/>
    <tableColumn id="170" xr3:uid="{00000000-0010-0000-0300-0000AA000000}" name="Barunah Park"/>
    <tableColumn id="171" xr3:uid="{00000000-0010-0000-0300-0000AB000000}" name="Barunah Plains"/>
    <tableColumn id="172" xr3:uid="{00000000-0010-0000-0300-0000AC000000}" name="Barwidgee"/>
    <tableColumn id="173" xr3:uid="{00000000-0010-0000-0300-0000AD000000}" name="Barwite"/>
    <tableColumn id="174" xr3:uid="{00000000-0010-0000-0300-0000AE000000}" name="Barwon Downs"/>
    <tableColumn id="175" xr3:uid="{00000000-0010-0000-0300-0000AF000000}" name="Barwon Heads"/>
    <tableColumn id="176" xr3:uid="{00000000-0010-0000-0300-0000B0000000}" name="Basalt"/>
    <tableColumn id="177" xr3:uid="{00000000-0010-0000-0300-0000B1000000}" name="Bass"/>
    <tableColumn id="178" xr3:uid="{00000000-0010-0000-0300-0000B2000000}" name="Batesford"/>
    <tableColumn id="179" xr3:uid="{00000000-0010-0000-0300-0000B3000000}" name="Bathumi"/>
    <tableColumn id="180" xr3:uid="{00000000-0010-0000-0300-0000B4000000}" name="Batman"/>
    <tableColumn id="181" xr3:uid="{00000000-0010-0000-0300-0000B5000000}" name="Baw Baw"/>
    <tableColumn id="182" xr3:uid="{00000000-0010-0000-0300-0000B6000000}" name="Baw Baw Village"/>
    <tableColumn id="183" xr3:uid="{00000000-0010-0000-0300-0000B7000000}" name="Baxter"/>
    <tableColumn id="184" xr3:uid="{00000000-0010-0000-0300-0000B8000000}" name="Bayindeen"/>
    <tableColumn id="185" xr3:uid="{00000000-0010-0000-0300-0000B9000000}" name="Bayles"/>
    <tableColumn id="186" xr3:uid="{00000000-0010-0000-0300-0000BA000000}" name="Baynton"/>
    <tableColumn id="187" xr3:uid="{00000000-0010-0000-0300-0000BB000000}" name="Baynton East"/>
    <tableColumn id="188" xr3:uid="{00000000-0010-0000-0300-0000BC000000}" name="Bayswater"/>
    <tableColumn id="189" xr3:uid="{00000000-0010-0000-0300-0000BD000000}" name="Bayswater North"/>
    <tableColumn id="190" xr3:uid="{00000000-0010-0000-0300-0000BE000000}" name="Beaconsfield"/>
    <tableColumn id="191" xr3:uid="{00000000-0010-0000-0300-0000BF000000}" name="Beaconsfield Upper"/>
    <tableColumn id="192" xr3:uid="{00000000-0010-0000-0300-0000C0000000}" name="Bealiba"/>
    <tableColumn id="193" xr3:uid="{00000000-0010-0000-0300-0000C1000000}" name="Bearii"/>
    <tableColumn id="194" xr3:uid="{00000000-0010-0000-0300-0000C2000000}" name="Bears Lagoon"/>
    <tableColumn id="195" xr3:uid="{00000000-0010-0000-0300-0000C3000000}" name="Beauchamp"/>
    <tableColumn id="196" xr3:uid="{00000000-0010-0000-0300-0000C4000000}" name="Beaufort"/>
    <tableColumn id="197" xr3:uid="{00000000-0010-0000-0300-0000C5000000}" name="Beaumaris"/>
    <tableColumn id="198" xr3:uid="{00000000-0010-0000-0300-0000C6000000}" name="Beazleys Bridge"/>
    <tableColumn id="199" xr3:uid="{00000000-0010-0000-0300-0000C7000000}" name="Bedford Road"/>
    <tableColumn id="200" xr3:uid="{00000000-0010-0000-0300-0000C8000000}" name="Beeac"/>
    <tableColumn id="201" xr3:uid="{00000000-0010-0000-0300-0000C9000000}" name="Beech Forest"/>
    <tableColumn id="202" xr3:uid="{00000000-0010-0000-0300-0000CA000000}" name="Beechworth"/>
    <tableColumn id="203" xr3:uid="{00000000-0010-0000-0300-0000CB000000}" name="Beenak"/>
    <tableColumn id="204" xr3:uid="{00000000-0010-0000-0300-0000CC000000}" name="Belgrave"/>
    <tableColumn id="205" xr3:uid="{00000000-0010-0000-0300-0000CD000000}" name="Belgrave Heights"/>
    <tableColumn id="206" xr3:uid="{00000000-0010-0000-0300-0000CE000000}" name="Belgrave South"/>
    <tableColumn id="207" xr3:uid="{00000000-0010-0000-0300-0000CF000000}" name="Bell Park"/>
    <tableColumn id="208" xr3:uid="{00000000-0010-0000-0300-0000D0000000}" name="Bell Post Hill"/>
    <tableColumn id="209" xr3:uid="{00000000-0010-0000-0300-0000D1000000}" name="Bellarine"/>
    <tableColumn id="210" xr3:uid="{00000000-0010-0000-0300-0000D2000000}" name="Bellbird Creek"/>
    <tableColumn id="211" xr3:uid="{00000000-0010-0000-0300-0000D3000000}" name="Bellbrae"/>
    <tableColumn id="212" xr3:uid="{00000000-0010-0000-0300-0000D4000000}" name="Bellbridge"/>
    <tableColumn id="213" xr3:uid="{00000000-0010-0000-0300-0000D5000000}" name="Bellellen"/>
    <tableColumn id="214" xr3:uid="{00000000-0010-0000-0300-0000D6000000}" name="Bellfield"/>
    <tableColumn id="215" xr3:uid="{00000000-0010-0000-0300-0000D7000000}" name="Bells Beach"/>
    <tableColumn id="216" xr3:uid="{00000000-0010-0000-0300-0000D8000000}" name="Belmont"/>
    <tableColumn id="217" xr3:uid="{00000000-0010-0000-0300-0000D9000000}" name="Bemm River"/>
    <tableColumn id="218" xr3:uid="{00000000-0010-0000-0300-0000DA000000}" name="Bena"/>
    <tableColumn id="219" xr3:uid="{00000000-0010-0000-0300-0000DB000000}" name="Benalla"/>
    <tableColumn id="220" xr3:uid="{00000000-0010-0000-0300-0000DC000000}" name="Benambra"/>
    <tableColumn id="221" xr3:uid="{00000000-0010-0000-0300-0000DD000000}" name="Benayeo"/>
    <tableColumn id="222" xr3:uid="{00000000-0010-0000-0300-0000DE000000}" name="Bend Of Islands"/>
    <tableColumn id="223" xr3:uid="{00000000-0010-0000-0300-0000DF000000}" name="Bendigo"/>
    <tableColumn id="224" xr3:uid="{00000000-0010-0000-0300-0000E0000000}" name="Bendigo Forward"/>
    <tableColumn id="225" xr3:uid="{00000000-0010-0000-0300-0000E1000000}" name="Bendigo South"/>
    <tableColumn id="226" xr3:uid="{00000000-0010-0000-0300-0000E2000000}" name="Bendoc"/>
    <tableColumn id="227" xr3:uid="{00000000-0010-0000-0300-0000E3000000}" name="Bengworden"/>
    <tableColumn id="228" xr3:uid="{00000000-0010-0000-0300-0000E4000000}" name="Benjeroop"/>
    <tableColumn id="229" xr3:uid="{00000000-0010-0000-0300-0000E5000000}" name="Benloch"/>
    <tableColumn id="230" xr3:uid="{00000000-0010-0000-0300-0000E6000000}" name="Bennettswood"/>
    <tableColumn id="231" xr3:uid="{00000000-0010-0000-0300-0000E7000000}" name="Bennison"/>
    <tableColumn id="232" xr3:uid="{00000000-0010-0000-0300-0000E8000000}" name="Bentleigh"/>
    <tableColumn id="233" xr3:uid="{00000000-0010-0000-0300-0000E9000000}" name="Bentleigh East"/>
    <tableColumn id="234" xr3:uid="{00000000-0010-0000-0300-0000EA000000}" name="Benwerrin"/>
    <tableColumn id="235" xr3:uid="{00000000-0010-0000-0300-0000EB000000}" name="Beremboke"/>
    <tableColumn id="236" xr3:uid="{00000000-0010-0000-0300-0000EC000000}" name="Berrimal"/>
    <tableColumn id="237" xr3:uid="{00000000-0010-0000-0300-0000ED000000}" name="Berringa"/>
    <tableColumn id="238" xr3:uid="{00000000-0010-0000-0300-0000EE000000}" name="Berringama"/>
    <tableColumn id="239" xr3:uid="{00000000-0010-0000-0300-0000EF000000}" name="Berriwillock"/>
    <tableColumn id="240" xr3:uid="{00000000-0010-0000-0300-0000F0000000}" name="Berrybank"/>
    <tableColumn id="241" xr3:uid="{00000000-0010-0000-0300-0000F1000000}" name="Berrys Creek"/>
    <tableColumn id="242" xr3:uid="{00000000-0010-0000-0300-0000F2000000}" name="Berwick"/>
    <tableColumn id="243" xr3:uid="{00000000-0010-0000-0300-0000F3000000}" name="Bessiebelle"/>
    <tableColumn id="244" xr3:uid="{00000000-0010-0000-0300-0000F4000000}" name="Bet Bet"/>
    <tableColumn id="245" xr3:uid="{00000000-0010-0000-0300-0000F5000000}" name="Bete Bolong"/>
    <tableColumn id="246" xr3:uid="{00000000-0010-0000-0300-0000F6000000}" name="Bete Bolong North"/>
    <tableColumn id="247" xr3:uid="{00000000-0010-0000-0300-0000F7000000}" name="Bethanga"/>
    <tableColumn id="248" xr3:uid="{00000000-0010-0000-0300-0000F8000000}" name="Betley"/>
    <tableColumn id="249" xr3:uid="{00000000-0010-0000-0300-0000F9000000}" name="Beulah"/>
    <tableColumn id="250" xr3:uid="{00000000-0010-0000-0300-0000FA000000}" name="Beverford"/>
    <tableColumn id="251" xr3:uid="{00000000-0010-0000-0300-0000FB000000}" name="Beveridge"/>
    <tableColumn id="252" xr3:uid="{00000000-0010-0000-0300-0000FC000000}" name="Big Desert"/>
    <tableColumn id="253" xr3:uid="{00000000-0010-0000-0300-0000FD000000}" name="Big Hill"/>
    <tableColumn id="254" xr3:uid="{00000000-0010-0000-0300-0000FE000000}" name="Big Pats Creek"/>
    <tableColumn id="255" xr3:uid="{00000000-0010-0000-0300-0000FF000000}" name="Biggara"/>
    <tableColumn id="256" xr3:uid="{00000000-0010-0000-0300-000000010000}" name="Billabong"/>
    <tableColumn id="257" xr3:uid="{00000000-0010-0000-0300-000001010000}" name="Bimbourie"/>
    <tableColumn id="258" xr3:uid="{00000000-0010-0000-0300-000002010000}" name="Bindi"/>
    <tableColumn id="259" xr3:uid="{00000000-0010-0000-0300-000003010000}" name="Binginwarri"/>
    <tableColumn id="260" xr3:uid="{00000000-0010-0000-0300-000004010000}" name="Bingo Munjie"/>
    <tableColumn id="261" xr3:uid="{00000000-0010-0000-0300-000005010000}" name="Birchip"/>
    <tableColumn id="262" xr3:uid="{00000000-0010-0000-0300-000006010000}" name="Birchip West"/>
    <tableColumn id="263" xr3:uid="{00000000-0010-0000-0300-000007010000}" name="Birdwoodton"/>
    <tableColumn id="264" xr3:uid="{00000000-0010-0000-0300-000008010000}" name="Birregurra"/>
    <tableColumn id="265" xr3:uid="{00000000-0010-0000-0300-000009010000}" name="Bittern"/>
    <tableColumn id="266" xr3:uid="{00000000-0010-0000-0300-00000A010000}" name="Black Hill"/>
    <tableColumn id="267" xr3:uid="{00000000-0010-0000-0300-00000B010000}" name="Black Range"/>
    <tableColumn id="268" xr3:uid="{00000000-0010-0000-0300-00000C010000}" name="Black Rock"/>
    <tableColumn id="269" xr3:uid="{00000000-0010-0000-0300-00000D010000}" name="Black Rock North"/>
    <tableColumn id="270" xr3:uid="{00000000-0010-0000-0300-00000E010000}" name="Blackburn"/>
    <tableColumn id="271" xr3:uid="{00000000-0010-0000-0300-00000F010000}" name="Blackburn North"/>
    <tableColumn id="272" xr3:uid="{00000000-0010-0000-0300-000010010000}" name="Blackburn South"/>
    <tableColumn id="273" xr3:uid="{00000000-0010-0000-0300-000011010000}" name="Blackheath"/>
    <tableColumn id="274" xr3:uid="{00000000-0010-0000-0300-000012010000}" name="Blackwarry"/>
    <tableColumn id="275" xr3:uid="{00000000-0010-0000-0300-000013010000}" name="Blackwood"/>
    <tableColumn id="276" xr3:uid="{00000000-0010-0000-0300-000014010000}" name="Blackwood Forest"/>
    <tableColumn id="277" xr3:uid="{00000000-0010-0000-0300-000015010000}" name="Blairgowrie"/>
    <tableColumn id="278" xr3:uid="{00000000-0010-0000-0300-000016010000}" name="Blakeville"/>
    <tableColumn id="279" xr3:uid="{00000000-0010-0000-0300-000017010000}" name="Blampied"/>
    <tableColumn id="280" xr3:uid="{00000000-0010-0000-0300-000018010000}" name="Blind Bight"/>
    <tableColumn id="281" xr3:uid="{00000000-0010-0000-0300-000019010000}" name="Blowhard"/>
    <tableColumn id="282" xr3:uid="{00000000-0010-0000-0300-00001A010000}" name="Bo Peep"/>
    <tableColumn id="283" xr3:uid="{00000000-0010-0000-0300-00001B010000}" name="Bobinawarrah"/>
    <tableColumn id="284" xr3:uid="{00000000-0010-0000-0300-00001C010000}" name="Bochara"/>
    <tableColumn id="285" xr3:uid="{00000000-0010-0000-0300-00001D010000}" name="Bogong"/>
    <tableColumn id="286" xr3:uid="{00000000-0010-0000-0300-00001E010000}" name="Boho"/>
    <tableColumn id="287" xr3:uid="{00000000-0010-0000-0300-00001F010000}" name="Boho South"/>
    <tableColumn id="288" xr3:uid="{00000000-0010-0000-0300-000020010000}" name="Boigbeat"/>
    <tableColumn id="289" xr3:uid="{00000000-0010-0000-0300-000021010000}" name="Boinka"/>
    <tableColumn id="290" xr3:uid="{00000000-0010-0000-0300-000022010000}" name="Boisdale"/>
    <tableColumn id="291" xr3:uid="{00000000-0010-0000-0300-000023010000}" name="Bolangum"/>
    <tableColumn id="292" xr3:uid="{00000000-0010-0000-0300-000024010000}" name="Bolinda"/>
    <tableColumn id="293" xr3:uid="{00000000-0010-0000-0300-000025010000}" name="Bolton"/>
    <tableColumn id="294" xr3:uid="{00000000-0010-0000-0300-000026010000}" name="Bolwarra"/>
    <tableColumn id="295" xr3:uid="{00000000-0010-0000-0300-000027010000}" name="Bolwarrah"/>
    <tableColumn id="296" xr3:uid="{00000000-0010-0000-0300-000028010000}" name="Bona Vista"/>
    <tableColumn id="297" xr3:uid="{00000000-0010-0000-0300-000029010000}" name="Bonang"/>
    <tableColumn id="298" xr3:uid="{00000000-0010-0000-0300-00002A010000}" name="Bonbeach"/>
    <tableColumn id="299" xr3:uid="{00000000-0010-0000-0300-00002B010000}" name="Bonegilla"/>
    <tableColumn id="300" xr3:uid="{00000000-0010-0000-0300-00002C010000}" name="Boneo"/>
    <tableColumn id="301" xr3:uid="{00000000-0010-0000-0300-00002D010000}" name="Bonn"/>
    <tableColumn id="302" xr3:uid="{00000000-0010-0000-0300-00002E010000}" name="Bonnie Doon"/>
    <tableColumn id="303" xr3:uid="{00000000-0010-0000-0300-00002F010000}" name="Bonshaw"/>
    <tableColumn id="304" xr3:uid="{00000000-0010-0000-0300-000030010000}" name="Bookaar"/>
    <tableColumn id="305" xr3:uid="{00000000-0010-0000-0300-000031010000}" name="Boola"/>
    <tableColumn id="306" xr3:uid="{00000000-0010-0000-0300-000032010000}" name="Boolarong"/>
    <tableColumn id="307" xr3:uid="{00000000-0010-0000-0300-000033010000}" name="Boolarra"/>
    <tableColumn id="308" xr3:uid="{00000000-0010-0000-0300-000034010000}" name="Boolarra South"/>
    <tableColumn id="309" xr3:uid="{00000000-0010-0000-0300-000035010000}" name="Boole Poole"/>
    <tableColumn id="310" xr3:uid="{00000000-0010-0000-0300-000036010000}" name="Boolite"/>
    <tableColumn id="311" xr3:uid="{00000000-0010-0000-0300-000037010000}" name="Boomahnoomoonah"/>
    <tableColumn id="312" xr3:uid="{00000000-0010-0000-0300-000038010000}" name="Boonah"/>
    <tableColumn id="313" xr3:uid="{00000000-0010-0000-0300-000039010000}" name="Booran Road Po"/>
    <tableColumn id="314" xr3:uid="{00000000-0010-0000-0300-00003A010000}" name="Boorcan"/>
    <tableColumn id="315" xr3:uid="{00000000-0010-0000-0300-00003B010000}" name="Boorhaman"/>
    <tableColumn id="316" xr3:uid="{00000000-0010-0000-0300-00003C010000}" name="Boorhaman East"/>
    <tableColumn id="317" xr3:uid="{00000000-0010-0000-0300-00003D010000}" name="Boorhaman North"/>
    <tableColumn id="318" xr3:uid="{00000000-0010-0000-0300-00003E010000}" name="Boorolite"/>
    <tableColumn id="319" xr3:uid="{00000000-0010-0000-0300-00003F010000}" name="Boorool"/>
    <tableColumn id="320" xr3:uid="{00000000-0010-0000-0300-000040010000}" name="Boort"/>
    <tableColumn id="321" xr3:uid="{00000000-0010-0000-0300-000041010000}" name="Boosey"/>
    <tableColumn id="322" xr3:uid="{00000000-0010-0000-0300-000042010000}" name="Boralma"/>
    <tableColumn id="323" xr3:uid="{00000000-0010-0000-0300-000043010000}" name="Bornes Hill"/>
    <tableColumn id="324" xr3:uid="{00000000-0010-0000-0300-000044010000}" name="Boronia"/>
    <tableColumn id="325" xr3:uid="{00000000-0010-0000-0300-000045010000}" name="Borung"/>
    <tableColumn id="326" xr3:uid="{00000000-0010-0000-0300-000046010000}" name="Bostocks Creek"/>
    <tableColumn id="327" xr3:uid="{00000000-0010-0000-0300-000047010000}" name="Botanic Ridge"/>
    <tableColumn id="328" xr3:uid="{00000000-0010-0000-0300-000048010000}" name="Boundary Bend"/>
    <tableColumn id="329" xr3:uid="{00000000-0010-0000-0300-000049010000}" name="Bowenvale"/>
    <tableColumn id="330" xr3:uid="{00000000-0010-0000-0300-00004A010000}" name="Boweya"/>
    <tableColumn id="331" xr3:uid="{00000000-0010-0000-0300-00004B010000}" name="Boweya North"/>
    <tableColumn id="332" xr3:uid="{00000000-0010-0000-0300-00004C010000}" name="Bowmans Forest"/>
    <tableColumn id="333" xr3:uid="{00000000-0010-0000-0300-00004D010000}" name="Bowser"/>
    <tableColumn id="334" xr3:uid="{00000000-0010-0000-0300-00004E010000}" name="Box Hill"/>
    <tableColumn id="335" xr3:uid="{00000000-0010-0000-0300-00004F010000}" name="Box Hill Central"/>
    <tableColumn id="336" xr3:uid="{00000000-0010-0000-0300-000050010000}" name="Box Hill North"/>
    <tableColumn id="337" xr3:uid="{00000000-0010-0000-0300-000051010000}" name="Box Hill South"/>
    <tableColumn id="338" xr3:uid="{00000000-0010-0000-0300-000052010000}" name="Boxwood"/>
    <tableColumn id="339" xr3:uid="{00000000-0010-0000-0300-000053010000}" name="Bradford"/>
    <tableColumn id="340" xr3:uid="{00000000-0010-0000-0300-000054010000}" name="Bradvale"/>
    <tableColumn id="341" xr3:uid="{00000000-0010-0000-0300-000055010000}" name="Braeside"/>
    <tableColumn id="342" xr3:uid="{00000000-0010-0000-0300-000056010000}" name="Branditt"/>
    <tableColumn id="343" xr3:uid="{00000000-0010-0000-0300-000057010000}" name="Brandon Park"/>
    <tableColumn id="344" xr3:uid="{00000000-0010-0000-0300-000058010000}" name="Brandy Creek"/>
    <tableColumn id="345" xr3:uid="{00000000-0010-0000-0300-000059010000}" name="Branxholme"/>
    <tableColumn id="346" xr3:uid="{00000000-0010-0000-0300-00005A010000}" name="Bravington"/>
    <tableColumn id="347" xr3:uid="{00000000-0010-0000-0300-00005B010000}" name="Braybrook"/>
    <tableColumn id="348" xr3:uid="{00000000-0010-0000-0300-00005C010000}" name="Breakaway Creek"/>
    <tableColumn id="349" xr3:uid="{00000000-0010-0000-0300-00005D010000}" name="Breakwater"/>
    <tableColumn id="350" xr3:uid="{00000000-0010-0000-0300-00005E010000}" name="Breamlea"/>
    <tableColumn id="351" xr3:uid="{00000000-0010-0000-0300-00005F010000}" name="Brenanah"/>
    <tableColumn id="352" xr3:uid="{00000000-0010-0000-0300-000060010000}" name="Brentford Square"/>
    <tableColumn id="353" xr3:uid="{00000000-0010-0000-0300-000061010000}" name="Brewster"/>
    <tableColumn id="354" xr3:uid="{00000000-0010-0000-0300-000062010000}" name="Briagolong"/>
    <tableColumn id="355" xr3:uid="{00000000-0010-0000-0300-000063010000}" name="Briar Hill"/>
    <tableColumn id="356" xr3:uid="{00000000-0010-0000-0300-000064010000}" name="Bridge Creek"/>
    <tableColumn id="357" xr3:uid="{00000000-0010-0000-0300-000065010000}" name="Bridgewater"/>
    <tableColumn id="358" xr3:uid="{00000000-0010-0000-0300-000066010000}" name="Bridgewater North"/>
    <tableColumn id="359" xr3:uid="{00000000-0010-0000-0300-000067010000}" name="Bridgewater On Loddon"/>
    <tableColumn id="360" xr3:uid="{00000000-0010-0000-0300-000068010000}" name="Bright"/>
    <tableColumn id="361" xr3:uid="{00000000-0010-0000-0300-000069010000}" name="Brighton"/>
    <tableColumn id="362" xr3:uid="{00000000-0010-0000-0300-00006A010000}" name="Brighton East"/>
    <tableColumn id="363" xr3:uid="{00000000-0010-0000-0300-00006B010000}" name="Brighton North"/>
    <tableColumn id="364" xr3:uid="{00000000-0010-0000-0300-00006C010000}" name="Brighton Road"/>
    <tableColumn id="365" xr3:uid="{00000000-0010-0000-0300-00006D010000}" name="Brim"/>
    <tableColumn id="366" xr3:uid="{00000000-0010-0000-0300-00006E010000}" name="Brimboal"/>
    <tableColumn id="367" xr3:uid="{00000000-0010-0000-0300-00006F010000}" name="Brimin"/>
    <tableColumn id="368" xr3:uid="{00000000-0010-0000-0300-000070010000}" name="Brimpaen"/>
    <tableColumn id="369" xr3:uid="{00000000-0010-0000-0300-000071010000}" name="Bringalbert"/>
    <tableColumn id="370" xr3:uid="{00000000-0010-0000-0300-000072010000}" name="Bringenbrong"/>
    <tableColumn id="371" xr3:uid="{00000000-0010-0000-0300-000073010000}" name="Brit Brit"/>
    <tableColumn id="372" xr3:uid="{00000000-0010-0000-0300-000074010000}" name="Broadford"/>
    <tableColumn id="373" xr3:uid="{00000000-0010-0000-0300-000075010000}" name="Broadlands"/>
    <tableColumn id="374" xr3:uid="{00000000-0010-0000-0300-000076010000}" name="Broadmeadows"/>
    <tableColumn id="375" xr3:uid="{00000000-0010-0000-0300-000077010000}" name="Broadwater"/>
    <tableColumn id="376" xr3:uid="{00000000-0010-0000-0300-000078010000}" name="Brodribb River"/>
    <tableColumn id="377" xr3:uid="{00000000-0010-0000-0300-000079010000}" name="Broken Creek"/>
    <tableColumn id="378" xr3:uid="{00000000-0010-0000-0300-00007A010000}" name="Bromley"/>
    <tableColumn id="379" xr3:uid="{00000000-0010-0000-0300-00007B010000}" name="Brookfield"/>
    <tableColumn id="380" xr3:uid="{00000000-0010-0000-0300-00007C010000}" name="Brooklyn"/>
    <tableColumn id="381" xr3:uid="{00000000-0010-0000-0300-00007D010000}" name="Brookville"/>
    <tableColumn id="382" xr3:uid="{00000000-0010-0000-0300-00007E010000}" name="Broomfield"/>
    <tableColumn id="383" xr3:uid="{00000000-0010-0000-0300-00007F010000}" name="Broughton"/>
    <tableColumn id="384" xr3:uid="{00000000-0010-0000-0300-000080010000}" name="Brown Hill"/>
    <tableColumn id="385" xr3:uid="{00000000-0010-0000-0300-000081010000}" name="Browns Plains"/>
    <tableColumn id="386" xr3:uid="{00000000-0010-0000-0300-000082010000}" name="Bruarong"/>
    <tableColumn id="387" xr3:uid="{00000000-0010-0000-0300-000083010000}" name="Brucknell"/>
    <tableColumn id="388" xr3:uid="{00000000-0010-0000-0300-000084010000}" name="Brumby"/>
    <tableColumn id="389" xr3:uid="{00000000-0010-0000-0300-000085010000}" name="Brunswick"/>
    <tableColumn id="390" xr3:uid="{00000000-0010-0000-0300-000086010000}" name="Brunswick East"/>
    <tableColumn id="391" xr3:uid="{00000000-0010-0000-0300-000087010000}" name="Brunswick Lower"/>
    <tableColumn id="392" xr3:uid="{00000000-0010-0000-0300-000088010000}" name="Brunswick North"/>
    <tableColumn id="393" xr3:uid="{00000000-0010-0000-0300-000089010000}" name="Brunswick South"/>
    <tableColumn id="394" xr3:uid="{00000000-0010-0000-0300-00008A010000}" name="Brunswick West"/>
    <tableColumn id="395" xr3:uid="{00000000-0010-0000-0300-00008B010000}" name="Bruthen"/>
    <tableColumn id="396" xr3:uid="{00000000-0010-0000-0300-00008C010000}" name="Buangor"/>
    <tableColumn id="397" xr3:uid="{00000000-0010-0000-0300-00008D010000}" name="Buchan"/>
    <tableColumn id="398" xr3:uid="{00000000-0010-0000-0300-00008E010000}" name="Buchan South"/>
    <tableColumn id="399" xr3:uid="{00000000-0010-0000-0300-00008F010000}" name="Buckland"/>
    <tableColumn id="400" xr3:uid="{00000000-0010-0000-0300-000090010000}" name="Buckley"/>
    <tableColumn id="401" xr3:uid="{00000000-0010-0000-0300-000091010000}" name="Buckley Swamp"/>
    <tableColumn id="402" xr3:uid="{00000000-0010-0000-0300-000092010000}" name="Buckrabanyule"/>
    <tableColumn id="403" xr3:uid="{00000000-0010-0000-0300-000093010000}" name="Budgee Budgee"/>
    <tableColumn id="404" xr3:uid="{00000000-0010-0000-0300-000094010000}" name="Budgeree"/>
    <tableColumn id="405" xr3:uid="{00000000-0010-0000-0300-000095010000}" name="Budgerum East"/>
    <tableColumn id="406" xr3:uid="{00000000-0010-0000-0300-000096010000}" name="Buffalo"/>
    <tableColumn id="407" xr3:uid="{00000000-0010-0000-0300-000097010000}" name="Buffalo River"/>
    <tableColumn id="408" xr3:uid="{00000000-0010-0000-0300-000098010000}" name="Bulart"/>
    <tableColumn id="409" xr3:uid="{00000000-0010-0000-0300-000099010000}" name="Buldah"/>
    <tableColumn id="410" xr3:uid="{00000000-0010-0000-0300-00009A010000}" name="Bulga"/>
    <tableColumn id="411" xr3:uid="{00000000-0010-0000-0300-00009B010000}" name="Bulgana"/>
    <tableColumn id="412" xr3:uid="{00000000-0010-0000-0300-00009C010000}" name="Bulla"/>
    <tableColumn id="413" xr3:uid="{00000000-0010-0000-0300-00009D010000}" name="Bullaharre"/>
    <tableColumn id="414" xr3:uid="{00000000-0010-0000-0300-00009E010000}" name="Bullarook"/>
    <tableColumn id="415" xr3:uid="{00000000-0010-0000-0300-00009F010000}" name="Bullarto"/>
    <tableColumn id="416" xr3:uid="{00000000-0010-0000-0300-0000A0010000}" name="Bullarto South"/>
    <tableColumn id="417" xr3:uid="{00000000-0010-0000-0300-0000A1010000}" name="Bulleen"/>
    <tableColumn id="418" xr3:uid="{00000000-0010-0000-0300-0000A2010000}" name="Bullengarook"/>
    <tableColumn id="419" xr3:uid="{00000000-0010-0000-0300-0000A3010000}" name="Bullioh"/>
    <tableColumn id="420" xr3:uid="{00000000-0010-0000-0300-0000A4010000}" name="Bullumwaal"/>
    <tableColumn id="421" xr3:uid="{00000000-0010-0000-0300-0000A5010000}" name="Buln Buln"/>
    <tableColumn id="422" xr3:uid="{00000000-0010-0000-0300-0000A6010000}" name="Buln Buln East"/>
    <tableColumn id="423" xr3:uid="{00000000-0010-0000-0300-0000A7010000}" name="Bumberrah"/>
    <tableColumn id="424" xr3:uid="{00000000-0010-0000-0300-0000A8010000}" name="Bunbartha"/>
    <tableColumn id="425" xr3:uid="{00000000-0010-0000-0300-0000A9010000}" name="Bundalaguah"/>
    <tableColumn id="426" xr3:uid="{00000000-0010-0000-0300-0000AA010000}" name="Bundalong"/>
    <tableColumn id="427" xr3:uid="{00000000-0010-0000-0300-0000AB010000}" name="Bundalong South"/>
    <tableColumn id="428" xr3:uid="{00000000-0010-0000-0300-0000AC010000}" name="Bundara"/>
    <tableColumn id="429" xr3:uid="{00000000-0010-0000-0300-0000AD010000}" name="Bunding"/>
    <tableColumn id="430" xr3:uid="{00000000-0010-0000-0300-0000AE010000}" name="Bundoora"/>
    <tableColumn id="431" xr3:uid="{00000000-0010-0000-0300-0000AF010000}" name="Bung Bong"/>
    <tableColumn id="432" xr3:uid="{00000000-0010-0000-0300-0000B0010000}" name="Bungador"/>
    <tableColumn id="433" xr3:uid="{00000000-0010-0000-0300-0000B1010000}" name="Bungal"/>
    <tableColumn id="434" xr3:uid="{00000000-0010-0000-0300-0000B2010000}" name="Bungalally"/>
    <tableColumn id="435" xr3:uid="{00000000-0010-0000-0300-0000B3010000}" name="Bungaree"/>
    <tableColumn id="436" xr3:uid="{00000000-0010-0000-0300-0000B4010000}" name="Bungeet"/>
    <tableColumn id="437" xr3:uid="{00000000-0010-0000-0300-0000B5010000}" name="Bungeet West"/>
    <tableColumn id="438" xr3:uid="{00000000-0010-0000-0300-0000B6010000}" name="Bungil"/>
    <tableColumn id="439" xr3:uid="{00000000-0010-0000-0300-0000B7010000}" name="Bunguluke"/>
    <tableColumn id="440" xr3:uid="{00000000-0010-0000-0300-0000B8010000}" name="Buninyong"/>
    <tableColumn id="441" xr3:uid="{00000000-0010-0000-0300-0000B9010000}" name="Bunkers Hill"/>
    <tableColumn id="442" xr3:uid="{00000000-0010-0000-0300-0000BA010000}" name="Bunyip"/>
    <tableColumn id="443" xr3:uid="{00000000-0010-0000-0300-0000BB010000}" name="Bunyip North"/>
    <tableColumn id="444" xr3:uid="{00000000-0010-0000-0300-0000BC010000}" name="Buragwonduc"/>
    <tableColumn id="445" xr3:uid="{00000000-0010-0000-0300-0000BD010000}" name="Burkes Bridge"/>
    <tableColumn id="446" xr3:uid="{00000000-0010-0000-0300-0000BE010000}" name="Burkes Flat"/>
    <tableColumn id="447" xr3:uid="{00000000-0010-0000-0300-0000BF010000}" name="Burnbank"/>
    <tableColumn id="448" xr3:uid="{00000000-0010-0000-0300-0000C0010000}" name="Burnewang"/>
    <tableColumn id="449" xr3:uid="{00000000-0010-0000-0300-0000C1010000}" name="Burnley"/>
    <tableColumn id="450" xr3:uid="{00000000-0010-0000-0300-0000C2010000}" name="Burnley North"/>
    <tableColumn id="451" xr3:uid="{00000000-0010-0000-0300-0000C3010000}" name="Burnside"/>
    <tableColumn id="452" xr3:uid="{00000000-0010-0000-0300-0000C4010000}" name="Burnside Heights"/>
    <tableColumn id="453" xr3:uid="{00000000-0010-0000-0300-0000C5010000}" name="Burramboot"/>
    <tableColumn id="454" xr3:uid="{00000000-0010-0000-0300-0000C6010000}" name="Burramine"/>
    <tableColumn id="455" xr3:uid="{00000000-0010-0000-0300-0000C7010000}" name="Burramine South"/>
    <tableColumn id="456" xr3:uid="{00000000-0010-0000-0300-0000C8010000}" name="Burrowye"/>
    <tableColumn id="457" xr3:uid="{00000000-0010-0000-0300-0000C9010000}" name="Burrumbeet"/>
    <tableColumn id="458" xr3:uid="{00000000-0010-0000-0300-0000CA010000}" name="Burwood"/>
    <tableColumn id="459" xr3:uid="{00000000-0010-0000-0300-0000CB010000}" name="Burwood East"/>
    <tableColumn id="460" xr3:uid="{00000000-0010-0000-0300-0000CC010000}" name="Burwood Heights"/>
    <tableColumn id="461" xr3:uid="{00000000-0010-0000-0300-0000CD010000}" name="Bushfield"/>
    <tableColumn id="462" xr3:uid="{00000000-0010-0000-0300-0000CE010000}" name="Bushy Park"/>
    <tableColumn id="463" xr3:uid="{00000000-0010-0000-0300-0000CF010000}" name="Butchers Ridge"/>
    <tableColumn id="464" xr3:uid="{00000000-0010-0000-0300-0000D0010000}" name="Buxton"/>
    <tableColumn id="465" xr3:uid="{00000000-0010-0000-0300-0000D1010000}" name="Byaduk"/>
    <tableColumn id="466" xr3:uid="{00000000-0010-0000-0300-0000D2010000}" name="Byaduk North"/>
    <tableColumn id="467" xr3:uid="{00000000-0010-0000-0300-0000D3010000}" name="Byawatha"/>
    <tableColumn id="468" xr3:uid="{00000000-0010-0000-0300-0000D4010000}" name="Bylands"/>
    <tableColumn id="469" xr3:uid="{00000000-0010-0000-0300-0000D5010000}" name="Byrneside"/>
    <tableColumn id="470" xr3:uid="{00000000-0010-0000-0300-0000D6010000}" name="Cabarita"/>
    <tableColumn id="471" xr3:uid="{00000000-0010-0000-0300-0000D7010000}" name="Cabbage Tree"/>
    <tableColumn id="472" xr3:uid="{00000000-0010-0000-0300-0000D8010000}" name="Cabbage Tree Creek"/>
    <tableColumn id="473" xr3:uid="{00000000-0010-0000-0300-0000D9010000}" name="Cadello"/>
    <tableColumn id="474" xr3:uid="{00000000-0010-0000-0300-0000DA010000}" name="Cairnlea"/>
    <tableColumn id="475" xr3:uid="{00000000-0010-0000-0300-0000DB010000}" name="Calder Park"/>
    <tableColumn id="476" xr3:uid="{00000000-0010-0000-0300-0000DC010000}" name="Caldermeade"/>
    <tableColumn id="477" xr3:uid="{00000000-0010-0000-0300-0000DD010000}" name="California Gully"/>
    <tableColumn id="478" xr3:uid="{00000000-0010-0000-0300-0000DE010000}" name="Calivil"/>
    <tableColumn id="479" xr3:uid="{00000000-0010-0000-0300-0000DF010000}" name="Callawadda"/>
    <tableColumn id="480" xr3:uid="{00000000-0010-0000-0300-0000E0010000}" name="Callignee"/>
    <tableColumn id="481" xr3:uid="{00000000-0010-0000-0300-0000E1010000}" name="Callignee North"/>
    <tableColumn id="482" xr3:uid="{00000000-0010-0000-0300-0000E2010000}" name="Callignee South"/>
    <tableColumn id="483" xr3:uid="{00000000-0010-0000-0300-0000E3010000}" name="Calrossie"/>
    <tableColumn id="484" xr3:uid="{00000000-0010-0000-0300-0000E4010000}" name="Calulu"/>
    <tableColumn id="485" xr3:uid="{00000000-0010-0000-0300-0000E5010000}" name="Cambarville"/>
    <tableColumn id="486" xr3:uid="{00000000-0010-0000-0300-0000E6010000}" name="Camberwell"/>
    <tableColumn id="487" xr3:uid="{00000000-0010-0000-0300-0000E7010000}" name="Camberwell East"/>
    <tableColumn id="488" xr3:uid="{00000000-0010-0000-0300-0000E8010000}" name="Camberwell North"/>
    <tableColumn id="489" xr3:uid="{00000000-0010-0000-0300-0000E9010000}" name="Camberwell South"/>
    <tableColumn id="490" xr3:uid="{00000000-0010-0000-0300-0000EA010000}" name="Camberwell West"/>
    <tableColumn id="491" xr3:uid="{00000000-0010-0000-0300-0000EB010000}" name="Cambrian Hill"/>
    <tableColumn id="492" xr3:uid="{00000000-0010-0000-0300-0000EC010000}" name="Campbellfield"/>
    <tableColumn id="493" xr3:uid="{00000000-0010-0000-0300-0000ED010000}" name="Campbells Bridge"/>
    <tableColumn id="494" xr3:uid="{00000000-0010-0000-0300-0000EE010000}" name="Campbells Creek"/>
    <tableColumn id="495" xr3:uid="{00000000-0010-0000-0300-0000EF010000}" name="Campbells Forest"/>
    <tableColumn id="496" xr3:uid="{00000000-0010-0000-0300-0000F0010000}" name="Campbelltown"/>
    <tableColumn id="497" xr3:uid="{00000000-0010-0000-0300-0000F1010000}" name="Camperdown"/>
    <tableColumn id="498" xr3:uid="{00000000-0010-0000-0300-0000F2010000}" name="Canadian"/>
    <tableColumn id="499" xr3:uid="{00000000-0010-0000-0300-0000F3010000}" name="Canary Island"/>
    <tableColumn id="500" xr3:uid="{00000000-0010-0000-0300-0000F4010000}" name="Caniambo"/>
    <tableColumn id="501" xr3:uid="{00000000-0010-0000-0300-0000F5010000}" name="Cann River"/>
    <tableColumn id="502" xr3:uid="{00000000-0010-0000-0300-0000F6010000}" name="Cannie"/>
    <tableColumn id="503" xr3:uid="{00000000-0010-0000-0300-0000F7010000}" name="Cannons Creek"/>
    <tableColumn id="504" xr3:uid="{00000000-0010-0000-0300-0000F8010000}" name="Cannum"/>
    <tableColumn id="505" xr3:uid="{00000000-0010-0000-0300-0000F9010000}" name="Canterbury"/>
    <tableColumn id="506" xr3:uid="{00000000-0010-0000-0300-0000FA010000}" name="Cape Bridgewater"/>
    <tableColumn id="507" xr3:uid="{00000000-0010-0000-0300-0000FB010000}" name="Cape Clear"/>
    <tableColumn id="508" xr3:uid="{00000000-0010-0000-0300-0000FC010000}" name="Cape Conran"/>
    <tableColumn id="509" xr3:uid="{00000000-0010-0000-0300-0000FD010000}" name="Cape Otway"/>
    <tableColumn id="510" xr3:uid="{00000000-0010-0000-0300-0000FE010000}" name="Cape Paterson"/>
    <tableColumn id="511" xr3:uid="{00000000-0010-0000-0300-0000FF010000}" name="Cape Schanck"/>
    <tableColumn id="512" xr3:uid="{00000000-0010-0000-0300-000000020000}" name="Cape Woolamai"/>
    <tableColumn id="513" xr3:uid="{00000000-0010-0000-0300-000001020000}" name="Capels Crossing"/>
    <tableColumn id="514" xr3:uid="{00000000-0010-0000-0300-000002020000}" name="Carag Carag"/>
    <tableColumn id="515" xr3:uid="{00000000-0010-0000-0300-000003020000}" name="Caralulup"/>
    <tableColumn id="516" xr3:uid="{00000000-0010-0000-0300-000004020000}" name="Caramut"/>
    <tableColumn id="517" xr3:uid="{00000000-0010-0000-0300-000005020000}" name="Carapooee"/>
    <tableColumn id="518" xr3:uid="{00000000-0010-0000-0300-000006020000}" name="Carapooee West"/>
    <tableColumn id="519" xr3:uid="{00000000-0010-0000-0300-000007020000}" name="Carapook"/>
    <tableColumn id="520" xr3:uid="{00000000-0010-0000-0300-000008020000}" name="Carboor"/>
    <tableColumn id="521" xr3:uid="{00000000-0010-0000-0300-000009020000}" name="Cardigan"/>
    <tableColumn id="522" xr3:uid="{00000000-0010-0000-0300-00000A020000}" name="Cardigan Village"/>
    <tableColumn id="523" xr3:uid="{00000000-0010-0000-0300-00000B020000}" name="Cardinia"/>
    <tableColumn id="524" xr3:uid="{00000000-0010-0000-0300-00000C020000}" name="Cardross"/>
    <tableColumn id="525" xr3:uid="{00000000-0010-0000-0300-00000D020000}" name="Cargerie"/>
    <tableColumn id="526" xr3:uid="{00000000-0010-0000-0300-00000E020000}" name="Carina"/>
    <tableColumn id="527" xr3:uid="{00000000-0010-0000-0300-00000F020000}" name="Caringal"/>
    <tableColumn id="528" xr3:uid="{00000000-0010-0000-0300-000010020000}" name="Carisbrook"/>
    <tableColumn id="529" xr3:uid="{00000000-0010-0000-0300-000011020000}" name="Carlisle River"/>
    <tableColumn id="530" xr3:uid="{00000000-0010-0000-0300-000012020000}" name="Carlsruhe"/>
    <tableColumn id="531" xr3:uid="{00000000-0010-0000-0300-000013020000}" name="Carlton"/>
    <tableColumn id="532" xr3:uid="{00000000-0010-0000-0300-000014020000}" name="Carlton North"/>
    <tableColumn id="533" xr3:uid="{00000000-0010-0000-0300-000015020000}" name="Carlton South"/>
    <tableColumn id="534" xr3:uid="{00000000-0010-0000-0300-000016020000}" name="Carlyle"/>
    <tableColumn id="535" xr3:uid="{00000000-0010-0000-0300-000017020000}" name="Carnegie"/>
    <tableColumn id="536" xr3:uid="{00000000-0010-0000-0300-000018020000}" name="Carngham"/>
    <tableColumn id="537" xr3:uid="{00000000-0010-0000-0300-000019020000}" name="Caroline Springs"/>
    <tableColumn id="538" xr3:uid="{00000000-0010-0000-0300-00001A020000}" name="Carpendeit"/>
    <tableColumn id="539" xr3:uid="{00000000-0010-0000-0300-00001B020000}" name="Carrajung"/>
    <tableColumn id="540" xr3:uid="{00000000-0010-0000-0300-00001C020000}" name="Carrajung Lower"/>
    <tableColumn id="541" xr3:uid="{00000000-0010-0000-0300-00001D020000}" name="Carrajung South"/>
    <tableColumn id="542" xr3:uid="{00000000-0010-0000-0300-00001E020000}" name="Carranballac"/>
    <tableColumn id="543" xr3:uid="{00000000-0010-0000-0300-00001F020000}" name="Carron"/>
    <tableColumn id="544" xr3:uid="{00000000-0010-0000-0300-000020020000}" name="Carrum"/>
    <tableColumn id="545" xr3:uid="{00000000-0010-0000-0300-000021020000}" name="Carrum Downs"/>
    <tableColumn id="546" xr3:uid="{00000000-0010-0000-0300-000022020000}" name="Carwarp"/>
    <tableColumn id="547" xr3:uid="{00000000-0010-0000-0300-000023020000}" name="Cashmore"/>
    <tableColumn id="548" xr3:uid="{00000000-0010-0000-0300-000024020000}" name="Cassilis"/>
    <tableColumn id="549" xr3:uid="{00000000-0010-0000-0300-000025020000}" name="Castella"/>
    <tableColumn id="550" xr3:uid="{00000000-0010-0000-0300-000026020000}" name="Casterton"/>
    <tableColumn id="551" xr3:uid="{00000000-0010-0000-0300-000027020000}" name="Castle Creek"/>
    <tableColumn id="552" xr3:uid="{00000000-0010-0000-0300-000028020000}" name="Castle Donnington"/>
    <tableColumn id="553" xr3:uid="{00000000-0010-0000-0300-000029020000}" name="Castlemaine"/>
    <tableColumn id="554" xr3:uid="{00000000-0010-0000-0300-00002A020000}" name="Catani"/>
    <tableColumn id="555" xr3:uid="{00000000-0010-0000-0300-00002B020000}" name="Cathcart"/>
    <tableColumn id="556" xr3:uid="{00000000-0010-0000-0300-00002C020000}" name="Cathkin"/>
    <tableColumn id="557" xr3:uid="{00000000-0010-0000-0300-00002D020000}" name="Catumnal"/>
    <tableColumn id="558" xr3:uid="{00000000-0010-0000-0300-00002E020000}" name="Caulfield"/>
    <tableColumn id="559" xr3:uid="{00000000-0010-0000-0300-00002F020000}" name="Caulfield East"/>
    <tableColumn id="560" xr3:uid="{00000000-0010-0000-0300-000030020000}" name="Caulfield Junction"/>
    <tableColumn id="561" xr3:uid="{00000000-0010-0000-0300-000031020000}" name="Caulfield North"/>
    <tableColumn id="562" xr3:uid="{00000000-0010-0000-0300-000032020000}" name="Caulfield South"/>
    <tableColumn id="563" xr3:uid="{00000000-0010-0000-0300-000033020000}" name="Caveat"/>
    <tableColumn id="564" xr3:uid="{00000000-0010-0000-0300-000034020000}" name="Cavendish"/>
    <tableColumn id="565" xr3:uid="{00000000-0010-0000-0300-000035020000}" name="Central Park"/>
    <tableColumn id="566" xr3:uid="{00000000-0010-0000-0300-000036020000}" name="Ceres"/>
    <tableColumn id="567" xr3:uid="{00000000-0010-0000-0300-000037020000}" name="Chadstone"/>
    <tableColumn id="568" xr3:uid="{00000000-0010-0000-0300-000038020000}" name="Chadstone Centre"/>
    <tableColumn id="569" xr3:uid="{00000000-0010-0000-0300-000039020000}" name="Chandlers Creek"/>
    <tableColumn id="570" xr3:uid="{00000000-0010-0000-0300-00003A020000}" name="Chapel Flat"/>
    <tableColumn id="571" xr3:uid="{00000000-0010-0000-0300-00003B020000}" name="Chapple Vale"/>
    <tableColumn id="572" xr3:uid="{00000000-0010-0000-0300-00003C020000}" name="Charam"/>
    <tableColumn id="573" xr3:uid="{00000000-0010-0000-0300-00003D020000}" name="Charlemont"/>
    <tableColumn id="574" xr3:uid="{00000000-0010-0000-0300-00003E020000}" name="Charleroi"/>
    <tableColumn id="575" xr3:uid="{00000000-0010-0000-0300-00003F020000}" name="Charlton"/>
    <tableColumn id="576" xr3:uid="{00000000-0010-0000-0300-000040020000}" name="Chatsworth"/>
    <tableColumn id="577" xr3:uid="{00000000-0010-0000-0300-000041020000}" name="Chelsea"/>
    <tableColumn id="578" xr3:uid="{00000000-0010-0000-0300-000042020000}" name="Chelsea Heights"/>
    <tableColumn id="579" xr3:uid="{00000000-0010-0000-0300-000043020000}" name="Cheltenham"/>
    <tableColumn id="580" xr3:uid="{00000000-0010-0000-0300-000044020000}" name="Cheltenham East"/>
    <tableColumn id="581" xr3:uid="{00000000-0010-0000-0300-000045020000}" name="Chepstowe"/>
    <tableColumn id="582" xr3:uid="{00000000-0010-0000-0300-000046020000}" name="Cherokee"/>
    <tableColumn id="583" xr3:uid="{00000000-0010-0000-0300-000047020000}" name="Cherrypool"/>
    <tableColumn id="584" xr3:uid="{00000000-0010-0000-0300-000048020000}" name="Cheshunt"/>
    <tableColumn id="585" xr3:uid="{00000000-0010-0000-0300-000049020000}" name="Cheshunt South"/>
    <tableColumn id="586" xr3:uid="{00000000-0010-0000-0300-00004A020000}" name="Chesney Vale"/>
    <tableColumn id="587" xr3:uid="{00000000-0010-0000-0300-00004B020000}" name="Chetwynd"/>
    <tableColumn id="588" xr3:uid="{00000000-0010-0000-0300-00004C020000}" name="Chewton"/>
    <tableColumn id="589" xr3:uid="{00000000-0010-0000-0300-00004D020000}" name="Chewton Bushlands"/>
    <tableColumn id="590" xr3:uid="{00000000-0010-0000-0300-00004E020000}" name="Childers"/>
    <tableColumn id="591" xr3:uid="{00000000-0010-0000-0300-00004F020000}" name="Chillingollah"/>
    <tableColumn id="592" xr3:uid="{00000000-0010-0000-0300-000050020000}" name="Chiltern"/>
    <tableColumn id="593" xr3:uid="{00000000-0010-0000-0300-000051020000}" name="Chiltern Valley"/>
    <tableColumn id="594" xr3:uid="{00000000-0010-0000-0300-000052020000}" name="Chinangin"/>
    <tableColumn id="595" xr3:uid="{00000000-0010-0000-0300-000053020000}" name="Chinkapook"/>
    <tableColumn id="596" xr3:uid="{00000000-0010-0000-0300-000054020000}" name="Chintin"/>
    <tableColumn id="597" xr3:uid="{00000000-0010-0000-0300-000055020000}" name="Chirnside Park"/>
    <tableColumn id="598" xr3:uid="{00000000-0010-0000-0300-000056020000}" name="Chirrip"/>
    <tableColumn id="599" xr3:uid="{00000000-0010-0000-0300-000057020000}" name="Chocolyn"/>
    <tableColumn id="600" xr3:uid="{00000000-0010-0000-0300-000058020000}" name="Christmas Hills"/>
    <tableColumn id="601" xr3:uid="{00000000-0010-0000-0300-000059020000}" name="Chum Creek"/>
    <tableColumn id="602" xr3:uid="{00000000-0010-0000-0300-00005A020000}" name="Churchill"/>
    <tableColumn id="603" xr3:uid="{00000000-0010-0000-0300-00005B020000}" name="Churchill Island"/>
    <tableColumn id="604" xr3:uid="{00000000-0010-0000-0300-00005C020000}" name="Chute"/>
    <tableColumn id="605" xr3:uid="{00000000-0010-0000-0300-00005D020000}" name="Clarendon"/>
    <tableColumn id="606" xr3:uid="{00000000-0010-0000-0300-00005E020000}" name="Claretown"/>
    <tableColumn id="607" xr3:uid="{00000000-0010-0000-0300-00005F020000}" name="Clarinda"/>
    <tableColumn id="608" xr3:uid="{00000000-0010-0000-0300-000060020000}" name="Clarkefield"/>
    <tableColumn id="609" xr3:uid="{00000000-0010-0000-0300-000061020000}" name="Clarkes Hill"/>
    <tableColumn id="610" xr3:uid="{00000000-0010-0000-0300-000062020000}" name="Clayton"/>
    <tableColumn id="611" xr3:uid="{00000000-0010-0000-0300-000063020000}" name="Clayton South"/>
    <tableColumn id="612" xr3:uid="{00000000-0010-0000-0300-000064020000}" name="Clear Lake"/>
    <tableColumn id="613" xr3:uid="{00000000-0010-0000-0300-000065020000}" name="Clematis"/>
    <tableColumn id="614" xr3:uid="{00000000-0010-0000-0300-000066020000}" name="Clifton Creek"/>
    <tableColumn id="615" xr3:uid="{00000000-0010-0000-0300-000067020000}" name="Clifton Hill"/>
    <tableColumn id="616" xr3:uid="{00000000-0010-0000-0300-000068020000}" name="Clifton Springs"/>
    <tableColumn id="617" xr3:uid="{00000000-0010-0000-0300-000069020000}" name="Clonbinane"/>
    <tableColumn id="618" xr3:uid="{00000000-0010-0000-0300-00006A020000}" name="Clover Flat"/>
    <tableColumn id="619" xr3:uid="{00000000-0010-0000-0300-00006B020000}" name="Cloverlea"/>
    <tableColumn id="620" xr3:uid="{00000000-0010-0000-0300-00006C020000}" name="Club Terrace"/>
    <tableColumn id="621" xr3:uid="{00000000-0010-0000-0300-00006D020000}" name="Clunes"/>
    <tableColumn id="622" xr3:uid="{00000000-0010-0000-0300-00006E020000}" name="Clyde"/>
    <tableColumn id="623" xr3:uid="{00000000-0010-0000-0300-00006F020000}" name="Clyde North"/>
    <tableColumn id="624" xr3:uid="{00000000-0010-0000-0300-000070020000}" name="Clydebank"/>
    <tableColumn id="625" xr3:uid="{00000000-0010-0000-0300-000071020000}" name="Clydesdale"/>
    <tableColumn id="626" xr3:uid="{00000000-0010-0000-0300-000072020000}" name="Coalville"/>
    <tableColumn id="627" xr3:uid="{00000000-0010-0000-0300-000073020000}" name="Cobains"/>
    <tableColumn id="628" xr3:uid="{00000000-0010-0000-0300-000074020000}" name="Cobaw"/>
    <tableColumn id="629" xr3:uid="{00000000-0010-0000-0300-000075020000}" name="Cobbannah"/>
    <tableColumn id="630" xr3:uid="{00000000-0010-0000-0300-000076020000}" name="Cobberas"/>
    <tableColumn id="631" xr3:uid="{00000000-0010-0000-0300-000077020000}" name="Cobden"/>
    <tableColumn id="632" xr3:uid="{00000000-0010-0000-0300-000078020000}" name="Cobram"/>
    <tableColumn id="633" xr3:uid="{00000000-0010-0000-0300-000079020000}" name="Cobram East"/>
    <tableColumn id="634" xr3:uid="{00000000-0010-0000-0300-00007A020000}" name="Cobrico"/>
    <tableColumn id="635" xr3:uid="{00000000-0010-0000-0300-00007B020000}" name="Cobungra"/>
    <tableColumn id="636" xr3:uid="{00000000-0010-0000-0300-00007C020000}" name="Coburg"/>
    <tableColumn id="637" xr3:uid="{00000000-0010-0000-0300-00007D020000}" name="Coburg North"/>
    <tableColumn id="638" xr3:uid="{00000000-0010-0000-0300-00007E020000}" name="Cocamba"/>
    <tableColumn id="639" xr3:uid="{00000000-0010-0000-0300-00007F020000}" name="Cochranes Creek"/>
    <tableColumn id="640" xr3:uid="{00000000-0010-0000-0300-000080020000}" name="Cockatoo"/>
    <tableColumn id="641" xr3:uid="{00000000-0010-0000-0300-000081020000}" name="Cocoroc"/>
    <tableColumn id="642" xr3:uid="{00000000-0010-0000-0300-000082020000}" name="Codrington"/>
    <tableColumn id="643" xr3:uid="{00000000-0010-0000-0300-000083020000}" name="Coghills Creek"/>
    <tableColumn id="644" xr3:uid="{00000000-0010-0000-0300-000084020000}" name="Cohuna"/>
    <tableColumn id="645" xr3:uid="{00000000-0010-0000-0300-000085020000}" name="Coimadai"/>
    <tableColumn id="646" xr3:uid="{00000000-0010-0000-0300-000086020000}" name="Cokum"/>
    <tableColumn id="647" xr3:uid="{00000000-0010-0000-0300-000087020000}" name="Colac"/>
    <tableColumn id="648" xr3:uid="{00000000-0010-0000-0300-000088020000}" name="Colac Colac"/>
    <tableColumn id="649" xr3:uid="{00000000-0010-0000-0300-000089020000}" name="Colac East"/>
    <tableColumn id="1" xr3:uid="{00000000-0010-0000-0300-000001000000}" name="Colac West"/>
    <tableColumn id="2" xr3:uid="{00000000-0010-0000-0300-000002000000}" name="Colbinabbin"/>
    <tableColumn id="650" xr3:uid="{00000000-0010-0000-0300-00008A020000}" name="Colbrook"/>
    <tableColumn id="651" xr3:uid="{00000000-0010-0000-0300-00008B020000}" name="Coldstream"/>
    <tableColumn id="652" xr3:uid="{00000000-0010-0000-0300-00008C020000}" name="Coleraine"/>
    <tableColumn id="653" xr3:uid="{00000000-0010-0000-0300-00008D020000}" name="Colignan"/>
    <tableColumn id="654" xr3:uid="{00000000-0010-0000-0300-00008E020000}" name="Collingwood"/>
    <tableColumn id="655" xr3:uid="{00000000-0010-0000-0300-00008F020000}" name="Collingwood North"/>
    <tableColumn id="656" xr3:uid="{00000000-0010-0000-0300-000090020000}" name="Colliver"/>
    <tableColumn id="657" xr3:uid="{00000000-0010-0000-0300-000091020000}" name="Combienbar"/>
    <tableColumn id="658" xr3:uid="{00000000-0010-0000-0300-000092020000}" name="Concongella"/>
    <tableColumn id="659" xr3:uid="{00000000-0010-0000-0300-000093020000}" name="Condah"/>
    <tableColumn id="660" xr3:uid="{00000000-0010-0000-0300-000094020000}" name="Condah Swamp"/>
    <tableColumn id="661" xr3:uid="{00000000-0010-0000-0300-000095020000}" name="Congupna"/>
    <tableColumn id="662" xr3:uid="{00000000-0010-0000-0300-000096020000}" name="Connewarre"/>
    <tableColumn id="663" xr3:uid="{00000000-0010-0000-0300-000097020000}" name="Connewirricoo"/>
    <tableColumn id="664" xr3:uid="{00000000-0010-0000-0300-000098020000}" name="Coojar"/>
    <tableColumn id="665" xr3:uid="{00000000-0010-0000-0300-000099020000}" name="Coolaroo"/>
    <tableColumn id="666" xr3:uid="{00000000-0010-0000-0300-00009A020000}" name="Cooma"/>
    <tableColumn id="667" xr3:uid="{00000000-0010-0000-0300-00009B020000}" name="Coomboona"/>
    <tableColumn id="668" xr3:uid="{00000000-0010-0000-0300-00009C020000}" name="Coomoora"/>
    <tableColumn id="669" xr3:uid="{00000000-0010-0000-0300-00009D020000}" name="Coongulla"/>
    <tableColumn id="670" xr3:uid="{00000000-0010-0000-0300-00009E020000}" name="Coonooer Bridge"/>
    <tableColumn id="671" xr3:uid="{00000000-0010-0000-0300-00009F020000}" name="Coonooer West"/>
    <tableColumn id="672" xr3:uid="{00000000-0010-0000-0300-0000A0020000}" name="Coopers Creek"/>
    <tableColumn id="673" xr3:uid="{00000000-0010-0000-0300-0000A1020000}" name="Cooriemungle"/>
    <tableColumn id="674" xr3:uid="{00000000-0010-0000-0300-0000A2020000}" name="Cope Cope"/>
    <tableColumn id="675" xr3:uid="{00000000-0010-0000-0300-0000A3020000}" name="Cora Lynn"/>
    <tableColumn id="676" xr3:uid="{00000000-0010-0000-0300-0000A4020000}" name="Corack"/>
    <tableColumn id="677" xr3:uid="{00000000-0010-0000-0300-0000A5020000}" name="Corack East"/>
    <tableColumn id="678" xr3:uid="{00000000-0010-0000-0300-0000A6020000}" name="Coragulac"/>
    <tableColumn id="679" xr3:uid="{00000000-0010-0000-0300-0000A7020000}" name="Coral Bank"/>
    <tableColumn id="680" xr3:uid="{00000000-0010-0000-0300-0000A8020000}" name="Corindhap"/>
    <tableColumn id="681" xr3:uid="{00000000-0010-0000-0300-0000A9020000}" name="Corinella"/>
    <tableColumn id="682" xr3:uid="{00000000-0010-0000-0300-0000AA020000}" name="Corio"/>
    <tableColumn id="683" xr3:uid="{00000000-0010-0000-0300-0000AB020000}" name="Corndale"/>
    <tableColumn id="684" xr3:uid="{00000000-0010-0000-0300-0000AC020000}" name="Cornella"/>
    <tableColumn id="685" xr3:uid="{00000000-0010-0000-0300-0000AD020000}" name="Cornishtown"/>
    <tableColumn id="686" xr3:uid="{00000000-0010-0000-0300-0000AE020000}" name="Coronet Bay"/>
    <tableColumn id="687" xr3:uid="{00000000-0010-0000-0300-0000AF020000}" name="Corop"/>
    <tableColumn id="688" xr3:uid="{00000000-0010-0000-0300-0000B0020000}" name="Corop West"/>
    <tableColumn id="689" xr3:uid="{00000000-0010-0000-0300-0000B1020000}" name="Cororooke"/>
    <tableColumn id="690" xr3:uid="{00000000-0010-0000-0300-0000B2020000}" name="Corringle"/>
    <tableColumn id="691" xr3:uid="{00000000-0010-0000-0300-0000B3020000}" name="Corryong"/>
    <tableColumn id="692" xr3:uid="{00000000-0010-0000-0300-0000B4020000}" name="Corunnun"/>
    <tableColumn id="693" xr3:uid="{00000000-0010-0000-0300-0000B5020000}" name="Cosgrove"/>
    <tableColumn id="694" xr3:uid="{00000000-0010-0000-0300-0000B6020000}" name="Cosgrove South"/>
    <tableColumn id="695" xr3:uid="{00000000-0010-0000-0300-0000B7020000}" name="Costerfield"/>
    <tableColumn id="696" xr3:uid="{00000000-0010-0000-0300-0000B8020000}" name="Cotham"/>
    <tableColumn id="697" xr3:uid="{00000000-0010-0000-0300-0000B9020000}" name="Cotswold"/>
    <tableColumn id="698" xr3:uid="{00000000-0010-0000-0300-0000BA020000}" name="Cottles Bridge"/>
    <tableColumn id="699" xr3:uid="{00000000-0010-0000-0300-0000BB020000}" name="Cowa"/>
    <tableColumn id="700" xr3:uid="{00000000-0010-0000-0300-0000BC020000}" name="Cowangie"/>
    <tableColumn id="701" xr3:uid="{00000000-0010-0000-0300-0000BD020000}" name="Cowes"/>
    <tableColumn id="702" xr3:uid="{00000000-0010-0000-0300-0000BE020000}" name="Cowleys Creek"/>
    <tableColumn id="703" xr3:uid="{00000000-0010-0000-0300-0000BF020000}" name="Cowwarr"/>
    <tableColumn id="704" xr3:uid="{00000000-0010-0000-0300-0000C0020000}" name="Craigie"/>
    <tableColumn id="705" xr3:uid="{00000000-0010-0000-0300-0000C1020000}" name="Craigieburn"/>
    <tableColumn id="706" xr3:uid="{00000000-0010-0000-0300-0000C2020000}" name="Cranbourne"/>
    <tableColumn id="707" xr3:uid="{00000000-0010-0000-0300-0000C3020000}" name="Cranbourne East"/>
    <tableColumn id="708" xr3:uid="{00000000-0010-0000-0300-0000C4020000}" name="Cranbourne North"/>
    <tableColumn id="709" xr3:uid="{00000000-0010-0000-0300-0000C5020000}" name="Cranbourne South"/>
    <tableColumn id="710" xr3:uid="{00000000-0010-0000-0300-0000C6020000}" name="Cranbourne West"/>
    <tableColumn id="711" xr3:uid="{00000000-0010-0000-0300-0000C7020000}" name="Creek Junction"/>
    <tableColumn id="712" xr3:uid="{00000000-0010-0000-0300-0000C8020000}" name="Creek View"/>
    <tableColumn id="713" xr3:uid="{00000000-0010-0000-0300-0000C9020000}" name="Creightons Creek"/>
    <tableColumn id="714" xr3:uid="{00000000-0010-0000-0300-0000CA020000}" name="Cremorne"/>
    <tableColumn id="715" xr3:uid="{00000000-0010-0000-0300-0000CB020000}" name="Cressy"/>
    <tableColumn id="716" xr3:uid="{00000000-0010-0000-0300-0000CC020000}" name="Creswick"/>
    <tableColumn id="717" xr3:uid="{00000000-0010-0000-0300-0000CD020000}" name="Creswick North"/>
    <tableColumn id="718" xr3:uid="{00000000-0010-0000-0300-0000CE020000}" name="Crib Point"/>
    <tableColumn id="719" xr3:uid="{00000000-0010-0000-0300-0000CF020000}" name="Cromer"/>
    <tableColumn id="720" xr3:uid="{00000000-0010-0000-0300-0000D0020000}" name="Crookayan"/>
    <tableColumn id="721" xr3:uid="{00000000-0010-0000-0300-0000D1020000}" name="Crooked River"/>
    <tableColumn id="722" xr3:uid="{00000000-0010-0000-0300-0000D2020000}" name="Cross Keys"/>
    <tableColumn id="723" xr3:uid="{00000000-0010-0000-0300-0000D3020000}" name="Cross Roads"/>
    <tableColumn id="724" xr3:uid="{00000000-0010-0000-0300-0000D4020000}" name="Crossley"/>
    <tableColumn id="725" xr3:uid="{00000000-0010-0000-0300-0000D5020000}" name="Crossover"/>
    <tableColumn id="726" xr3:uid="{00000000-0010-0000-0300-0000D6020000}" name="Crowlands"/>
    <tableColumn id="727" xr3:uid="{00000000-0010-0000-0300-0000D7020000}" name="Croxton East"/>
    <tableColumn id="728" xr3:uid="{00000000-0010-0000-0300-0000D8020000}" name="Croydon"/>
    <tableColumn id="729" xr3:uid="{00000000-0010-0000-0300-0000D9020000}" name="Croydon Hills"/>
    <tableColumn id="730" xr3:uid="{00000000-0010-0000-0300-0000DA020000}" name="Croydon North"/>
    <tableColumn id="731" xr3:uid="{00000000-0010-0000-0300-0000DB020000}" name="Croydon South"/>
    <tableColumn id="732" xr3:uid="{00000000-0010-0000-0300-0000DC020000}" name="Crymelon"/>
    <tableColumn id="733" xr3:uid="{00000000-0010-0000-0300-0000DD020000}" name="Crystal Creek"/>
    <tableColumn id="734" xr3:uid="{00000000-0010-0000-0300-0000DE020000}" name="Cudgee"/>
    <tableColumn id="735" xr3:uid="{00000000-0010-0000-0300-0000DF020000}" name="Cudgewa"/>
    <tableColumn id="736" xr3:uid="{00000000-0010-0000-0300-0000E0020000}" name="Culgoa"/>
    <tableColumn id="737" xr3:uid="{00000000-0010-0000-0300-0000E1020000}" name="Culla"/>
    <tableColumn id="738" xr3:uid="{00000000-0010-0000-0300-0000E2020000}" name="Cullen"/>
    <tableColumn id="739" xr3:uid="{00000000-0010-0000-0300-0000E3020000}" name="Cullulleraine"/>
    <tableColumn id="740" xr3:uid="{00000000-0010-0000-0300-0000E4020000}" name="Cundare"/>
    <tableColumn id="741" xr3:uid="{00000000-0010-0000-0300-0000E5020000}" name="Cundare North"/>
    <tableColumn id="742" xr3:uid="{00000000-0010-0000-0300-0000E6020000}" name="Curdies River"/>
    <tableColumn id="743" xr3:uid="{00000000-0010-0000-0300-0000E7020000}" name="Curdievale"/>
    <tableColumn id="744" xr3:uid="{00000000-0010-0000-0300-0000E8020000}" name="Curlewis"/>
    <tableColumn id="745" xr3:uid="{00000000-0010-0000-0300-0000E9020000}" name="Curyo"/>
    <tableColumn id="746" xr3:uid="{00000000-0010-0000-0300-0000EA020000}" name="Dadswells Bridge"/>
    <tableColumn id="747" xr3:uid="{00000000-0010-0000-0300-0000EB020000}" name="Daisy Hill"/>
    <tableColumn id="748" xr3:uid="{00000000-0010-0000-0300-0000EC020000}" name="Dales Creek"/>
    <tableColumn id="749" xr3:uid="{00000000-0010-0000-0300-0000ED020000}" name="Dallas"/>
    <tableColumn id="750" xr3:uid="{00000000-0010-0000-0300-0000EE020000}" name="Dalmore"/>
    <tableColumn id="751" xr3:uid="{00000000-0010-0000-0300-0000EF020000}" name="Daltons Bridge"/>
    <tableColumn id="752" xr3:uid="{00000000-0010-0000-0300-0000F0020000}" name="Dalyenong"/>
    <tableColumn id="753" xr3:uid="{00000000-0010-0000-0300-0000F1020000}" name="Dalyston"/>
    <tableColumn id="754" xr3:uid="{00000000-0010-0000-0300-0000F2020000}" name="Dandenong"/>
    <tableColumn id="755" xr3:uid="{00000000-0010-0000-0300-0000F3020000}" name="Dandenong East"/>
    <tableColumn id="756" xr3:uid="{00000000-0010-0000-0300-0000F4020000}" name="Dandenong North"/>
    <tableColumn id="757" xr3:uid="{00000000-0010-0000-0300-0000F5020000}" name="Dandenong South"/>
    <tableColumn id="758" xr3:uid="{00000000-0010-0000-0300-0000F6020000}" name="Dandongadale"/>
    <tableColumn id="759" xr3:uid="{00000000-0010-0000-0300-0000F7020000}" name="Dargo"/>
    <tableColumn id="760" xr3:uid="{00000000-0010-0000-0300-0000F8020000}" name="Darley"/>
    <tableColumn id="761" xr3:uid="{00000000-0010-0000-0300-0000F9020000}" name="Darlimurla"/>
    <tableColumn id="762" xr3:uid="{00000000-0010-0000-0300-0000FA020000}" name="Darling"/>
    <tableColumn id="763" xr3:uid="{00000000-0010-0000-0300-0000FB020000}" name="Darling South"/>
    <tableColumn id="764" xr3:uid="{00000000-0010-0000-0300-0000FC020000}" name="Darlington"/>
    <tableColumn id="765" xr3:uid="{00000000-0010-0000-0300-0000FD020000}" name="Darnum"/>
    <tableColumn id="766" xr3:uid="{00000000-0010-0000-0300-0000FE020000}" name="Darraweit Guim"/>
    <tableColumn id="767" xr3:uid="{00000000-0010-0000-0300-0000FF020000}" name="Darriman"/>
    <tableColumn id="768" xr3:uid="{00000000-0010-0000-0300-000000030000}" name="Dartmoor"/>
    <tableColumn id="769" xr3:uid="{00000000-0010-0000-0300-000001030000}" name="Dartmouth"/>
    <tableColumn id="770" xr3:uid="{00000000-0010-0000-0300-000002030000}" name="Dawson"/>
    <tableColumn id="771" xr3:uid="{00000000-0010-0000-0300-000003030000}" name="Daylesford"/>
    <tableColumn id="772" xr3:uid="{00000000-0010-0000-0300-000004030000}" name="Dean"/>
    <tableColumn id="773" xr3:uid="{00000000-0010-0000-0300-000005030000}" name="Deans Marsh"/>
    <tableColumn id="774" xr3:uid="{00000000-0010-0000-0300-000006030000}" name="Deddick Valley"/>
    <tableColumn id="775" xr3:uid="{00000000-0010-0000-0300-000007030000}" name="Dederang"/>
    <tableColumn id="776" xr3:uid="{00000000-0010-0000-0300-000008030000}" name="Deep Lead"/>
    <tableColumn id="777" xr3:uid="{00000000-0010-0000-0300-000009030000}" name="Deepdene"/>
    <tableColumn id="778" xr3:uid="{00000000-0010-0000-0300-00000A030000}" name="Deer Park"/>
    <tableColumn id="779" xr3:uid="{00000000-0010-0000-0300-00000B030000}" name="Deer Park East"/>
    <tableColumn id="780" xr3:uid="{00000000-0010-0000-0300-00000C030000}" name="Deer Park North"/>
    <tableColumn id="781" xr3:uid="{00000000-0010-0000-0300-00000D030000}" name="Delacombe"/>
    <tableColumn id="782" xr3:uid="{00000000-0010-0000-0300-00000E030000}" name="Delahey"/>
    <tableColumn id="783" xr3:uid="{00000000-0010-0000-0300-00000F030000}" name="Delatite"/>
    <tableColumn id="784" xr3:uid="{00000000-0010-0000-0300-000010030000}" name="Delburn"/>
    <tableColumn id="785" xr3:uid="{00000000-0010-0000-0300-000011030000}" name="Delegate River"/>
    <tableColumn id="786" xr3:uid="{00000000-0010-0000-0300-000012030000}" name="Dendy"/>
    <tableColumn id="787" xr3:uid="{00000000-0010-0000-0300-000013030000}" name="Denicull Creek"/>
    <tableColumn id="788" xr3:uid="{00000000-0010-0000-0300-000014030000}" name="Denison"/>
    <tableColumn id="789" xr3:uid="{00000000-0010-0000-0300-000015030000}" name="Dennington"/>
    <tableColumn id="790" xr3:uid="{00000000-0010-0000-0300-000016030000}" name="Denver"/>
    <tableColumn id="791" xr3:uid="{00000000-0010-0000-0300-000017030000}" name="Deptford"/>
    <tableColumn id="792" xr3:uid="{00000000-0010-0000-0300-000018030000}" name="Derby"/>
    <tableColumn id="793" xr3:uid="{00000000-0010-0000-0300-000019030000}" name="Dereel"/>
    <tableColumn id="794" xr3:uid="{00000000-0010-0000-0300-00001A030000}" name="Dergholm"/>
    <tableColumn id="795" xr3:uid="{00000000-0010-0000-0300-00001B030000}" name="Derrimut"/>
    <tableColumn id="796" xr3:uid="{00000000-0010-0000-0300-00001C030000}" name="Derrinal"/>
    <tableColumn id="797" xr3:uid="{00000000-0010-0000-0300-00001D030000}" name="Derrinallum"/>
    <tableColumn id="798" xr3:uid="{00000000-0010-0000-0300-00001E030000}" name="Devenish"/>
    <tableColumn id="799" xr3:uid="{00000000-0010-0000-0300-00001F030000}" name="Devils River"/>
    <tableColumn id="800" xr3:uid="{00000000-0010-0000-0300-000020030000}" name="Devon Meadows"/>
    <tableColumn id="801" xr3:uid="{00000000-0010-0000-0300-000021030000}" name="Devon North"/>
    <tableColumn id="802" xr3:uid="{00000000-0010-0000-0300-000022030000}" name="Dewhurst"/>
    <tableColumn id="803" xr3:uid="{00000000-0010-0000-0300-000023030000}" name="Dhurringile"/>
    <tableColumn id="804" xr3:uid="{00000000-0010-0000-0300-000024030000}" name="Diamond Creek"/>
    <tableColumn id="805" xr3:uid="{00000000-0010-0000-0300-000025030000}" name="Digby"/>
    <tableColumn id="806" xr3:uid="{00000000-0010-0000-0300-000026030000}" name="Diggers Rest"/>
    <tableColumn id="807" xr3:uid="{00000000-0010-0000-0300-000027030000}" name="Diggora"/>
    <tableColumn id="808" xr3:uid="{00000000-0010-0000-0300-000028030000}" name="Dimboola"/>
    <tableColumn id="809" xr3:uid="{00000000-0010-0000-0300-000029030000}" name="Dingee"/>
    <tableColumn id="810" xr3:uid="{00000000-0010-0000-0300-00002A030000}" name="Dingley Village"/>
    <tableColumn id="811" xr3:uid="{00000000-0010-0000-0300-00002B030000}" name="Dingwall"/>
    <tableColumn id="812" xr3:uid="{00000000-0010-0000-0300-00002C030000}" name="Dinner Plain"/>
    <tableColumn id="813" xr3:uid="{00000000-0010-0000-0300-00002D030000}" name="Dixie"/>
    <tableColumn id="814" xr3:uid="{00000000-0010-0000-0300-00002E030000}" name="Dixons Creek"/>
    <tableColumn id="815" xr3:uid="{00000000-0010-0000-0300-00002F030000}" name="Dobie"/>
    <tableColumn id="816" xr3:uid="{00000000-0010-0000-0300-000030030000}" name="Docker"/>
    <tableColumn id="817" xr3:uid="{00000000-0010-0000-0300-000031030000}" name="Dockers Plains"/>
    <tableColumn id="818" xr3:uid="{00000000-0010-0000-0300-000032030000}" name="Docklands"/>
    <tableColumn id="819" xr3:uid="{00000000-0010-0000-0300-000033030000}" name="Doctors Flat"/>
    <tableColumn id="820" xr3:uid="{00000000-0010-0000-0300-000034030000}" name="Dollar"/>
    <tableColumn id="821" xr3:uid="{00000000-0010-0000-0300-000035030000}" name="Don Valley"/>
    <tableColumn id="822" xr3:uid="{00000000-0010-0000-0300-000036030000}" name="Donald"/>
    <tableColumn id="823" xr3:uid="{00000000-0010-0000-0300-000037030000}" name="Doncaster"/>
    <tableColumn id="824" xr3:uid="{00000000-0010-0000-0300-000038030000}" name="Doncaster East"/>
    <tableColumn id="825" xr3:uid="{00000000-0010-0000-0300-000039030000}" name="Doncaster Heights"/>
    <tableColumn id="826" xr3:uid="{00000000-0010-0000-0300-00003A030000}" name="Donnybrook"/>
    <tableColumn id="827" xr3:uid="{00000000-0010-0000-0300-00003B030000}" name="Donvale"/>
    <tableColumn id="828" xr3:uid="{00000000-0010-0000-0300-00003C030000}" name="Dooboobetic"/>
    <tableColumn id="829" xr3:uid="{00000000-0010-0000-0300-00003D030000}" name="Dooen"/>
    <tableColumn id="830" xr3:uid="{00000000-0010-0000-0300-00003E030000}" name="Dookie"/>
    <tableColumn id="831" xr3:uid="{00000000-0010-0000-0300-00003F030000}" name="Dookie College"/>
    <tableColumn id="832" xr3:uid="{00000000-0010-0000-0300-000040030000}" name="Doreen"/>
    <tableColumn id="833" xr3:uid="{00000000-0010-0000-0300-000041030000}" name="Dorodong"/>
    <tableColumn id="834" xr3:uid="{00000000-0010-0000-0300-000042030000}" name="Double Bridges"/>
    <tableColumn id="835" xr3:uid="{00000000-0010-0000-0300-000043030000}" name="Douglas"/>
    <tableColumn id="836" xr3:uid="{00000000-0010-0000-0300-000044030000}" name="Doveton"/>
    <tableColumn id="837" xr3:uid="{00000000-0010-0000-0300-000045030000}" name="Dreeite"/>
    <tableColumn id="838" xr3:uid="{00000000-0010-0000-0300-000046030000}" name="Dreeite South"/>
    <tableColumn id="839" xr3:uid="{00000000-0010-0000-0300-000047030000}" name="Driffield"/>
    <tableColumn id="840" xr3:uid="{00000000-0010-0000-0300-000048030000}" name="Drik Drik"/>
    <tableColumn id="841" xr3:uid="{00000000-0010-0000-0300-000049030000}" name="Dromana"/>
    <tableColumn id="842" xr3:uid="{00000000-0010-0000-0300-00004A030000}" name="Dropmore"/>
    <tableColumn id="843" xr3:uid="{00000000-0010-0000-0300-00004B030000}" name="Drouin"/>
    <tableColumn id="844" xr3:uid="{00000000-0010-0000-0300-00004C030000}" name="Drouin East"/>
    <tableColumn id="845" xr3:uid="{00000000-0010-0000-0300-00004D030000}" name="Drouin South"/>
    <tableColumn id="846" xr3:uid="{00000000-0010-0000-0300-00004E030000}" name="Drouin West"/>
    <tableColumn id="847" xr3:uid="{00000000-0010-0000-0300-00004F030000}" name="Drumanure"/>
    <tableColumn id="848" xr3:uid="{00000000-0010-0000-0300-000050030000}" name="Drumborg"/>
    <tableColumn id="849" xr3:uid="{00000000-0010-0000-0300-000051030000}" name="Drumcondra"/>
    <tableColumn id="850" xr3:uid="{00000000-0010-0000-0300-000052030000}" name="Drummartin"/>
    <tableColumn id="851" xr3:uid="{00000000-0010-0000-0300-000053030000}" name="Drummond"/>
    <tableColumn id="852" xr3:uid="{00000000-0010-0000-0300-000054030000}" name="Drummond North"/>
    <tableColumn id="853" xr3:uid="{00000000-0010-0000-0300-000055030000}" name="Drung"/>
    <tableColumn id="854" xr3:uid="{00000000-0010-0000-0300-000056030000}" name="Dry Diggings"/>
    <tableColumn id="855" xr3:uid="{00000000-0010-0000-0300-000057030000}" name="Drysdale"/>
    <tableColumn id="856" xr3:uid="{00000000-0010-0000-0300-000058030000}" name="Duchembegarra"/>
    <tableColumn id="857" xr3:uid="{00000000-0010-0000-0300-000059030000}" name="Dumbalk"/>
    <tableColumn id="858" xr3:uid="{00000000-0010-0000-0300-00005A030000}" name="Dumbalk North"/>
    <tableColumn id="859" xr3:uid="{00000000-0010-0000-0300-00005B030000}" name="Dumosa"/>
    <tableColumn id="860" xr3:uid="{00000000-0010-0000-0300-00005C030000}" name="Dunach"/>
    <tableColumn id="861" xr3:uid="{00000000-0010-0000-0300-00005D030000}" name="Dundonnell"/>
    <tableColumn id="862" xr3:uid="{00000000-0010-0000-0300-00005E030000}" name="Dunearn"/>
    <tableColumn id="863" xr3:uid="{00000000-0010-0000-0300-00005F030000}" name="Dunkeld"/>
    <tableColumn id="864" xr3:uid="{00000000-0010-0000-0300-000060030000}" name="Dunkirk"/>
    <tableColumn id="865" xr3:uid="{00000000-0010-0000-0300-000061030000}" name="Dunluce"/>
    <tableColumn id="866" xr3:uid="{00000000-0010-0000-0300-000062030000}" name="Dunneworthy"/>
    <tableColumn id="867" xr3:uid="{00000000-0010-0000-0300-000063030000}" name="Dunnstown"/>
    <tableColumn id="868" xr3:uid="{00000000-0010-0000-0300-000064030000}" name="Dunolly"/>
    <tableColumn id="869" xr3:uid="{00000000-0010-0000-0300-000065030000}" name="Dunrobin"/>
    <tableColumn id="870" xr3:uid="{00000000-0010-0000-0300-000066030000}" name="Durdidwarrah"/>
    <tableColumn id="871" xr3:uid="{00000000-0010-0000-0300-000067030000}" name="Durham Lead"/>
    <tableColumn id="872" xr3:uid="{00000000-0010-0000-0300-000068030000}" name="Durham Ox"/>
    <tableColumn id="873" xr3:uid="{00000000-0010-0000-0300-000069030000}" name="Dutson"/>
    <tableColumn id="874" xr3:uid="{00000000-0010-0000-0300-00006A030000}" name="Dutson Downs"/>
    <tableColumn id="875" xr3:uid="{00000000-0010-0000-0300-00006B030000}" name="Dutton Way"/>
    <tableColumn id="876" xr3:uid="{00000000-0010-0000-0300-00006C030000}" name="Duverney"/>
    <tableColumn id="877" xr3:uid="{00000000-0010-0000-0300-00006D030000}" name="Eagle Point"/>
    <tableColumn id="878" xr3:uid="{00000000-0010-0000-0300-00006E030000}" name="Eaglehawk"/>
    <tableColumn id="879" xr3:uid="{00000000-0010-0000-0300-00006F030000}" name="Eaglehawk North"/>
    <tableColumn id="880" xr3:uid="{00000000-0010-0000-0300-000070030000}" name="Eaglemont"/>
    <tableColumn id="881" xr3:uid="{00000000-0010-0000-0300-000071030000}" name="Earlston"/>
    <tableColumn id="882" xr3:uid="{00000000-0010-0000-0300-000072030000}" name="East Bairnsdale"/>
    <tableColumn id="883" xr3:uid="{00000000-0010-0000-0300-000073030000}" name="East Bendigo"/>
    <tableColumn id="884" xr3:uid="{00000000-0010-0000-0300-000074030000}" name="East Geelong"/>
    <tableColumn id="885" xr3:uid="{00000000-0010-0000-0300-000075030000}" name="East Melbourne"/>
    <tableColumn id="886" xr3:uid="{00000000-0010-0000-0300-000076030000}" name="East Sale"/>
    <tableColumn id="887" xr3:uid="{00000000-0010-0000-0300-000077030000}" name="East Wangaratta"/>
    <tableColumn id="888" xr3:uid="{00000000-0010-0000-0300-000078030000}" name="East Warburton"/>
    <tableColumn id="889" xr3:uid="{00000000-0010-0000-0300-000079030000}" name="Eastern View"/>
    <tableColumn id="890" xr3:uid="{00000000-0010-0000-0300-00007A030000}" name="Eastville"/>
    <tableColumn id="891" xr3:uid="{00000000-0010-0000-0300-00007B030000}" name="Eastwood"/>
    <tableColumn id="892" xr3:uid="{00000000-0010-0000-0300-00007C030000}" name="Ebden"/>
    <tableColumn id="893" xr3:uid="{00000000-0010-0000-0300-00007D030000}" name="Echuca"/>
    <tableColumn id="894" xr3:uid="{00000000-0010-0000-0300-00007E030000}" name="Echuca South"/>
    <tableColumn id="895" xr3:uid="{00000000-0010-0000-0300-00007F030000}" name="Echuca Village"/>
    <tableColumn id="896" xr3:uid="{00000000-0010-0000-0300-000080030000}" name="Echuca West"/>
    <tableColumn id="897" xr3:uid="{00000000-0010-0000-0300-000081030000}" name="Ecklin South"/>
    <tableColumn id="898" xr3:uid="{00000000-0010-0000-0300-000082030000}" name="Eddington"/>
    <tableColumn id="899" xr3:uid="{00000000-0010-0000-0300-000083030000}" name="Eden Park"/>
    <tableColumn id="900" xr3:uid="{00000000-0010-0000-0300-000084030000}" name="Edenhope"/>
    <tableColumn id="901" xr3:uid="{00000000-0010-0000-0300-000085030000}" name="Edgecombe"/>
    <tableColumn id="902" xr3:uid="{00000000-0010-0000-0300-000086030000}" name="Edi"/>
    <tableColumn id="903" xr3:uid="{00000000-0010-0000-0300-000087030000}" name="Edi Upper"/>
    <tableColumn id="904" xr3:uid="{00000000-0010-0000-0300-000088030000}" name="Edithvale"/>
    <tableColumn id="905" xr3:uid="{00000000-0010-0000-0300-000089030000}" name="Eganstown"/>
    <tableColumn id="906" xr3:uid="{00000000-0010-0000-0300-00008A030000}" name="Eildon"/>
    <tableColumn id="907" xr3:uid="{00000000-0010-0000-0300-00008B030000}" name="Elaine"/>
    <tableColumn id="908" xr3:uid="{00000000-0010-0000-0300-00008C030000}" name="Eldorado"/>
    <tableColumn id="909" xr3:uid="{00000000-0010-0000-0300-00008D030000}" name="Elevated Plains"/>
    <tableColumn id="910" xr3:uid="{00000000-0010-0000-0300-00008E030000}" name="Elingamite"/>
    <tableColumn id="911" xr3:uid="{00000000-0010-0000-0300-00008F030000}" name="Elingamite North"/>
    <tableColumn id="912" xr3:uid="{00000000-0010-0000-0300-000090030000}" name="Elizabeth Island"/>
    <tableColumn id="913" xr3:uid="{00000000-0010-0000-0300-000091030000}" name="Ellaswood"/>
    <tableColumn id="914" xr3:uid="{00000000-0010-0000-0300-000092030000}" name="Ellerslie"/>
    <tableColumn id="915" xr3:uid="{00000000-0010-0000-0300-000093030000}" name="Elliminyt"/>
    <tableColumn id="916" xr3:uid="{00000000-0010-0000-0300-000094030000}" name="Ellinbank"/>
    <tableColumn id="917" xr3:uid="{00000000-0010-0000-0300-000095030000}" name="Elmhurst"/>
    <tableColumn id="918" xr3:uid="{00000000-0010-0000-0300-000096030000}" name="Elmore"/>
    <tableColumn id="919" xr3:uid="{00000000-0010-0000-0300-000097030000}" name="Elphinstone"/>
    <tableColumn id="920" xr3:uid="{00000000-0010-0000-0300-000098030000}" name="Elsternwick"/>
    <tableColumn id="921" xr3:uid="{00000000-0010-0000-0300-000099030000}" name="Eltham"/>
    <tableColumn id="922" xr3:uid="{00000000-0010-0000-0300-00009A030000}" name="Eltham North"/>
    <tableColumn id="923" xr3:uid="{00000000-0010-0000-0300-00009B030000}" name="Elwood"/>
    <tableColumn id="924" xr3:uid="{00000000-0010-0000-0300-00009C030000}" name="Emerald"/>
    <tableColumn id="925" xr3:uid="{00000000-0010-0000-0300-00009D030000}" name="Emu"/>
    <tableColumn id="926" xr3:uid="{00000000-0010-0000-0300-00009E030000}" name="Emu Creek"/>
    <tableColumn id="927" xr3:uid="{00000000-0010-0000-0300-00009F030000}" name="Endeavour Hills"/>
    <tableColumn id="928" xr3:uid="{00000000-0010-0000-0300-0000A0030000}" name="Enfield"/>
    <tableColumn id="929" xr3:uid="{00000000-0010-0000-0300-0000A1030000}" name="Englefield"/>
    <tableColumn id="930" xr3:uid="{00000000-0010-0000-0300-0000A2030000}" name="Enochs Point"/>
    <tableColumn id="931" xr3:uid="{00000000-0010-0000-0300-0000A3030000}" name="Ensay"/>
    <tableColumn id="932" xr3:uid="{00000000-0010-0000-0300-0000A4030000}" name="Ensay North"/>
    <tableColumn id="933" xr3:uid="{00000000-0010-0000-0300-0000A5030000}" name="Eppalock"/>
    <tableColumn id="934" xr3:uid="{00000000-0010-0000-0300-0000A6030000}" name="Epping"/>
    <tableColumn id="935" xr3:uid="{00000000-0010-0000-0300-0000A7030000}" name="Epsom"/>
    <tableColumn id="936" xr3:uid="{00000000-0010-0000-0300-0000A8030000}" name="Ercildoune"/>
    <tableColumn id="937" xr3:uid="{00000000-0010-0000-0300-0000A9030000}" name="Erica"/>
    <tableColumn id="938" xr3:uid="{00000000-0010-0000-0300-0000AA030000}" name="Errinundra"/>
    <tableColumn id="939" xr3:uid="{00000000-0010-0000-0300-0000AB030000}" name="Eskdale"/>
    <tableColumn id="940" xr3:uid="{00000000-0010-0000-0300-0000AC030000}" name="Esmond"/>
    <tableColumn id="941" xr3:uid="{00000000-0010-0000-0300-0000AD030000}" name="Essendon"/>
    <tableColumn id="942" xr3:uid="{00000000-0010-0000-0300-0000AE030000}" name="Essendon Fields"/>
    <tableColumn id="943" xr3:uid="{00000000-0010-0000-0300-0000AF030000}" name="Essendon North"/>
    <tableColumn id="944" xr3:uid="{00000000-0010-0000-0300-0000B0030000}" name="Essendon West"/>
    <tableColumn id="945" xr3:uid="{00000000-0010-0000-0300-0000B1030000}" name="Eumemmerring"/>
    <tableColumn id="946" xr3:uid="{00000000-0010-0000-0300-0000B2030000}" name="Eurack"/>
    <tableColumn id="947" xr3:uid="{00000000-0010-0000-0300-0000B3030000}" name="Eureka"/>
    <tableColumn id="948" xr3:uid="{00000000-0010-0000-0300-0000B4030000}" name="Euroa"/>
    <tableColumn id="949" xr3:uid="{00000000-0010-0000-0300-0000B5030000}" name="Eurobin"/>
    <tableColumn id="950" xr3:uid="{00000000-0010-0000-0300-0000B6030000}" name="Evansford"/>
    <tableColumn id="951" xr3:uid="{00000000-0010-0000-0300-0000B7030000}" name="Eversley"/>
    <tableColumn id="952" xr3:uid="{00000000-0010-0000-0300-0000B8030000}" name="Everton"/>
    <tableColumn id="953" xr3:uid="{00000000-0010-0000-0300-0000B9030000}" name="Everton Upper"/>
    <tableColumn id="954" xr3:uid="{00000000-0010-0000-0300-0000BA030000}" name="Exford"/>
    <tableColumn id="955" xr3:uid="{00000000-0010-0000-0300-0000BB030000}" name="Eynesbury"/>
    <tableColumn id="956" xr3:uid="{00000000-0010-0000-0300-0000BC030000}" name="Fairbank"/>
    <tableColumn id="957" xr3:uid="{00000000-0010-0000-0300-0000BD030000}" name="Fairfield"/>
    <tableColumn id="958" xr3:uid="{00000000-0010-0000-0300-0000BE030000}" name="Fairhaven"/>
    <tableColumn id="959" xr3:uid="{00000000-0010-0000-0300-0000BF030000}" name="Fairley"/>
    <tableColumn id="960" xr3:uid="{00000000-0010-0000-0300-0000C0030000}" name="Fairy Dell"/>
    <tableColumn id="961" xr3:uid="{00000000-0010-0000-0300-0000C1030000}" name="Falls Creek"/>
    <tableColumn id="962" xr3:uid="{00000000-0010-0000-0300-0000C2030000}" name="Faraday"/>
    <tableColumn id="963" xr3:uid="{00000000-0010-0000-0300-0000C3030000}" name="Fawcett"/>
    <tableColumn id="964" xr3:uid="{00000000-0010-0000-0300-0000C4030000}" name="Fawkner"/>
    <tableColumn id="965" xr3:uid="{00000000-0010-0000-0300-0000C5030000}" name="Fentons Creek"/>
    <tableColumn id="966" xr3:uid="{00000000-0010-0000-0300-0000C6030000}" name="Ferguson"/>
    <tableColumn id="967" xr3:uid="{00000000-0010-0000-0300-0000C7030000}" name="Fern Hill"/>
    <tableColumn id="968" xr3:uid="{00000000-0010-0000-0300-0000C8030000}" name="Fernbank"/>
    <tableColumn id="969" xr3:uid="{00000000-0010-0000-0300-0000C9030000}" name="Ferndale"/>
    <tableColumn id="970" xr3:uid="{00000000-0010-0000-0300-0000CA030000}" name="Fernihurst"/>
    <tableColumn id="971" xr3:uid="{00000000-0010-0000-0300-0000CB030000}" name="Fernshaw"/>
    <tableColumn id="972" xr3:uid="{00000000-0010-0000-0300-0000CC030000}" name="Ferntree Gully"/>
    <tableColumn id="973" xr3:uid="{00000000-0010-0000-0300-0000CD030000}" name="Ferny Creek"/>
    <tableColumn id="974" xr3:uid="{00000000-0010-0000-0300-0000CE030000}" name="Fiery Flat"/>
    <tableColumn id="975" xr3:uid="{00000000-0010-0000-0300-0000CF030000}" name="Fingal"/>
    <tableColumn id="976" xr3:uid="{00000000-0010-0000-0300-0000D0030000}" name="Fish Creek"/>
    <tableColumn id="977" xr3:uid="{00000000-0010-0000-0300-0000D1030000}" name="Fish Point"/>
    <tableColumn id="978" xr3:uid="{00000000-0010-0000-0300-0000D2030000}" name="Fiskville"/>
    <tableColumn id="979" xr3:uid="{00000000-0010-0000-0300-0000D3030000}" name="Fitzroy"/>
    <tableColumn id="980" xr3:uid="{00000000-0010-0000-0300-0000D4030000}" name="Fitzroy North"/>
    <tableColumn id="981" xr3:uid="{00000000-0010-0000-0300-0000D5030000}" name="Flaggy Creek"/>
    <tableColumn id="982" xr3:uid="{00000000-0010-0000-0300-0000D6030000}" name="Flagstaff"/>
    <tableColumn id="983" xr3:uid="{00000000-0010-0000-0300-0000D7030000}" name="Flamingo Beach"/>
    <tableColumn id="984" xr3:uid="{00000000-0010-0000-0300-0000D8030000}" name="Flemington"/>
    <tableColumn id="985" xr3:uid="{00000000-0010-0000-0300-0000D9030000}" name="Flinders"/>
    <tableColumn id="986" xr3:uid="{00000000-0010-0000-0300-0000DA030000}" name="Flora Hill"/>
    <tableColumn id="987" xr3:uid="{00000000-0010-0000-0300-0000DB030000}" name="Flowerdale"/>
    <tableColumn id="988" xr3:uid="{00000000-0010-0000-0300-0000DC030000}" name="Flynn"/>
    <tableColumn id="989" xr3:uid="{00000000-0010-0000-0300-0000DD030000}" name="Flynns Creek"/>
    <tableColumn id="990" xr3:uid="{00000000-0010-0000-0300-0000DE030000}" name="Footscray"/>
    <tableColumn id="991" xr3:uid="{00000000-0010-0000-0300-0000DF030000}" name="Forbes"/>
    <tableColumn id="992" xr3:uid="{00000000-0010-0000-0300-0000E0030000}" name="Forest Hill"/>
    <tableColumn id="993" xr3:uid="{00000000-0010-0000-0300-0000E1030000}" name="Forge Creek"/>
    <tableColumn id="994" xr3:uid="{00000000-0010-0000-0300-0000E2030000}" name="Forrest"/>
    <tableColumn id="995" xr3:uid="{00000000-0010-0000-0300-0000E3030000}" name="Foster"/>
    <tableColumn id="996" xr3:uid="{00000000-0010-0000-0300-0000E4030000}" name="Foster North"/>
    <tableColumn id="997" xr3:uid="{00000000-0010-0000-0300-0000E5030000}" name="Fosterville"/>
    <tableColumn id="998" xr3:uid="{00000000-0010-0000-0300-0000E6030000}" name="Fountain Gate"/>
    <tableColumn id="999" xr3:uid="{00000000-0010-0000-0300-0000E7030000}" name="Foxhow"/>
    <tableColumn id="1000" xr3:uid="{00000000-0010-0000-0300-0000E8030000}" name="Framlingham"/>
    <tableColumn id="1001" xr3:uid="{00000000-0010-0000-0300-0000E9030000}" name="Framlingham East"/>
    <tableColumn id="1002" xr3:uid="{00000000-0010-0000-0300-0000EA030000}" name="Franklinford"/>
    <tableColumn id="1003" xr3:uid="{00000000-0010-0000-0300-0000EB030000}" name="Frankston"/>
    <tableColumn id="1004" xr3:uid="{00000000-0010-0000-0300-0000EC030000}" name="Frankston East"/>
    <tableColumn id="1005" xr3:uid="{00000000-0010-0000-0300-0000ED030000}" name="Frankston Heights"/>
    <tableColumn id="1006" xr3:uid="{00000000-0010-0000-0300-0000EE030000}" name="Frankston North"/>
    <tableColumn id="1007" xr3:uid="{00000000-0010-0000-0300-0000EF030000}" name="Frankston South"/>
    <tableColumn id="1008" xr3:uid="{00000000-0010-0000-0300-0000F0030000}" name="Freeburgh"/>
    <tableColumn id="1009" xr3:uid="{00000000-0010-0000-0300-0000F1030000}" name="French Island"/>
    <tableColumn id="1010" xr3:uid="{00000000-0010-0000-0300-0000F2030000}" name="Frenchmans"/>
    <tableColumn id="1011" xr3:uid="{00000000-0010-0000-0300-0000F3030000}" name="Freshwater Creek"/>
    <tableColumn id="1012" xr3:uid="{00000000-0010-0000-0300-0000F4030000}" name="Fryerstown"/>
    <tableColumn id="1013" xr3:uid="{00000000-0010-0000-0300-0000F5030000}" name="Fulham"/>
    <tableColumn id="1014" xr3:uid="{00000000-0010-0000-0300-0000F6030000}" name="Fumina"/>
    <tableColumn id="1015" xr3:uid="{00000000-0010-0000-0300-0000F7030000}" name="Fumina South"/>
    <tableColumn id="1016" xr3:uid="{00000000-0010-0000-0300-0000F8030000}" name="Fyans Creek"/>
    <tableColumn id="1017" xr3:uid="{00000000-0010-0000-0300-0000F9030000}" name="Fyansford"/>
    <tableColumn id="1018" xr3:uid="{00000000-0010-0000-0300-0000FA030000}" name="Gaffneys Creek"/>
    <tableColumn id="1019" xr3:uid="{00000000-0010-0000-0300-0000FB030000}" name="Gainsborough"/>
    <tableColumn id="1020" xr3:uid="{00000000-0010-0000-0300-0000FC030000}" name="Gannawarra"/>
    <tableColumn id="1021" xr3:uid="{00000000-0010-0000-0300-0000FD030000}" name="Gapsted"/>
    <tableColumn id="1022" xr3:uid="{00000000-0010-0000-0300-0000FE030000}" name="Garden City"/>
    <tableColumn id="1023" xr3:uid="{00000000-0010-0000-0300-0000FF030000}" name="Gardenvale"/>
    <tableColumn id="1024" xr3:uid="{00000000-0010-0000-0300-000000040000}" name="Garfield"/>
    <tableColumn id="1025" xr3:uid="{00000000-0010-0000-0300-000001040000}" name="Garfield North"/>
    <tableColumn id="1026" xr3:uid="{00000000-0010-0000-0300-000002040000}" name="Garibaldi"/>
    <tableColumn id="1027" xr3:uid="{00000000-0010-0000-0300-000003040000}" name="Garvoc"/>
    <tableColumn id="1028" xr3:uid="{00000000-0010-0000-0300-000004040000}" name="Gateway Island"/>
    <tableColumn id="1029" xr3:uid="{00000000-0010-0000-0300-000005040000}" name="Gatum"/>
    <tableColumn id="1030" xr3:uid="{00000000-0010-0000-0300-000006040000}" name="Gazette"/>
    <tableColumn id="1031" xr3:uid="{00000000-0010-0000-0300-000007040000}" name="Geelong"/>
    <tableColumn id="1032" xr3:uid="{00000000-0010-0000-0300-000008040000}" name="Geelong Mc"/>
    <tableColumn id="1033" xr3:uid="{00000000-0010-0000-0300-000009040000}" name="Geelong North"/>
    <tableColumn id="1034" xr3:uid="{00000000-0010-0000-0300-00000A040000}" name="Geelong West"/>
    <tableColumn id="1035" xr3:uid="{00000000-0010-0000-0300-00000B040000}" name="Gelantipy"/>
    <tableColumn id="1036" xr3:uid="{00000000-0010-0000-0300-00000C040000}" name="Gellibrand"/>
    <tableColumn id="1037" xr3:uid="{00000000-0010-0000-0300-00000D040000}" name="Gellibrand Lower"/>
    <tableColumn id="1038" xr3:uid="{00000000-0010-0000-0300-00000E040000}" name="Gelliondale"/>
    <tableColumn id="1039" xr3:uid="{00000000-0010-0000-0300-00000F040000}" name="Gembrook"/>
    <tableColumn id="1040" xr3:uid="{00000000-0010-0000-0300-000010040000}" name="Genoa"/>
    <tableColumn id="1041" xr3:uid="{00000000-0010-0000-0300-000011040000}" name="Gentle Annie"/>
    <tableColumn id="1042" xr3:uid="{00000000-0010-0000-0300-000012040000}" name="Georges Creek"/>
    <tableColumn id="1043" xr3:uid="{00000000-0010-0000-0300-000013040000}" name="Gerahmin"/>
    <tableColumn id="1044" xr3:uid="{00000000-0010-0000-0300-000014040000}" name="Gerang Gerung"/>
    <tableColumn id="1045" xr3:uid="{00000000-0010-0000-0300-000015040000}" name="Gerangamete"/>
    <tableColumn id="1046" xr3:uid="{00000000-0010-0000-0300-000016040000}" name="Germania"/>
    <tableColumn id="1047" xr3:uid="{00000000-0010-0000-0300-000017040000}" name="Germantown"/>
    <tableColumn id="1048" xr3:uid="{00000000-0010-0000-0300-000018040000}" name="Gerrigerrup"/>
    <tableColumn id="1049" xr3:uid="{00000000-0010-0000-0300-000019040000}" name="Gherang"/>
    <tableColumn id="1050" xr3:uid="{00000000-0010-0000-0300-00001A040000}" name="Gheringhap"/>
    <tableColumn id="1051" xr3:uid="{00000000-0010-0000-0300-00001B040000}" name="Ghin Ghin"/>
    <tableColumn id="1052" xr3:uid="{00000000-0010-0000-0300-00001C040000}" name="Giffard"/>
    <tableColumn id="1053" xr3:uid="{00000000-0010-0000-0300-00001D040000}" name="Giffard West"/>
    <tableColumn id="1054" xr3:uid="{00000000-0010-0000-0300-00001E040000}" name="Gil Gil"/>
    <tableColumn id="1055" xr3:uid="{00000000-0010-0000-0300-00001F040000}" name="Gilberton"/>
    <tableColumn id="1056" xr3:uid="{00000000-0010-0000-0300-000020040000}" name="Gilderoy"/>
    <tableColumn id="1057" xr3:uid="{00000000-0010-0000-0300-000021040000}" name="Gillieston"/>
    <tableColumn id="1058" xr3:uid="{00000000-0010-0000-0300-000022040000}" name="Gillum"/>
    <tableColumn id="1059" xr3:uid="{00000000-0010-0000-0300-000023040000}" name="Gipsy Point"/>
    <tableColumn id="1060" xr3:uid="{00000000-0010-0000-0300-000024040000}" name="Girgarre"/>
    <tableColumn id="1061" xr3:uid="{00000000-0010-0000-0300-000025040000}" name="Girgarre East"/>
    <tableColumn id="1062" xr3:uid="{00000000-0010-0000-0300-000026040000}" name="Gisborne"/>
    <tableColumn id="1063" xr3:uid="{00000000-0010-0000-0300-000027040000}" name="Gisborne South"/>
    <tableColumn id="1064" xr3:uid="{00000000-0010-0000-0300-000028040000}" name="Gladfield"/>
    <tableColumn id="1065" xr3:uid="{00000000-0010-0000-0300-000029040000}" name="Gladstone Park"/>
    <tableColumn id="1066" xr3:uid="{00000000-0010-0000-0300-00002A040000}" name="Gladysdale"/>
    <tableColumn id="1067" xr3:uid="{00000000-0010-0000-0300-00002B040000}" name="Glen Alvie"/>
    <tableColumn id="1068" xr3:uid="{00000000-0010-0000-0300-00002C040000}" name="Glen Creek"/>
    <tableColumn id="1069" xr3:uid="{00000000-0010-0000-0300-00002D040000}" name="Glen Forbes"/>
    <tableColumn id="1070" xr3:uid="{00000000-0010-0000-0300-00002E040000}" name="Glen Huntly"/>
    <tableColumn id="1071" xr3:uid="{00000000-0010-0000-0300-00002F040000}" name="Glen Iris"/>
    <tableColumn id="1072" xr3:uid="{00000000-0010-0000-0300-000030040000}" name="Glen Park"/>
    <tableColumn id="1073" xr3:uid="{00000000-0010-0000-0300-000031040000}" name="Glen Valley"/>
    <tableColumn id="1074" xr3:uid="{00000000-0010-0000-0300-000032040000}" name="Glen Waverley"/>
    <tableColumn id="1075" xr3:uid="{00000000-0010-0000-0300-000033040000}" name="Glen Wills"/>
    <tableColumn id="1076" xr3:uid="{00000000-0010-0000-0300-000034040000}" name="Glenaire"/>
    <tableColumn id="1077" xr3:uid="{00000000-0010-0000-0300-000035040000}" name="Glenaladale"/>
    <tableColumn id="1078" xr3:uid="{00000000-0010-0000-0300-000036040000}" name="Glenalbyn"/>
    <tableColumn id="1079" xr3:uid="{00000000-0010-0000-0300-000037040000}" name="Glenaroua"/>
    <tableColumn id="1080" xr3:uid="{00000000-0010-0000-0300-000038040000}" name="Glenbrae"/>
    <tableColumn id="1081" xr3:uid="{00000000-0010-0000-0300-000039040000}" name="Glenburn"/>
    <tableColumn id="1082" xr3:uid="{00000000-0010-0000-0300-00003A040000}" name="Glendaruel"/>
    <tableColumn id="1083" xr3:uid="{00000000-0010-0000-0300-00003B040000}" name="Glendonald"/>
    <tableColumn id="1084" xr3:uid="{00000000-0010-0000-0300-00003C040000}" name="Glenfalloch"/>
    <tableColumn id="1085" xr3:uid="{00000000-0010-0000-0300-00003D040000}" name="Glenferrie South"/>
    <tableColumn id="1086" xr3:uid="{00000000-0010-0000-0300-00003E040000}" name="Glenfyne"/>
    <tableColumn id="1087" xr3:uid="{00000000-0010-0000-0300-00003F040000}" name="Glengala"/>
    <tableColumn id="1088" xr3:uid="{00000000-0010-0000-0300-000040040000}" name="Glengarry"/>
    <tableColumn id="1089" xr3:uid="{00000000-0010-0000-0300-000041040000}" name="Glengarry North"/>
    <tableColumn id="1090" xr3:uid="{00000000-0010-0000-0300-000042040000}" name="Glengarry West"/>
    <tableColumn id="1091" xr3:uid="{00000000-0010-0000-0300-000043040000}" name="Glengower"/>
    <tableColumn id="1092" xr3:uid="{00000000-0010-0000-0300-000044040000}" name="Glenhope"/>
    <tableColumn id="1093" xr3:uid="{00000000-0010-0000-0300-000045040000}" name="Glenhope East"/>
    <tableColumn id="1094" xr3:uid="{00000000-0010-0000-0300-000046040000}" name="Glenisla"/>
    <tableColumn id="1095" xr3:uid="{00000000-0010-0000-0300-000047040000}" name="Glenlee"/>
    <tableColumn id="1096" xr3:uid="{00000000-0010-0000-0300-000048040000}" name="Glenlofty"/>
    <tableColumn id="1097" xr3:uid="{00000000-0010-0000-0300-000049040000}" name="Glenlogie"/>
    <tableColumn id="1098" xr3:uid="{00000000-0010-0000-0300-00004A040000}" name="Glenloth"/>
    <tableColumn id="1099" xr3:uid="{00000000-0010-0000-0300-00004B040000}" name="Glenloth East"/>
    <tableColumn id="1100" xr3:uid="{00000000-0010-0000-0300-00004C040000}" name="Glenluce"/>
    <tableColumn id="1101" xr3:uid="{00000000-0010-0000-0300-00004D040000}" name="Glenlyon"/>
    <tableColumn id="1102" xr3:uid="{00000000-0010-0000-0300-00004E040000}" name="Glenmaggie"/>
    <tableColumn id="1103" xr3:uid="{00000000-0010-0000-0300-00004F040000}" name="Glenmore"/>
    <tableColumn id="1104" xr3:uid="{00000000-0010-0000-0300-000050040000}" name="Glenorchy"/>
    <tableColumn id="1105" xr3:uid="{00000000-0010-0000-0300-000051040000}" name="Glenormiston"/>
    <tableColumn id="1106" xr3:uid="{00000000-0010-0000-0300-000052040000}" name="Glenormiston North"/>
    <tableColumn id="1107" xr3:uid="{00000000-0010-0000-0300-000053040000}" name="Glenormiston South"/>
    <tableColumn id="1108" xr3:uid="{00000000-0010-0000-0300-000054040000}" name="Glenpatrick"/>
    <tableColumn id="1109" xr3:uid="{00000000-0010-0000-0300-000055040000}" name="Glenrowan"/>
    <tableColumn id="1110" xr3:uid="{00000000-0010-0000-0300-000056040000}" name="Glenrowan West"/>
    <tableColumn id="1111" xr3:uid="{00000000-0010-0000-0300-000057040000}" name="Glenroy"/>
    <tableColumn id="1112" xr3:uid="{00000000-0010-0000-0300-000058040000}" name="Glenthompson"/>
    <tableColumn id="1113" xr3:uid="{00000000-0010-0000-0300-000059040000}" name="Glomar Beach"/>
    <tableColumn id="1114" xr3:uid="{00000000-0010-0000-0300-00005A040000}" name="Gnarwarre"/>
    <tableColumn id="1115" xr3:uid="{00000000-0010-0000-0300-00005B040000}" name="Gnotuk"/>
    <tableColumn id="1116" xr3:uid="{00000000-0010-0000-0300-00005C040000}" name="Gobarup"/>
    <tableColumn id="1117" xr3:uid="{00000000-0010-0000-0300-00005D040000}" name="Gobur"/>
    <tableColumn id="1118" xr3:uid="{00000000-0010-0000-0300-00005E040000}" name="Golden Beach"/>
    <tableColumn id="1119" xr3:uid="{00000000-0010-0000-0300-00005F040000}" name="Golden Gully"/>
    <tableColumn id="1120" xr3:uid="{00000000-0010-0000-0300-000060040000}" name="Golden Point"/>
    <tableColumn id="1121" xr3:uid="{00000000-0010-0000-0300-000061040000}" name="Golden Square"/>
    <tableColumn id="1122" xr3:uid="{00000000-0010-0000-0300-000062040000}" name="Goldie"/>
    <tableColumn id="1123" xr3:uid="{00000000-0010-0000-0300-000063040000}" name="Goldsborough"/>
    <tableColumn id="1124" xr3:uid="{00000000-0010-0000-0300-000064040000}" name="Gong Gong"/>
    <tableColumn id="1125" xr3:uid="{00000000-0010-0000-0300-000065040000}" name="Gonn Crossing"/>
    <tableColumn id="1126" xr3:uid="{00000000-0010-0000-0300-000066040000}" name="Goomalibee"/>
    <tableColumn id="1127" xr3:uid="{00000000-0010-0000-0300-000067040000}" name="Goon Nure"/>
    <tableColumn id="1128" xr3:uid="{00000000-0010-0000-0300-000068040000}" name="Goongerah"/>
    <tableColumn id="1129" xr3:uid="{00000000-0010-0000-0300-000069040000}" name="Gooram"/>
    <tableColumn id="1130" xr3:uid="{00000000-0010-0000-0300-00006A040000}" name="Gooramadda"/>
    <tableColumn id="1131" xr3:uid="{00000000-0010-0000-0300-00006B040000}" name="Goorambat"/>
    <tableColumn id="1132" xr3:uid="{00000000-0010-0000-0300-00006C040000}" name="Goornong"/>
    <tableColumn id="1133" xr3:uid="{00000000-0010-0000-0300-00006D040000}" name="Gooroc"/>
    <tableColumn id="1134" xr3:uid="{00000000-0010-0000-0300-00006E040000}" name="Gorae"/>
    <tableColumn id="1135" xr3:uid="{00000000-0010-0000-0300-00006F040000}" name="Gorae West"/>
    <tableColumn id="1136" xr3:uid="{00000000-0010-0000-0300-000070040000}" name="Gordon"/>
    <tableColumn id="1137" xr3:uid="{00000000-0010-0000-0300-000071040000}" name="Gormandale"/>
    <tableColumn id="1138" xr3:uid="{00000000-0010-0000-0300-000072040000}" name="Goroke"/>
    <tableColumn id="1139" xr3:uid="{00000000-0010-0000-0300-000073040000}" name="Goschen"/>
    <tableColumn id="1140" xr3:uid="{00000000-0010-0000-0300-000074040000}" name="Goughs Bay"/>
    <tableColumn id="1141" xr3:uid="{00000000-0010-0000-0300-000075040000}" name="Goulburn Weir"/>
    <tableColumn id="1142" xr3:uid="{00000000-0010-0000-0300-000076040000}" name="Gowanbrae"/>
    <tableColumn id="1143" xr3:uid="{00000000-0010-0000-0300-000077040000}" name="Gowanford"/>
    <tableColumn id="1144" xr3:uid="{00000000-0010-0000-0300-000078040000}" name="Gowangardie"/>
    <tableColumn id="1145" xr3:uid="{00000000-0010-0000-0300-000079040000}" name="Gowar East"/>
    <tableColumn id="1146" xr3:uid="{00000000-0010-0000-0300-00007A040000}" name="Gower"/>
    <tableColumn id="1147" xr3:uid="{00000000-0010-0000-0300-00007B040000}" name="Grahamvale"/>
    <tableColumn id="1148" xr3:uid="{00000000-0010-0000-0300-00007C040000}" name="Grampians"/>
    <tableColumn id="1149" xr3:uid="{00000000-0010-0000-0300-00007D040000}" name="Grand Ridge"/>
    <tableColumn id="1150" xr3:uid="{00000000-0010-0000-0300-00007E040000}" name="Granite Flat"/>
    <tableColumn id="1151" xr3:uid="{00000000-0010-0000-0300-00007F040000}" name="Granite Rock"/>
    <tableColumn id="1152" xr3:uid="{00000000-0010-0000-0300-000080040000}" name="Grantville"/>
    <tableColumn id="1153" xr3:uid="{00000000-0010-0000-0300-000081040000}" name="Granya"/>
    <tableColumn id="1154" xr3:uid="{00000000-0010-0000-0300-000082040000}" name="Grass Flat"/>
    <tableColumn id="1155" xr3:uid="{00000000-0010-0000-0300-000083040000}" name="Grassdale"/>
    <tableColumn id="1156" xr3:uid="{00000000-0010-0000-0300-000084040000}" name="Grassmere"/>
    <tableColumn id="1157" xr3:uid="{00000000-0010-0000-0300-000085040000}" name="Grays Bridge"/>
    <tableColumn id="1158" xr3:uid="{00000000-0010-0000-0300-000086040000}" name="Graytown"/>
    <tableColumn id="1159" xr3:uid="{00000000-0010-0000-0300-000087040000}" name="Gre Gre"/>
    <tableColumn id="1160" xr3:uid="{00000000-0010-0000-0300-000088040000}" name="Gre Gre North"/>
    <tableColumn id="1161" xr3:uid="{00000000-0010-0000-0300-000089040000}" name="Gre Gre South"/>
    <tableColumn id="1162" xr3:uid="{00000000-0010-0000-0300-00008A040000}" name="Great Southern"/>
    <tableColumn id="1163" xr3:uid="{00000000-0010-0000-0300-00008B040000}" name="Great Western"/>
    <tableColumn id="1164" xr3:uid="{00000000-0010-0000-0300-00008C040000}" name="Gredgwin"/>
    <tableColumn id="1165" xr3:uid="{00000000-0010-0000-0300-00008D040000}" name="Green Gully"/>
    <tableColumn id="1166" xr3:uid="{00000000-0010-0000-0300-00008E040000}" name="Greendale"/>
    <tableColumn id="1167" xr3:uid="{00000000-0010-0000-0300-00008F040000}" name="Greenhill"/>
    <tableColumn id="1168" xr3:uid="{00000000-0010-0000-0300-000090040000}" name="Greens Creek"/>
    <tableColumn id="1169" xr3:uid="{00000000-0010-0000-0300-000091040000}" name="Greensborough"/>
    <tableColumn id="1170" xr3:uid="{00000000-0010-0000-0300-000092040000}" name="Greenvale"/>
    <tableColumn id="1171" xr3:uid="{00000000-0010-0000-0300-000093040000}" name="Greenwald"/>
    <tableColumn id="1172" xr3:uid="{00000000-0010-0000-0300-000094040000}" name="Grenville"/>
    <tableColumn id="1173" xr3:uid="{00000000-0010-0000-0300-000095040000}" name="Greta"/>
    <tableColumn id="1174" xr3:uid="{00000000-0010-0000-0300-000096040000}" name="Greta South"/>
    <tableColumn id="1175" xr3:uid="{00000000-0010-0000-0300-000097040000}" name="Greta West"/>
    <tableColumn id="1176" xr3:uid="{00000000-0010-0000-0300-000098040000}" name="Grey River"/>
    <tableColumn id="1177" xr3:uid="{00000000-0010-0000-0300-000099040000}" name="Greythorn"/>
    <tableColumn id="1178" xr3:uid="{00000000-0010-0000-0300-00009A040000}" name="Gringegalgona"/>
    <tableColumn id="1179" xr3:uid="{00000000-0010-0000-0300-00009B040000}" name="Gritjurk"/>
    <tableColumn id="1180" xr3:uid="{00000000-0010-0000-0300-00009C040000}" name="Grovedale"/>
    <tableColumn id="1181" xr3:uid="{00000000-0010-0000-0300-00009D040000}" name="Grovedale East"/>
    <tableColumn id="1182" xr3:uid="{00000000-0010-0000-0300-00009E040000}" name="Gruyere"/>
    <tableColumn id="1183" xr3:uid="{00000000-0010-0000-0300-00009F040000}" name="Guildford"/>
    <tableColumn id="1184" xr3:uid="{00000000-0010-0000-0300-0000A0040000}" name="Gunbower"/>
    <tableColumn id="1185" xr3:uid="{00000000-0010-0000-0300-0000A1040000}" name="Gundowring"/>
    <tableColumn id="1186" xr3:uid="{00000000-0010-0000-0300-0000A2040000}" name="Gunyah"/>
    <tableColumn id="1187" xr3:uid="{00000000-0010-0000-0300-0000A3040000}" name="Guys Forest"/>
    <tableColumn id="1188" xr3:uid="{00000000-0010-0000-0300-0000A4040000}" name="Guys Hill"/>
    <tableColumn id="1189" xr3:uid="{00000000-0010-0000-0300-0000A5040000}" name="Gymbowen"/>
    <tableColumn id="1190" xr3:uid="{00000000-0010-0000-0300-0000A6040000}" name="Haddon"/>
    <tableColumn id="1191" xr3:uid="{00000000-0010-0000-0300-0000A7040000}" name="Hadfield"/>
    <tableColumn id="1192" xr3:uid="{00000000-0010-0000-0300-0000A8040000}" name="Hallam"/>
    <tableColumn id="1193" xr3:uid="{00000000-0010-0000-0300-0000A9040000}" name="Hallora"/>
    <tableColumn id="1194" xr3:uid="{00000000-0010-0000-0300-0000AA040000}" name="Halls Gap"/>
    <tableColumn id="1195" xr3:uid="{00000000-0010-0000-0300-0000AB040000}" name="Hallston"/>
    <tableColumn id="1196" xr3:uid="{00000000-0010-0000-0300-0000AC040000}" name="Hamilton"/>
    <tableColumn id="1197" xr3:uid="{00000000-0010-0000-0300-0000AD040000}" name="Hamlyn Heights"/>
    <tableColumn id="1198" xr3:uid="{00000000-0010-0000-0300-0000AE040000}" name="Hampton"/>
    <tableColumn id="1199" xr3:uid="{00000000-0010-0000-0300-0000AF040000}" name="Hampton East"/>
    <tableColumn id="1200" xr3:uid="{00000000-0010-0000-0300-0000B0040000}" name="Hampton North"/>
    <tableColumn id="1201" xr3:uid="{00000000-0010-0000-0300-0000B1040000}" name="Hampton Park"/>
    <tableColumn id="1202" xr3:uid="{00000000-0010-0000-0300-0000B2040000}" name="Hansonville"/>
    <tableColumn id="1203" xr3:uid="{00000000-0010-0000-0300-0000B3040000}" name="Happy Valley"/>
    <tableColumn id="1204" xr3:uid="{00000000-0010-0000-0300-0000B4040000}" name="Harcourt"/>
    <tableColumn id="1205" xr3:uid="{00000000-0010-0000-0300-0000B5040000}" name="Harcourt North"/>
    <tableColumn id="1206" xr3:uid="{00000000-0010-0000-0300-0000B6040000}" name="Harkaway"/>
    <tableColumn id="1207" xr3:uid="{00000000-0010-0000-0300-0000B7040000}" name="Harmers Haven"/>
    <tableColumn id="1208" xr3:uid="{00000000-0010-0000-0300-0000B8040000}" name="Harrietville"/>
    <tableColumn id="1209" xr3:uid="{00000000-0010-0000-0300-0000B9040000}" name="Harrow"/>
    <tableColumn id="1210" xr3:uid="{00000000-0010-0000-0300-0000BA040000}" name="Harston"/>
    <tableColumn id="1211" xr3:uid="{00000000-0010-0000-0300-0000BB040000}" name="Hartwell"/>
    <tableColumn id="1212" xr3:uid="{00000000-0010-0000-0300-0000BC040000}" name="Hastings"/>
    <tableColumn id="1213" xr3:uid="{00000000-0010-0000-0300-0000BD040000}" name="Hattah"/>
    <tableColumn id="1214" xr3:uid="{00000000-0010-0000-0300-0000BE040000}" name="Havelock"/>
    <tableColumn id="1215" xr3:uid="{00000000-0010-0000-0300-0000BF040000}" name="Haven"/>
    <tableColumn id="1216" xr3:uid="{00000000-0010-0000-0300-0000C0040000}" name="Havilah"/>
    <tableColumn id="1217" xr3:uid="{00000000-0010-0000-0300-0000C1040000}" name="Hawkesdale"/>
    <tableColumn id="1218" xr3:uid="{00000000-0010-0000-0300-0000C2040000}" name="Hawkhurst"/>
    <tableColumn id="1219" xr3:uid="{00000000-0010-0000-0300-0000C3040000}" name="Hawksburn"/>
    <tableColumn id="1220" xr3:uid="{00000000-0010-0000-0300-0000C4040000}" name="Hawthorn"/>
    <tableColumn id="1221" xr3:uid="{00000000-0010-0000-0300-0000C5040000}" name="Hawthorn East"/>
    <tableColumn id="1222" xr3:uid="{00000000-0010-0000-0300-0000C6040000}" name="Hawthorn North"/>
    <tableColumn id="1223" xr3:uid="{00000000-0010-0000-0300-0000C7040000}" name="Hawthorn West"/>
    <tableColumn id="1224" xr3:uid="{00000000-0010-0000-0300-0000C8040000}" name="Haydens Bog"/>
    <tableColumn id="1225" xr3:uid="{00000000-0010-0000-0300-0000C9040000}" name="Hazel Park"/>
    <tableColumn id="1226" xr3:uid="{00000000-0010-0000-0300-0000CA040000}" name="Hazeldene"/>
    <tableColumn id="1227" xr3:uid="{00000000-0010-0000-0300-0000CB040000}" name="Hazelwood"/>
    <tableColumn id="1228" xr3:uid="{00000000-0010-0000-0300-0000CC040000}" name="Hazelwood North"/>
    <tableColumn id="1229" xr3:uid="{00000000-0010-0000-0300-0000CD040000}" name="Hazelwood South"/>
    <tableColumn id="1230" xr3:uid="{00000000-0010-0000-0300-0000CE040000}" name="Healesville"/>
    <tableColumn id="1231" xr3:uid="{00000000-0010-0000-0300-0000CF040000}" name="Healesville Main Street"/>
    <tableColumn id="1232" xr3:uid="{00000000-0010-0000-0300-0000D0040000}" name="Heath Hill"/>
    <tableColumn id="1233" xr3:uid="{00000000-0010-0000-0300-0000D1040000}" name="Heathcote"/>
    <tableColumn id="1234" xr3:uid="{00000000-0010-0000-0300-0000D2040000}" name="Heathcote Junction"/>
    <tableColumn id="1235" xr3:uid="{00000000-0010-0000-0300-0000D3040000}" name="Heathcote South"/>
    <tableColumn id="1236" xr3:uid="{00000000-0010-0000-0300-0000D4040000}" name="Heatherton"/>
    <tableColumn id="1237" xr3:uid="{00000000-0010-0000-0300-0000D5040000}" name="Heathmere"/>
    <tableColumn id="1238" xr3:uid="{00000000-0010-0000-0300-0000D6040000}" name="Heathmont"/>
    <tableColumn id="1239" xr3:uid="{00000000-0010-0000-0300-0000D7040000}" name="Heathwood"/>
    <tableColumn id="1240" xr3:uid="{00000000-0010-0000-0300-0000D8040000}" name="Hedley"/>
    <tableColumn id="1241" xr3:uid="{00000000-0010-0000-0300-0000D9040000}" name="Heidelberg"/>
    <tableColumn id="1242" xr3:uid="{00000000-0010-0000-0300-0000DA040000}" name="Heidelberg Heights"/>
    <tableColumn id="1243" xr3:uid="{00000000-0010-0000-0300-0000DB040000}" name="Heidelberg Rgh"/>
    <tableColumn id="1244" xr3:uid="{00000000-0010-0000-0300-0000DC040000}" name="Heidelberg West"/>
    <tableColumn id="1245" xr3:uid="{00000000-0010-0000-0300-0000DD040000}" name="Hensley Park"/>
    <tableColumn id="1246" xr3:uid="{00000000-0010-0000-0300-0000DE040000}" name="Henty"/>
    <tableColumn id="1247" xr3:uid="{00000000-0010-0000-0300-0000DF040000}" name="Hepburn"/>
    <tableColumn id="1248" xr3:uid="{00000000-0010-0000-0300-0000E0040000}" name="Hepburn Springs"/>
    <tableColumn id="1249" xr3:uid="{00000000-0010-0000-0300-0000E1040000}" name="Herne Hill"/>
    <tableColumn id="1250" xr3:uid="{00000000-0010-0000-0300-0000E2040000}" name="Hernes Oak"/>
    <tableColumn id="1251" xr3:uid="{00000000-0010-0000-0300-0000E3040000}" name="Hesket"/>
    <tableColumn id="1252" xr3:uid="{00000000-0010-0000-0300-0000E4040000}" name="Hesse"/>
    <tableColumn id="1253" xr3:uid="{00000000-0010-0000-0300-0000E5040000}" name="Hexham"/>
    <tableColumn id="1254" xr3:uid="{00000000-0010-0000-0300-0000E6040000}" name="Heyfield"/>
    <tableColumn id="1255" xr3:uid="{00000000-0010-0000-0300-0000E7040000}" name="Heytesbury Lower"/>
    <tableColumn id="1256" xr3:uid="{00000000-0010-0000-0300-0000E8040000}" name="Heywood"/>
    <tableColumn id="1257" xr3:uid="{00000000-0010-0000-0300-0000E9040000}" name="Hiamdale"/>
    <tableColumn id="1258" xr3:uid="{00000000-0010-0000-0300-0000EA040000}" name="Hiawatha"/>
    <tableColumn id="1259" xr3:uid="{00000000-0010-0000-0300-0000EB040000}" name="High Camp"/>
    <tableColumn id="1260" xr3:uid="{00000000-0010-0000-0300-0000EC040000}" name="Highett"/>
    <tableColumn id="1261" xr3:uid="{00000000-0010-0000-0300-0000ED040000}" name="Highlands"/>
    <tableColumn id="1262" xr3:uid="{00000000-0010-0000-0300-0000EE040000}" name="Highpoint City"/>
    <tableColumn id="1263" xr3:uid="{00000000-0010-0000-0300-0000EF040000}" name="Highton"/>
    <tableColumn id="1264" xr3:uid="{00000000-0010-0000-0300-0000F0040000}" name="Hilgay"/>
    <tableColumn id="1265" xr3:uid="{00000000-0010-0000-0300-0000F1040000}" name="Hill End"/>
    <tableColumn id="1266" xr3:uid="{00000000-0010-0000-0300-0000F2040000}" name="Hillcrest"/>
    <tableColumn id="1267" xr3:uid="{00000000-0010-0000-0300-0000F3040000}" name="Hilldene"/>
    <tableColumn id="1268" xr3:uid="{00000000-0010-0000-0300-0000F4040000}" name="Hillside"/>
    <tableColumn id="1269" xr3:uid="{00000000-0010-0000-0300-0000F5040000}" name="Hinnomunjie"/>
    <tableColumn id="1270" xr3:uid="{00000000-0010-0000-0300-0000F6040000}" name="Hmas Cerberus"/>
    <tableColumn id="1271" xr3:uid="{00000000-0010-0000-0300-0000F7040000}" name="Hoddles Creek"/>
    <tableColumn id="1272" xr3:uid="{00000000-0010-0000-0300-0000F8040000}" name="Hollands Landing"/>
    <tableColumn id="1273" xr3:uid="{00000000-0010-0000-0300-0000F9040000}" name="Holmesglen"/>
    <tableColumn id="1274" xr3:uid="{00000000-0010-0000-0300-0000FA040000}" name="Homebush"/>
    <tableColumn id="1275" xr3:uid="{00000000-0010-0000-0300-0000FB040000}" name="Homerton"/>
    <tableColumn id="1276" xr3:uid="{00000000-0010-0000-0300-0000FC040000}" name="Homewood"/>
    <tableColumn id="1277" xr3:uid="{00000000-0010-0000-0300-0000FD040000}" name="Hopetoun"/>
    <tableColumn id="1278" xr3:uid="{00000000-0010-0000-0300-0000FE040000}" name="Hopetoun Gardens"/>
    <tableColumn id="1279" xr3:uid="{00000000-0010-0000-0300-0000FF040000}" name="Hopetoun Park"/>
    <tableColumn id="1280" xr3:uid="{00000000-0010-0000-0300-000000050000}" name="Hoppers Crossing"/>
    <tableColumn id="1281" xr3:uid="{00000000-0010-0000-0300-000001050000}" name="Hordern Vale"/>
    <tableColumn id="1282" xr3:uid="{00000000-0010-0000-0300-000002050000}" name="Horfield"/>
    <tableColumn id="1283" xr3:uid="{00000000-0010-0000-0300-000003050000}" name="Horsham"/>
    <tableColumn id="1284" xr3:uid="{00000000-0010-0000-0300-000004050000}" name="Hotham Heights"/>
    <tableColumn id="1285" xr3:uid="{00000000-0010-0000-0300-000005050000}" name="Hotham Hill"/>
    <tableColumn id="1286" xr3:uid="{00000000-0010-0000-0300-000006050000}" name="Hotspur"/>
    <tableColumn id="1287" xr3:uid="{00000000-0010-0000-0300-000007050000}" name="Houston"/>
    <tableColumn id="1288" xr3:uid="{00000000-0010-0000-0300-000008050000}" name="Howes Creek"/>
    <tableColumn id="1289" xr3:uid="{00000000-0010-0000-0300-000009050000}" name="Howitt Plains"/>
    <tableColumn id="1290" xr3:uid="{00000000-0010-0000-0300-00000A050000}" name="Howqua"/>
    <tableColumn id="1291" xr3:uid="{00000000-0010-0000-0300-00000B050000}" name="Howqua Hills"/>
    <tableColumn id="1292" xr3:uid="{00000000-0010-0000-0300-00000C050000}" name="Howqua Inlet"/>
    <tableColumn id="1293" xr3:uid="{00000000-0010-0000-0300-00000D050000}" name="Hughesdale"/>
    <tableColumn id="1294" xr3:uid="{00000000-0010-0000-0300-00000E050000}" name="Humevale"/>
    <tableColumn id="1295" xr3:uid="{00000000-0010-0000-0300-00000F050000}" name="Hunter"/>
    <tableColumn id="1296" xr3:uid="{00000000-0010-0000-0300-000010050000}" name="Hunterston"/>
    <tableColumn id="1297" xr3:uid="{00000000-0010-0000-0300-000011050000}" name="Huntingdale"/>
    <tableColumn id="1298" xr3:uid="{00000000-0010-0000-0300-000012050000}" name="Huntly"/>
    <tableColumn id="1299" xr3:uid="{00000000-0010-0000-0300-000013050000}" name="Huntly North"/>
    <tableColumn id="1300" xr3:uid="{00000000-0010-0000-0300-000014050000}" name="Huon"/>
    <tableColumn id="1301" xr3:uid="{00000000-0010-0000-0300-000015050000}" name="Huon Creek"/>
    <tableColumn id="1302" xr3:uid="{00000000-0010-0000-0300-000016050000}" name="Hurstbridge"/>
    <tableColumn id="1303" xr3:uid="{00000000-0010-0000-0300-000017050000}" name="Icy Creek"/>
    <tableColumn id="1304" xr3:uid="{00000000-0010-0000-0300-000018050000}" name="Iguana Creek"/>
    <tableColumn id="1305" xr3:uid="{00000000-0010-0000-0300-000019050000}" name="Illabarook"/>
    <tableColumn id="1306" xr3:uid="{00000000-0010-0000-0300-00001A050000}" name="Illawarra"/>
    <tableColumn id="1307" xr3:uid="{00000000-0010-0000-0300-00001B050000}" name="Illowa"/>
    <tableColumn id="1308" xr3:uid="{00000000-0010-0000-0300-00001C050000}" name="Indented Head"/>
    <tableColumn id="1309" xr3:uid="{00000000-0010-0000-0300-00001D050000}" name="Indigo Valley"/>
    <tableColumn id="1310" xr3:uid="{00000000-0010-0000-0300-00001E050000}" name="Inglewood"/>
    <tableColumn id="1311" xr3:uid="{00000000-0010-0000-0300-00001F050000}" name="Ingliston"/>
    <tableColumn id="1312" xr3:uid="{00000000-0010-0000-0300-000020050000}" name="Inkerman"/>
    <tableColumn id="1313" xr3:uid="{00000000-0010-0000-0300-000021050000}" name="Invergordon"/>
    <tableColumn id="1314" xr3:uid="{00000000-0010-0000-0300-000022050000}" name="Inverleigh"/>
    <tableColumn id="1315" xr3:uid="{00000000-0010-0000-0300-000023050000}" name="Inverloch"/>
    <tableColumn id="1316" xr3:uid="{00000000-0010-0000-0300-000024050000}" name="Invermay"/>
    <tableColumn id="1317" xr3:uid="{00000000-0010-0000-0300-000025050000}" name="Invermay Park"/>
    <tableColumn id="1318" xr3:uid="{00000000-0010-0000-0300-000026050000}" name="Iona"/>
    <tableColumn id="1319" xr3:uid="{00000000-0010-0000-0300-000027050000}" name="Iraak"/>
    <tableColumn id="1320" xr3:uid="{00000000-0010-0000-0300-000028050000}" name="Irishtown"/>
    <tableColumn id="1321" xr3:uid="{00000000-0010-0000-0300-000029050000}" name="Ironbark"/>
    <tableColumn id="1322" xr3:uid="{00000000-0010-0000-0300-00002A050000}" name="Irrewarra"/>
    <tableColumn id="1323" xr3:uid="{00000000-0010-0000-0300-00002B050000}" name="Irrewillipe"/>
    <tableColumn id="1324" xr3:uid="{00000000-0010-0000-0300-00002C050000}" name="Irrewillipe East"/>
    <tableColumn id="1325" xr3:uid="{00000000-0010-0000-0300-00002D050000}" name="Irymple"/>
    <tableColumn id="1326" xr3:uid="{00000000-0010-0000-0300-00002E050000}" name="Ivanhoe"/>
    <tableColumn id="1327" xr3:uid="{00000000-0010-0000-0300-00002F050000}" name="Ivanhoe East"/>
    <tableColumn id="1328" xr3:uid="{00000000-0010-0000-0300-000030050000}" name="Ivanhoe North"/>
    <tableColumn id="1329" xr3:uid="{00000000-0010-0000-0300-000031050000}" name="Jacana"/>
    <tableColumn id="1330" xr3:uid="{00000000-0010-0000-0300-000032050000}" name="Jack River"/>
    <tableColumn id="1331" xr3:uid="{00000000-0010-0000-0300-000033050000}" name="Jackass Flat"/>
    <tableColumn id="1332" xr3:uid="{00000000-0010-0000-0300-000034050000}" name="Jacob Creek"/>
    <tableColumn id="1333" xr3:uid="{00000000-0010-0000-0300-000035050000}" name="Jam Jerrup"/>
    <tableColumn id="1334" xr3:uid="{00000000-0010-0000-0300-000036050000}" name="Jamieson"/>
    <tableColumn id="1335" xr3:uid="{00000000-0010-0000-0300-000037050000}" name="Jan Juc"/>
    <tableColumn id="1336" xr3:uid="{00000000-0010-0000-0300-000038050000}" name="Jancourt"/>
    <tableColumn id="1337" xr3:uid="{00000000-0010-0000-0300-000039050000}" name="Jancourt East"/>
    <tableColumn id="1338" xr3:uid="{00000000-0010-0000-0300-00003A050000}" name="Jarklin"/>
    <tableColumn id="1339" xr3:uid="{00000000-0010-0000-0300-00003B050000}" name="Jarrahmond"/>
    <tableColumn id="1340" xr3:uid="{00000000-0010-0000-0300-00003C050000}" name="Jarvis Creek"/>
    <tableColumn id="1341" xr3:uid="{00000000-0010-0000-0300-00003D050000}" name="Jeeralang"/>
    <tableColumn id="1342" xr3:uid="{00000000-0010-0000-0300-00003E050000}" name="Jeeralang Junction"/>
    <tableColumn id="1343" xr3:uid="{00000000-0010-0000-0300-00003F050000}" name="Jeetho"/>
    <tableColumn id="1344" xr3:uid="{00000000-0010-0000-0300-000040050000}" name="Jeffcott"/>
    <tableColumn id="1345" xr3:uid="{00000000-0010-0000-0300-000041050000}" name="Jeffcott North"/>
    <tableColumn id="1346" xr3:uid="{00000000-0010-0000-0300-000042050000}" name="Jeparit"/>
    <tableColumn id="1347" xr3:uid="{00000000-0010-0000-0300-000043050000}" name="Jericho"/>
    <tableColumn id="1348" xr3:uid="{00000000-0010-0000-0300-000044050000}" name="Jeruk"/>
    <tableColumn id="1349" xr3:uid="{00000000-0010-0000-0300-000045050000}" name="Jil Jil"/>
    <tableColumn id="1350" xr3:uid="{00000000-0010-0000-0300-000046050000}" name="Jilpanger"/>
    <tableColumn id="1351" xr3:uid="{00000000-0010-0000-0300-000047050000}" name="Jindivick"/>
    <tableColumn id="1352" xr3:uid="{00000000-0010-0000-0300-000048050000}" name="Joel Joel"/>
    <tableColumn id="1353" xr3:uid="{00000000-0010-0000-0300-000049050000}" name="Joel South"/>
    <tableColumn id="1354" xr3:uid="{00000000-0010-0000-0300-00004A050000}" name="Johanna"/>
    <tableColumn id="1355" xr3:uid="{00000000-0010-0000-0300-00004B050000}" name="Johnsonville"/>
    <tableColumn id="1356" xr3:uid="{00000000-0010-0000-0300-00004C050000}" name="Johnstones Hill"/>
    <tableColumn id="1357" xr3:uid="{00000000-0010-0000-0300-00004D050000}" name="Jordanville"/>
    <tableColumn id="1358" xr3:uid="{00000000-0010-0000-0300-00004E050000}" name="Joyces Creek"/>
    <tableColumn id="1359" xr3:uid="{00000000-0010-0000-0300-00004F050000}" name="Jumbuk"/>
    <tableColumn id="1360" xr3:uid="{00000000-0010-0000-0300-000050050000}" name="Jumbunna"/>
    <tableColumn id="1361" xr3:uid="{00000000-0010-0000-0300-000051050000}" name="Junction Village"/>
    <tableColumn id="1362" xr3:uid="{00000000-0010-0000-0300-000052050000}" name="Jung"/>
    <tableColumn id="1363" xr3:uid="{00000000-0010-0000-0300-000053050000}" name="Jungaburra"/>
    <tableColumn id="1364" xr3:uid="{00000000-0010-0000-0300-000054050000}" name="Junortoun"/>
    <tableColumn id="1365" xr3:uid="{00000000-0010-0000-0300-000055050000}" name="Kaarimba"/>
    <tableColumn id="1366" xr3:uid="{00000000-0010-0000-0300-000056050000}" name="Kadnook"/>
    <tableColumn id="1367" xr3:uid="{00000000-0010-0000-0300-000057050000}" name="Kalimna"/>
    <tableColumn id="1368" xr3:uid="{00000000-0010-0000-0300-000058050000}" name="Kalimna West"/>
    <tableColumn id="1369" xr3:uid="{00000000-0010-0000-0300-000059050000}" name="Kalkallo"/>
    <tableColumn id="1370" xr3:uid="{00000000-0010-0000-0300-00005A050000}" name="Kalkee"/>
    <tableColumn id="1371" xr3:uid="{00000000-0010-0000-0300-00005B050000}" name="Kallista"/>
    <tableColumn id="1372" xr3:uid="{00000000-0010-0000-0300-00005C050000}" name="Kalorama"/>
    <tableColumn id="1373" xr3:uid="{00000000-0010-0000-0300-00005D050000}" name="Kalpienung"/>
    <tableColumn id="1374" xr3:uid="{00000000-0010-0000-0300-00005E050000}" name="Kamarooka"/>
    <tableColumn id="1375" xr3:uid="{00000000-0010-0000-0300-00005F050000}" name="Kamarooka North"/>
    <tableColumn id="1376" xr3:uid="{00000000-0010-0000-0300-000060050000}" name="Kanagulk"/>
    <tableColumn id="1377" xr3:uid="{00000000-0010-0000-0300-000061050000}" name="Kancoona"/>
    <tableColumn id="1378" xr3:uid="{00000000-0010-0000-0300-000062050000}" name="Kangaroo Flat"/>
    <tableColumn id="1379" xr3:uid="{00000000-0010-0000-0300-000063050000}" name="Kangaroo Ground"/>
    <tableColumn id="1380" xr3:uid="{00000000-0010-0000-0300-000064050000}" name="Kaniva"/>
    <tableColumn id="1381" xr3:uid="{00000000-0010-0000-0300-000065050000}" name="Kanumbra"/>
    <tableColumn id="1382" xr3:uid="{00000000-0010-0000-0300-000066050000}" name="Kanya"/>
    <tableColumn id="1383" xr3:uid="{00000000-0010-0000-0300-000067050000}" name="Kanyapella"/>
    <tableColumn id="1384" xr3:uid="{00000000-0010-0000-0300-000068050000}" name="Karabeal"/>
    <tableColumn id="1385" xr3:uid="{00000000-0010-0000-0300-000069050000}" name="Kardella"/>
    <tableColumn id="1386" xr3:uid="{00000000-0010-0000-0300-00006A050000}" name="Kardella South"/>
    <tableColumn id="1387" xr3:uid="{00000000-0010-0000-0300-00006B050000}" name="Kariah"/>
    <tableColumn id="1388" xr3:uid="{00000000-0010-0000-0300-00006C050000}" name="Karingal"/>
    <tableColumn id="1389" xr3:uid="{00000000-0010-0000-0300-00006D050000}" name="Karingal Centre"/>
    <tableColumn id="1390" xr3:uid="{00000000-0010-0000-0300-00006E050000}" name="Karnak"/>
    <tableColumn id="1391" xr3:uid="{00000000-0010-0000-0300-00006F050000}" name="Karramomus"/>
    <tableColumn id="1392" xr3:uid="{00000000-0010-0000-0300-000070050000}" name="Karyrie"/>
    <tableColumn id="1393" xr3:uid="{00000000-0010-0000-0300-000071050000}" name="Katamatite"/>
    <tableColumn id="1394" xr3:uid="{00000000-0010-0000-0300-000072050000}" name="Katamatite East"/>
    <tableColumn id="1395" xr3:uid="{00000000-0010-0000-0300-000073050000}" name="Katandra"/>
    <tableColumn id="1396" xr3:uid="{00000000-0010-0000-0300-000074050000}" name="Katandra West"/>
    <tableColumn id="1397" xr3:uid="{00000000-0010-0000-0300-000075050000}" name="Katunga"/>
    <tableColumn id="1398" xr3:uid="{00000000-0010-0000-0300-000076050000}" name="Kawarren"/>
    <tableColumn id="1399" xr3:uid="{00000000-0010-0000-0300-000077050000}" name="Kealba"/>
    <tableColumn id="1400" xr3:uid="{00000000-0010-0000-0300-000078050000}" name="Keely"/>
    <tableColumn id="1401" xr3:uid="{00000000-0010-0000-0300-000079050000}" name="Keilor"/>
    <tableColumn id="1402" xr3:uid="{00000000-0010-0000-0300-00007A050000}" name="Keilor Downs"/>
    <tableColumn id="1403" xr3:uid="{00000000-0010-0000-0300-00007B050000}" name="Keilor East"/>
    <tableColumn id="1404" xr3:uid="{00000000-0010-0000-0300-00007C050000}" name="Keilor Lodge"/>
    <tableColumn id="1405" xr3:uid="{00000000-0010-0000-0300-00007D050000}" name="Keilor North"/>
    <tableColumn id="1406" xr3:uid="{00000000-0010-0000-0300-00007E050000}" name="Keilor Park"/>
    <tableColumn id="1407" xr3:uid="{00000000-0010-0000-0300-00007F050000}" name="Kellalac"/>
    <tableColumn id="1408" xr3:uid="{00000000-0010-0000-0300-000080050000}" name="Kelvin View"/>
    <tableColumn id="1409" xr3:uid="{00000000-0010-0000-0300-000081050000}" name="Kenley"/>
    <tableColumn id="1410" xr3:uid="{00000000-0010-0000-0300-000082050000}" name="Kenmare"/>
    <tableColumn id="1411" xr3:uid="{00000000-0010-0000-0300-000083050000}" name="Kennedys Creek"/>
    <tableColumn id="1412" xr3:uid="{00000000-0010-0000-0300-000084050000}" name="Kennett River"/>
    <tableColumn id="1413" xr3:uid="{00000000-0010-0000-0300-000085050000}" name="Kennington"/>
    <tableColumn id="1414" xr3:uid="{00000000-0010-0000-0300-000086050000}" name="Kensington"/>
    <tableColumn id="1415" xr3:uid="{00000000-0010-0000-0300-000087050000}" name="Kerang"/>
    <tableColumn id="1416" xr3:uid="{00000000-0010-0000-0300-000088050000}" name="Kerang East"/>
    <tableColumn id="1417" xr3:uid="{00000000-0010-0000-0300-000089050000}" name="Kergunyah"/>
    <tableColumn id="1418" xr3:uid="{00000000-0010-0000-0300-00008A050000}" name="Kergunyah South"/>
    <tableColumn id="1419" xr3:uid="{00000000-0010-0000-0300-00008B050000}" name="Kernot"/>
    <tableColumn id="1420" xr3:uid="{00000000-0010-0000-0300-00008C050000}" name="Kerrie"/>
    <tableColumn id="1421" xr3:uid="{00000000-0010-0000-0300-00008D050000}" name="Kerrimuir"/>
    <tableColumn id="1422" xr3:uid="{00000000-0010-0000-0300-00008E050000}" name="Kerrisdale"/>
    <tableColumn id="1423" xr3:uid="{00000000-0010-0000-0300-00008F050000}" name="Kevington"/>
    <tableColumn id="1424" xr3:uid="{00000000-0010-0000-0300-000090050000}" name="Kew"/>
    <tableColumn id="1425" xr3:uid="{00000000-0010-0000-0300-000091050000}" name="Kew East"/>
    <tableColumn id="1426" xr3:uid="{00000000-0010-0000-0300-000092050000}" name="Kewell"/>
    <tableColumn id="1427" xr3:uid="{00000000-0010-0000-0300-000093050000}" name="Keysborough"/>
    <tableColumn id="1428" xr3:uid="{00000000-0010-0000-0300-000094050000}" name="Kialla"/>
    <tableColumn id="1429" xr3:uid="{00000000-0010-0000-0300-000095050000}" name="Kialla East"/>
    <tableColumn id="1430" xr3:uid="{00000000-0010-0000-0300-000096050000}" name="Kialla West"/>
    <tableColumn id="1431" xr3:uid="{00000000-0010-0000-0300-000097050000}" name="Kiata"/>
    <tableColumn id="1432" xr3:uid="{00000000-0010-0000-0300-000098050000}" name="Kiewa"/>
    <tableColumn id="1433" xr3:uid="{00000000-0010-0000-0300-000099050000}" name="Kilcunda"/>
    <tableColumn id="1434" xr3:uid="{00000000-0010-0000-0300-00009A050000}" name="Killara"/>
    <tableColumn id="1435" xr3:uid="{00000000-0010-0000-0300-00009B050000}" name="Killarney"/>
    <tableColumn id="1436" xr3:uid="{00000000-0010-0000-0300-00009C050000}" name="Killawarra"/>
    <tableColumn id="1437" xr3:uid="{00000000-0010-0000-0300-00009D050000}" name="Killingworth"/>
    <tableColumn id="1438" xr3:uid="{00000000-0010-0000-0300-00009E050000}" name="Kilmany"/>
    <tableColumn id="1439" xr3:uid="{00000000-0010-0000-0300-00009F050000}" name="Kilmore"/>
    <tableColumn id="1440" xr3:uid="{00000000-0010-0000-0300-0000A0050000}" name="Kilmore East"/>
    <tableColumn id="1441" xr3:uid="{00000000-0010-0000-0300-0000A1050000}" name="Kilsyth"/>
    <tableColumn id="1442" xr3:uid="{00000000-0010-0000-0300-0000A2050000}" name="Kilsyth South"/>
    <tableColumn id="1443" xr3:uid="{00000000-0010-0000-0300-0000A3050000}" name="Kimbolton"/>
    <tableColumn id="1444" xr3:uid="{00000000-0010-0000-0300-0000A4050000}" name="King Valley"/>
    <tableColumn id="1445" xr3:uid="{00000000-0010-0000-0300-0000A5050000}" name="Kinglake"/>
    <tableColumn id="1446" xr3:uid="{00000000-0010-0000-0300-0000A6050000}" name="Kinglake Central"/>
    <tableColumn id="1447" xr3:uid="{00000000-0010-0000-0300-0000A7050000}" name="Kinglake West"/>
    <tableColumn id="1448" xr3:uid="{00000000-0010-0000-0300-0000A8050000}" name="Kingower"/>
    <tableColumn id="1449" xr3:uid="{00000000-0010-0000-0300-0000A9050000}" name="Kings Park"/>
    <tableColumn id="1450" xr3:uid="{00000000-0010-0000-0300-0000AA050000}" name="Kingsbury"/>
    <tableColumn id="1451" xr3:uid="{00000000-0010-0000-0300-0000AB050000}" name="Kingston"/>
    <tableColumn id="1452" xr3:uid="{00000000-0010-0000-0300-0000AC050000}" name="Kingsville"/>
    <tableColumn id="1453" xr3:uid="{00000000-0010-0000-0300-0000AD050000}" name="Kinnabulla"/>
    <tableColumn id="1454" xr3:uid="{00000000-0010-0000-0300-0000AE050000}" name="Kinypanial"/>
    <tableColumn id="1455" xr3:uid="{00000000-0010-0000-0300-0000AF050000}" name="Kirkstall"/>
    <tableColumn id="1456" xr3:uid="{00000000-0010-0000-0300-0000B0050000}" name="Kirwans Bridge"/>
    <tableColumn id="1457" xr3:uid="{00000000-0010-0000-0300-0000B1050000}" name="Kithbrook"/>
    <tableColumn id="1458" xr3:uid="{00000000-0010-0000-0300-0000B2050000}" name="Knebsworth"/>
    <tableColumn id="1459" xr3:uid="{00000000-0010-0000-0300-0000B3050000}" name="Knockwood"/>
    <tableColumn id="1460" xr3:uid="{00000000-0010-0000-0300-0000B4050000}" name="Knowsley"/>
    <tableColumn id="1461" xr3:uid="{00000000-0010-0000-0300-0000B5050000}" name="Knox City Centre"/>
    <tableColumn id="1462" xr3:uid="{00000000-0010-0000-0300-0000B6050000}" name="Knoxfield"/>
    <tableColumn id="1463" xr3:uid="{00000000-0010-0000-0300-0000B7050000}" name="Koallah"/>
    <tableColumn id="1464" xr3:uid="{00000000-0010-0000-0300-0000B8050000}" name="Koetong"/>
    <tableColumn id="1465" xr3:uid="{00000000-0010-0000-0300-0000B9050000}" name="Kolora"/>
    <tableColumn id="1466" xr3:uid="{00000000-0010-0000-0300-0000BA050000}" name="Kongwak"/>
    <tableColumn id="1467" xr3:uid="{00000000-0010-0000-0300-0000BB050000}" name="Konongwootong"/>
    <tableColumn id="1468" xr3:uid="{00000000-0010-0000-0300-0000BC050000}" name="Koo Wee Rup"/>
    <tableColumn id="1469" xr3:uid="{00000000-0010-0000-0300-0000BD050000}" name="Koo Wee Rup North"/>
    <tableColumn id="1470" xr3:uid="{00000000-0010-0000-0300-0000BE050000}" name="Kooloonong"/>
    <tableColumn id="1471" xr3:uid="{00000000-0010-0000-0300-0000BF050000}" name="Koonda"/>
    <tableColumn id="1472" xr3:uid="{00000000-0010-0000-0300-0000C0050000}" name="Koondrook"/>
    <tableColumn id="1473" xr3:uid="{00000000-0010-0000-0300-0000C1050000}" name="Koonoomoo"/>
    <tableColumn id="1474" xr3:uid="{00000000-0010-0000-0300-0000C2050000}" name="Koonwarra"/>
    <tableColumn id="1475" xr3:uid="{00000000-0010-0000-0300-0000C3050000}" name="Kooreh"/>
    <tableColumn id="1476" xr3:uid="{00000000-0010-0000-0300-0000C4050000}" name="Koorlong"/>
    <tableColumn id="1477" xr3:uid="{00000000-0010-0000-0300-0000C5050000}" name="Koornalla"/>
    <tableColumn id="1478" xr3:uid="{00000000-0010-0000-0300-0000C6050000}" name="Kooroocheang"/>
    <tableColumn id="1479" xr3:uid="{00000000-0010-0000-0300-0000C7050000}" name="Koorool"/>
    <tableColumn id="1480" xr3:uid="{00000000-0010-0000-0300-0000C8050000}" name="Koorooman"/>
    <tableColumn id="1481" xr3:uid="{00000000-0010-0000-0300-0000C9050000}" name="Kooyong"/>
    <tableColumn id="1482" xr3:uid="{00000000-0010-0000-0300-0000CA050000}" name="Koriella"/>
    <tableColumn id="1483" xr3:uid="{00000000-0010-0000-0300-0000CB050000}" name="Korobeit"/>
    <tableColumn id="1484" xr3:uid="{00000000-0010-0000-0300-0000CC050000}" name="Koroit"/>
    <tableColumn id="1485" xr3:uid="{00000000-0010-0000-0300-0000CD050000}" name="Korong Vale"/>
    <tableColumn id="1486" xr3:uid="{00000000-0010-0000-0300-0000CE050000}" name="Koroop"/>
    <tableColumn id="1487" xr3:uid="{00000000-0010-0000-0300-0000CF050000}" name="Korumburra"/>
    <tableColumn id="1488" xr3:uid="{00000000-0010-0000-0300-0000D0050000}" name="Korumburra South"/>
    <tableColumn id="1489" xr3:uid="{00000000-0010-0000-0300-0000D1050000}" name="Korweinguboora"/>
    <tableColumn id="1490" xr3:uid="{00000000-0010-0000-0300-0000D2050000}" name="Kotta"/>
    <tableColumn id="1491" xr3:uid="{00000000-0010-0000-0300-0000D3050000}" name="Kotupna"/>
    <tableColumn id="1492" xr3:uid="{00000000-0010-0000-0300-0000D4050000}" name="Koyuga"/>
    <tableColumn id="1493" xr3:uid="{00000000-0010-0000-0300-0000D5050000}" name="Krowera"/>
    <tableColumn id="1494" xr3:uid="{00000000-0010-0000-0300-0000D6050000}" name="Kulwin"/>
    <tableColumn id="1495" xr3:uid="{00000000-0010-0000-0300-0000D7050000}" name="Kunat"/>
    <tableColumn id="1496" xr3:uid="{00000000-0010-0000-0300-0000D8050000}" name="Kunyung"/>
    <tableColumn id="1497" xr3:uid="{00000000-0010-0000-0300-0000D9050000}" name="Kurraca"/>
    <tableColumn id="1498" xr3:uid="{00000000-0010-0000-0300-0000DA050000}" name="Kurraca West"/>
    <tableColumn id="1499" xr3:uid="{00000000-0010-0000-0300-0000DB050000}" name="Kurting"/>
    <tableColumn id="1500" xr3:uid="{00000000-0010-0000-0300-0000DC050000}" name="Kurunjang"/>
    <tableColumn id="1501" xr3:uid="{00000000-0010-0000-0300-0000DD050000}" name="Kyabram"/>
    <tableColumn id="1502" xr3:uid="{00000000-0010-0000-0300-0000DE050000}" name="Kyabram South"/>
    <tableColumn id="1503" xr3:uid="{00000000-0010-0000-0300-0000DF050000}" name="Kyneton"/>
    <tableColumn id="1504" xr3:uid="{00000000-0010-0000-0300-0000E0050000}" name="Kyneton South"/>
    <tableColumn id="1505" xr3:uid="{00000000-0010-0000-0300-0000E1050000}" name="Kyvalley"/>
    <tableColumn id="1506" xr3:uid="{00000000-0010-0000-0300-0000E2050000}" name="La Trobe University"/>
    <tableColumn id="1507" xr3:uid="{00000000-0010-0000-0300-0000E3050000}" name="Laanecoorie"/>
    <tableColumn id="1508" xr3:uid="{00000000-0010-0000-0300-0000E4050000}" name="Laang"/>
    <tableColumn id="1509" xr3:uid="{00000000-0010-0000-0300-0000E5050000}" name="Labertouche"/>
    <tableColumn id="1510" xr3:uid="{00000000-0010-0000-0300-0000E6050000}" name="Laburnum"/>
    <tableColumn id="1511" xr3:uid="{00000000-0010-0000-0300-0000E7050000}" name="Laceby"/>
    <tableColumn id="1512" xr3:uid="{00000000-0010-0000-0300-0000E8050000}" name="Ladys Pass"/>
    <tableColumn id="1513" xr3:uid="{00000000-0010-0000-0300-0000E9050000}" name="Laen"/>
    <tableColumn id="1514" xr3:uid="{00000000-0010-0000-0300-0000EA050000}" name="Laen East"/>
    <tableColumn id="1515" xr3:uid="{00000000-0010-0000-0300-0000EB050000}" name="Laen North"/>
    <tableColumn id="1516" xr3:uid="{00000000-0010-0000-0300-0000EC050000}" name="Lah"/>
    <tableColumn id="1517" xr3:uid="{00000000-0010-0000-0300-0000ED050000}" name="Laharum"/>
    <tableColumn id="1518" xr3:uid="{00000000-0010-0000-0300-0000EE050000}" name="Lake Boga"/>
    <tableColumn id="1519" xr3:uid="{00000000-0010-0000-0300-0000EF050000}" name="Lake Bolac"/>
    <tableColumn id="1520" xr3:uid="{00000000-0010-0000-0300-0000F0050000}" name="Lake Bunga"/>
    <tableColumn id="1521" xr3:uid="{00000000-0010-0000-0300-0000F1050000}" name="Lake Charm"/>
    <tableColumn id="1522" xr3:uid="{00000000-0010-0000-0300-0000F2050000}" name="Lake Condah"/>
    <tableColumn id="1523" xr3:uid="{00000000-0010-0000-0300-0000F3050000}" name="Lake Eildon"/>
    <tableColumn id="1524" xr3:uid="{00000000-0010-0000-0300-0000F4050000}" name="Lake Eppalock"/>
    <tableColumn id="1525" xr3:uid="{00000000-0010-0000-0300-0000F5050000}" name="Lake Fyans"/>
    <tableColumn id="1526" xr3:uid="{00000000-0010-0000-0300-0000F6050000}" name="Lake Gardens"/>
    <tableColumn id="1527" xr3:uid="{00000000-0010-0000-0300-0000F7050000}" name="Lake Goldsmith"/>
    <tableColumn id="1528" xr3:uid="{00000000-0010-0000-0300-0000F8050000}" name="Lake Hume Village"/>
    <tableColumn id="1529" xr3:uid="{00000000-0010-0000-0300-0000F9050000}" name="Lake Lonsdale"/>
    <tableColumn id="1530" xr3:uid="{00000000-0010-0000-0300-0000FA050000}" name="Lake Marmal"/>
    <tableColumn id="1531" xr3:uid="{00000000-0010-0000-0300-0000FB050000}" name="Lake Meran"/>
    <tableColumn id="1532" xr3:uid="{00000000-0010-0000-0300-0000FC050000}" name="Lake Mundi"/>
    <tableColumn id="1533" xr3:uid="{00000000-0010-0000-0300-0000FD050000}" name="Lake Powell"/>
    <tableColumn id="1534" xr3:uid="{00000000-0010-0000-0300-0000FE050000}" name="Lake Rowan"/>
    <tableColumn id="1535" xr3:uid="{00000000-0010-0000-0300-0000FF050000}" name="Lake Tyers"/>
    <tableColumn id="1536" xr3:uid="{00000000-0010-0000-0300-000000060000}" name="Lake Tyers Beach"/>
    <tableColumn id="1537" xr3:uid="{00000000-0010-0000-0300-000001060000}" name="Lake Tyrrell"/>
    <tableColumn id="1538" xr3:uid="{00000000-0010-0000-0300-000002060000}" name="Lake Wellington"/>
    <tableColumn id="1539" xr3:uid="{00000000-0010-0000-0300-000003060000}" name="Lake Wendouree"/>
    <tableColumn id="1540" xr3:uid="{00000000-0010-0000-0300-000004060000}" name="Lake Wongan"/>
    <tableColumn id="1541" xr3:uid="{00000000-0010-0000-0300-000005060000}" name="Lakes Entrance"/>
    <tableColumn id="1542" xr3:uid="{00000000-0010-0000-0300-000006060000}" name="Lal Lal"/>
    <tableColumn id="1543" xr3:uid="{00000000-0010-0000-0300-000007060000}" name="Lalalty"/>
    <tableColumn id="1544" xr3:uid="{00000000-0010-0000-0300-000008060000}" name="Lalbert"/>
    <tableColumn id="1545" xr3:uid="{00000000-0010-0000-0300-000009060000}" name="Lalor"/>
    <tableColumn id="1546" xr3:uid="{00000000-0010-0000-0300-00000A060000}" name="Lamplough"/>
    <tableColumn id="1547" xr3:uid="{00000000-0010-0000-0300-00000B060000}" name="Lancaster"/>
    <tableColumn id="1548" xr3:uid="{00000000-0010-0000-0300-00000C060000}" name="Lance Creek"/>
    <tableColumn id="1549" xr3:uid="{00000000-0010-0000-0300-00000D060000}" name="Lancefield"/>
    <tableColumn id="1550" xr3:uid="{00000000-0010-0000-0300-00000E060000}" name="Landsborough"/>
    <tableColumn id="1551" xr3:uid="{00000000-0010-0000-0300-00000F060000}" name="Landsborough West"/>
    <tableColumn id="1552" xr3:uid="{00000000-0010-0000-0300-000010060000}" name="Lang Lang"/>
    <tableColumn id="1553" xr3:uid="{00000000-0010-0000-0300-000011060000}" name="Lang Lang East"/>
    <tableColumn id="1554" xr3:uid="{00000000-0010-0000-0300-000012060000}" name="Langdons Hill"/>
    <tableColumn id="1555" xr3:uid="{00000000-0010-0000-0300-000013060000}" name="Langi Kal Kal"/>
    <tableColumn id="1556" xr3:uid="{00000000-0010-0000-0300-000014060000}" name="Langi Logan"/>
    <tableColumn id="1557" xr3:uid="{00000000-0010-0000-0300-000015060000}" name="Langkoop"/>
    <tableColumn id="1558" xr3:uid="{00000000-0010-0000-0300-000016060000}" name="Langley"/>
    <tableColumn id="1559" xr3:uid="{00000000-0010-0000-0300-000017060000}" name="Langsborough"/>
    <tableColumn id="1560" xr3:uid="{00000000-0010-0000-0300-000018060000}" name="Langwarrin"/>
    <tableColumn id="1561" xr3:uid="{00000000-0010-0000-0300-000019060000}" name="Langwarrin South"/>
    <tableColumn id="1562" xr3:uid="{00000000-0010-0000-0300-00001A060000}" name="Lansell Plaza"/>
    <tableColumn id="1563" xr3:uid="{00000000-0010-0000-0300-00001B060000}" name="Lara"/>
    <tableColumn id="1564" xr3:uid="{00000000-0010-0000-0300-00001C060000}" name="Lardner"/>
    <tableColumn id="1565" xr3:uid="{00000000-0010-0000-0300-00001D060000}" name="Larpent"/>
    <tableColumn id="1566" xr3:uid="{00000000-0010-0000-0300-00001E060000}" name="Larralea"/>
    <tableColumn id="1567" xr3:uid="{00000000-0010-0000-0300-00001F060000}" name="Lascelles"/>
    <tableColumn id="1568" xr3:uid="{00000000-0010-0000-0300-000020060000}" name="Launching Place"/>
    <tableColumn id="1569" xr3:uid="{00000000-0010-0000-0300-000021060000}" name="Lauriston"/>
    <tableColumn id="1570" xr3:uid="{00000000-0010-0000-0300-000022060000}" name="Lavers Hill"/>
    <tableColumn id="1571" xr3:uid="{00000000-0010-0000-0300-000023060000}" name="Laverton"/>
    <tableColumn id="1572" xr3:uid="{00000000-0010-0000-0300-000024060000}" name="Laverton North"/>
    <tableColumn id="1573" xr3:uid="{00000000-0010-0000-0300-000025060000}" name="Lawler"/>
    <tableColumn id="1574" xr3:uid="{00000000-0010-0000-0300-000026060000}" name="Lawloit"/>
    <tableColumn id="1575" xr3:uid="{00000000-0010-0000-0300-000027060000}" name="Lawrence"/>
    <tableColumn id="1576" xr3:uid="{00000000-0010-0000-0300-000028060000}" name="Leaghur"/>
    <tableColumn id="1577" xr3:uid="{00000000-0010-0000-0300-000029060000}" name="Learmonth"/>
    <tableColumn id="1578" xr3:uid="{00000000-0010-0000-0300-00002A060000}" name="Ledcourt"/>
    <tableColumn id="1579" xr3:uid="{00000000-0010-0000-0300-00002B060000}" name="Leichardt"/>
    <tableColumn id="1580" xr3:uid="{00000000-0010-0000-0300-00002C060000}" name="Leigh Creek"/>
    <tableColumn id="1581" xr3:uid="{00000000-0010-0000-0300-00002D060000}" name="Leitchville"/>
    <tableColumn id="1582" xr3:uid="{00000000-0010-0000-0300-00002E060000}" name="Lemnos"/>
    <tableColumn id="1583" xr3:uid="{00000000-0010-0000-0300-00002F060000}" name="Leneva"/>
    <tableColumn id="1584" xr3:uid="{00000000-0010-0000-0300-000030060000}" name="Leonards Hill"/>
    <tableColumn id="1585" xr3:uid="{00000000-0010-0000-0300-000031060000}" name="Leongatha"/>
    <tableColumn id="1586" xr3:uid="{00000000-0010-0000-0300-000032060000}" name="Leongatha North"/>
    <tableColumn id="1587" xr3:uid="{00000000-0010-0000-0300-000033060000}" name="Leongatha South"/>
    <tableColumn id="1588" xr3:uid="{00000000-0010-0000-0300-000034060000}" name="Leopold"/>
    <tableColumn id="1589" xr3:uid="{00000000-0010-0000-0300-000035060000}" name="Lerderderg"/>
    <tableColumn id="1590" xr3:uid="{00000000-0010-0000-0300-000036060000}" name="Leslie Manor"/>
    <tableColumn id="1591" xr3:uid="{00000000-0010-0000-0300-000037060000}" name="Lethbridge"/>
    <tableColumn id="1592" xr3:uid="{00000000-0010-0000-0300-000038060000}" name="Lexton"/>
    <tableColumn id="1593" xr3:uid="{00000000-0010-0000-0300-000039060000}" name="Licola"/>
    <tableColumn id="1594" xr3:uid="{00000000-0010-0000-0300-00003A060000}" name="Licola North"/>
    <tableColumn id="1595" xr3:uid="{00000000-0010-0000-0300-00003B060000}" name="Lillico"/>
    <tableColumn id="1596" xr3:uid="{00000000-0010-0000-0300-00003C060000}" name="Lillicur"/>
    <tableColumn id="1597" xr3:uid="{00000000-0010-0000-0300-00003D060000}" name="Lillimur"/>
    <tableColumn id="1598" xr3:uid="{00000000-0010-0000-0300-00003E060000}" name="Lilliput"/>
    <tableColumn id="1599" xr3:uid="{00000000-0010-0000-0300-00003F060000}" name="Lilydale"/>
    <tableColumn id="1600" xr3:uid="{00000000-0010-0000-0300-000040060000}" name="Lima"/>
    <tableColumn id="1601" xr3:uid="{00000000-0010-0000-0300-000041060000}" name="Lima East"/>
    <tableColumn id="1602" xr3:uid="{00000000-0010-0000-0300-000042060000}" name="Lima South"/>
    <tableColumn id="1603" xr3:uid="{00000000-0010-0000-0300-000043060000}" name="Limestone"/>
    <tableColumn id="1604" xr3:uid="{00000000-0010-0000-0300-000044060000}" name="Lindenow"/>
    <tableColumn id="1605" xr3:uid="{00000000-0010-0000-0300-000045060000}" name="Lindenow South"/>
    <tableColumn id="1606" xr3:uid="{00000000-0010-0000-0300-000046060000}" name="Lindsay"/>
    <tableColumn id="1607" xr3:uid="{00000000-0010-0000-0300-000047060000}" name="Lindsay Point"/>
    <tableColumn id="1608" xr3:uid="{00000000-0010-0000-0300-000048060000}" name="Linga"/>
    <tableColumn id="1609" xr3:uid="{00000000-0010-0000-0300-000049060000}" name="Linton"/>
    <tableColumn id="1610" xr3:uid="{00000000-0010-0000-0300-00004A060000}" name="Liparoo"/>
    <tableColumn id="1611" xr3:uid="{00000000-0010-0000-0300-00004B060000}" name="Lismore"/>
    <tableColumn id="1612" xr3:uid="{00000000-0010-0000-0300-00004C060000}" name="Litchfield"/>
    <tableColumn id="1613" xr3:uid="{00000000-0010-0000-0300-00004D060000}" name="Little Desert"/>
    <tableColumn id="1614" xr3:uid="{00000000-0010-0000-0300-00004E060000}" name="Little Hampton"/>
    <tableColumn id="1615" xr3:uid="{00000000-0010-0000-0300-00004F060000}" name="Little River"/>
    <tableColumn id="1616" xr3:uid="{00000000-0010-0000-0300-000050060000}" name="Llanelly"/>
    <tableColumn id="1617" xr3:uid="{00000000-0010-0000-0300-000051060000}" name="Llowalong"/>
    <tableColumn id="1618" xr3:uid="{00000000-0010-0000-0300-000052060000}" name="Loch"/>
    <tableColumn id="1619" xr3:uid="{00000000-0010-0000-0300-000053060000}" name="Loch Sport"/>
    <tableColumn id="1620" xr3:uid="{00000000-0010-0000-0300-000054060000}" name="Loch Valley"/>
    <tableColumn id="1621" xr3:uid="{00000000-0010-0000-0300-000055060000}" name="Lockington"/>
    <tableColumn id="1622" xr3:uid="{00000000-0010-0000-0300-000056060000}" name="Locksley"/>
    <tableColumn id="1623" xr3:uid="{00000000-0010-0000-0300-000057060000}" name="Lockwood"/>
    <tableColumn id="1624" xr3:uid="{00000000-0010-0000-0300-000058060000}" name="Lockwood South"/>
    <tableColumn id="1625" xr3:uid="{00000000-0010-0000-0300-000059060000}" name="Loddon Vale"/>
    <tableColumn id="1626" xr3:uid="{00000000-0010-0000-0300-00005A060000}" name="Logan"/>
    <tableColumn id="1627" xr3:uid="{00000000-0010-0000-0300-00005B060000}" name="Londrigan"/>
    <tableColumn id="1628" xr3:uid="{00000000-0010-0000-0300-00005C060000}" name="Long Forest"/>
    <tableColumn id="1629" xr3:uid="{00000000-0010-0000-0300-00005D060000}" name="Long Gully"/>
    <tableColumn id="1630" xr3:uid="{00000000-0010-0000-0300-00005E060000}" name="Longerenong"/>
    <tableColumn id="1631" xr3:uid="{00000000-0010-0000-0300-00005F060000}" name="Longford"/>
    <tableColumn id="1632" xr3:uid="{00000000-0010-0000-0300-000060060000}" name="Longlea"/>
    <tableColumn id="1633" xr3:uid="{00000000-0010-0000-0300-000061060000}" name="Longwarry"/>
    <tableColumn id="1634" xr3:uid="{00000000-0010-0000-0300-000062060000}" name="Longwarry North"/>
    <tableColumn id="1635" xr3:uid="{00000000-0010-0000-0300-000063060000}" name="Longwood"/>
    <tableColumn id="1636" xr3:uid="{00000000-0010-0000-0300-000064060000}" name="Longwood East"/>
    <tableColumn id="1637" xr3:uid="{00000000-0010-0000-0300-000065060000}" name="Lorne"/>
    <tableColumn id="1638" xr3:uid="{00000000-0010-0000-0300-000066060000}" name="Lorquon"/>
    <tableColumn id="1639" xr3:uid="{00000000-0010-0000-0300-000067060000}" name="Lovely Banks"/>
    <tableColumn id="1640" xr3:uid="{00000000-0010-0000-0300-000068060000}" name="Lower Moira"/>
    <tableColumn id="1641" xr3:uid="{00000000-0010-0000-0300-000069060000}" name="Lower Norton"/>
    <tableColumn id="1642" xr3:uid="{00000000-0010-0000-0300-00006A060000}" name="Lower Plenty"/>
    <tableColumn id="1643" xr3:uid="{00000000-0010-0000-0300-00006B060000}" name="Loy Yang"/>
    <tableColumn id="1644" xr3:uid="{00000000-0010-0000-0300-00006C060000}" name="Lubeck"/>
    <tableColumn id="1645" xr3:uid="{00000000-0010-0000-0300-00006D060000}" name="Lucas"/>
    <tableColumn id="1646" xr3:uid="{00000000-0010-0000-0300-00006E060000}" name="Lucknow"/>
    <tableColumn id="1647" xr3:uid="{00000000-0010-0000-0300-00006F060000}" name="Lucyvale"/>
    <tableColumn id="1648" xr3:uid="{00000000-0010-0000-0300-000070060000}" name="Lurg"/>
    <tableColumn id="1649" xr3:uid="{00000000-0010-0000-0300-000071060000}" name="Lyal"/>
    <tableColumn id="1650" xr3:uid="{00000000-0010-0000-0300-000072060000}" name="Lynbrook"/>
    <tableColumn id="1651" xr3:uid="{00000000-0010-0000-0300-000073060000}" name="Lyndhurst"/>
    <tableColumn id="1652" xr3:uid="{00000000-0010-0000-0300-000074060000}" name="Lyons"/>
    <tableColumn id="1653" xr3:uid="{00000000-0010-0000-0300-000075060000}" name="Lyonville"/>
    <tableColumn id="1654" xr3:uid="{00000000-0010-0000-0300-000076060000}" name="Lysterfield"/>
    <tableColumn id="1655" xr3:uid="{00000000-0010-0000-0300-000077060000}" name="Lysterfield South"/>
    <tableColumn id="1656" xr3:uid="{00000000-0010-0000-0300-000078060000}" name="Macarthur"/>
    <tableColumn id="1657" xr3:uid="{00000000-0010-0000-0300-000079060000}" name="Macclesfield"/>
    <tableColumn id="1658" xr3:uid="{00000000-0010-0000-0300-00007A060000}" name="Macedon"/>
    <tableColumn id="1659" xr3:uid="{00000000-0010-0000-0300-00007B060000}" name="Macks Creek"/>
    <tableColumn id="1660" xr3:uid="{00000000-0010-0000-0300-00007C060000}" name="Macleod"/>
    <tableColumn id="1661" xr3:uid="{00000000-0010-0000-0300-00007D060000}" name="Macleod West"/>
    <tableColumn id="1662" xr3:uid="{00000000-0010-0000-0300-00007E060000}" name="Macorna"/>
    <tableColumn id="1663" xr3:uid="{00000000-0010-0000-0300-00007F060000}" name="Macorna North"/>
    <tableColumn id="1664" xr3:uid="{00000000-0010-0000-0300-000080060000}" name="Macs Cove"/>
    <tableColumn id="1665" xr3:uid="{00000000-0010-0000-0300-000081060000}" name="Madalya"/>
    <tableColumn id="1666" xr3:uid="{00000000-0010-0000-0300-000082060000}" name="Maddingley"/>
    <tableColumn id="1667" xr3:uid="{00000000-0010-0000-0300-000083060000}" name="Mafeking"/>
    <tableColumn id="1668" xr3:uid="{00000000-0010-0000-0300-000084060000}" name="Maffra"/>
    <tableColumn id="1669" xr3:uid="{00000000-0010-0000-0300-000085060000}" name="Maffra West Upper"/>
    <tableColumn id="1670" xr3:uid="{00000000-0010-0000-0300-000086060000}" name="Magpie"/>
    <tableColumn id="1671" xr3:uid="{00000000-0010-0000-0300-000087060000}" name="Maiden Gully"/>
    <tableColumn id="1672" xr3:uid="{00000000-0010-0000-0300-000088060000}" name="Maidstone"/>
    <tableColumn id="1673" xr3:uid="{00000000-0010-0000-0300-000089060000}" name="Mailors Flat"/>
    <tableColumn id="1674" xr3:uid="{00000000-0010-0000-0300-00008A060000}" name="Main Lead"/>
    <tableColumn id="1675" xr3:uid="{00000000-0010-0000-0300-00008B060000}" name="Main Ridge"/>
    <tableColumn id="1676" xr3:uid="{00000000-0010-0000-0300-00008C060000}" name="Maindample"/>
    <tableColumn id="1677" xr3:uid="{00000000-0010-0000-0300-00008D060000}" name="Maintongoon"/>
    <tableColumn id="1678" xr3:uid="{00000000-0010-0000-0300-00008E060000}" name="Major Plains"/>
    <tableColumn id="1679" xr3:uid="{00000000-0010-0000-0300-00008F060000}" name="Majorca"/>
    <tableColumn id="1680" xr3:uid="{00000000-0010-0000-0300-000090060000}" name="Maldon"/>
    <tableColumn id="1681" xr3:uid="{00000000-0010-0000-0300-000091060000}" name="Mallacoota"/>
    <tableColumn id="1682" xr3:uid="{00000000-0010-0000-0300-000092060000}" name="Malmsbury"/>
    <tableColumn id="1683" xr3:uid="{00000000-0010-0000-0300-000093060000}" name="Malvern"/>
    <tableColumn id="1684" xr3:uid="{00000000-0010-0000-0300-000094060000}" name="Malvern East"/>
    <tableColumn id="1685" xr3:uid="{00000000-0010-0000-0300-000095060000}" name="Malvern North"/>
    <tableColumn id="1686" xr3:uid="{00000000-0010-0000-0300-000096060000}" name="Mambourin"/>
    <tableColumn id="1687" xr3:uid="{00000000-0010-0000-0300-000097060000}" name="Manangatang"/>
    <tableColumn id="1688" xr3:uid="{00000000-0010-0000-0300-000098060000}" name="Mandurang"/>
    <tableColumn id="1689" xr3:uid="{00000000-0010-0000-0300-000099060000}" name="Mandurang South"/>
    <tableColumn id="1690" xr3:uid="{00000000-0010-0000-0300-00009A060000}" name="Mangalore"/>
    <tableColumn id="1691" xr3:uid="{00000000-0010-0000-0300-00009B060000}" name="Manifold Heights"/>
    <tableColumn id="1692" xr3:uid="{00000000-0010-0000-0300-00009C060000}" name="Mannerim"/>
    <tableColumn id="1693" xr3:uid="{00000000-0010-0000-0300-00009D060000}" name="Mannibadar"/>
    <tableColumn id="1694" xr3:uid="{00000000-0010-0000-0300-00009E060000}" name="Manns Beach"/>
    <tableColumn id="1695" xr3:uid="{00000000-0010-0000-0300-00009F060000}" name="Manor Lakes"/>
    <tableColumn id="1696" xr3:uid="{00000000-0010-0000-0300-0000A0060000}" name="Manorina"/>
    <tableColumn id="1697" xr3:uid="{00000000-0010-0000-0300-0000A1060000}" name="Mansfield"/>
    <tableColumn id="1698" xr3:uid="{00000000-0010-0000-0300-0000A2060000}" name="Maramingo Creek"/>
    <tableColumn id="1699" xr3:uid="{00000000-0010-0000-0300-0000A3060000}" name="Marcus Hill"/>
    <tableColumn id="1700" xr3:uid="{00000000-0010-0000-0300-0000A4060000}" name="Mardan"/>
    <tableColumn id="1701" xr3:uid="{00000000-0010-0000-0300-0000A5060000}" name="Marengo"/>
    <tableColumn id="1702" xr3:uid="{00000000-0010-0000-0300-0000A6060000}" name="Maribyrnong"/>
    <tableColumn id="1703" xr3:uid="{00000000-0010-0000-0300-0000A7060000}" name="Marionvale"/>
    <tableColumn id="1704" xr3:uid="{00000000-0010-0000-0300-0000A8060000}" name="Markwood"/>
    <tableColumn id="1705" xr3:uid="{00000000-0010-0000-0300-0000A9060000}" name="Marlbed"/>
    <tableColumn id="1706" xr3:uid="{00000000-0010-0000-0300-0000AA060000}" name="Marlo"/>
    <tableColumn id="1707" xr3:uid="{00000000-0010-0000-0300-0000AB060000}" name="Marnoo"/>
    <tableColumn id="1708" xr3:uid="{00000000-0010-0000-0300-0000AC060000}" name="Marnoo East"/>
    <tableColumn id="1709" xr3:uid="{00000000-0010-0000-0300-0000AD060000}" name="Marnoo West"/>
    <tableColumn id="1710" xr3:uid="{00000000-0010-0000-0300-0000AE060000}" name="Marong"/>
    <tableColumn id="1711" xr3:uid="{00000000-0010-0000-0300-0000AF060000}" name="Maroona"/>
    <tableColumn id="1712" xr3:uid="{00000000-0010-0000-0300-0000B0060000}" name="Marraweeney"/>
    <tableColumn id="1713" xr3:uid="{00000000-0010-0000-0300-0000B1060000}" name="Marshall"/>
    <tableColumn id="1714" xr3:uid="{00000000-0010-0000-0300-0000B2060000}" name="Marthavale"/>
    <tableColumn id="1715" xr3:uid="{00000000-0010-0000-0300-0000B3060000}" name="Marungi"/>
    <tableColumn id="1716" xr3:uid="{00000000-0010-0000-0300-0000B4060000}" name="Maryborough"/>
    <tableColumn id="1717" xr3:uid="{00000000-0010-0000-0300-0000B5060000}" name="Maryknoll"/>
    <tableColumn id="1718" xr3:uid="{00000000-0010-0000-0300-0000B6060000}" name="Marysville"/>
    <tableColumn id="1719" xr3:uid="{00000000-0010-0000-0300-0000B7060000}" name="Maryvale"/>
    <tableColumn id="1720" xr3:uid="{00000000-0010-0000-0300-0000B8060000}" name="Massey"/>
    <tableColumn id="1721" xr3:uid="{00000000-0010-0000-0300-0000B9060000}" name="Matlock"/>
    <tableColumn id="1722" xr3:uid="{00000000-0010-0000-0300-0000BA060000}" name="Maude"/>
    <tableColumn id="1723" xr3:uid="{00000000-0010-0000-0300-0000BB060000}" name="Mccrae"/>
    <tableColumn id="1724" xr3:uid="{00000000-0010-0000-0300-0000BC060000}" name="Mcintyre"/>
    <tableColumn id="1725" xr3:uid="{00000000-0010-0000-0300-0000BD060000}" name="Mckenzie Creek"/>
    <tableColumn id="1726" xr3:uid="{00000000-0010-0000-0300-0000BE060000}" name="Mckenzie Hill"/>
    <tableColumn id="1727" xr3:uid="{00000000-0010-0000-0300-0000BF060000}" name="Mckinnon"/>
    <tableColumn id="1728" xr3:uid="{00000000-0010-0000-0300-0000C0060000}" name="Mcloughlins Beach"/>
    <tableColumn id="1729" xr3:uid="{00000000-0010-0000-0300-0000C1060000}" name="Mcmahons Creek"/>
    <tableColumn id="1730" xr3:uid="{00000000-0010-0000-0300-0000C2060000}" name="Mcmillans"/>
    <tableColumn id="1731" xr3:uid="{00000000-0010-0000-0300-0000C3060000}" name="Mead"/>
    <tableColumn id="1732" xr3:uid="{00000000-0010-0000-0300-0000C4060000}" name="Meadow Creek"/>
    <tableColumn id="1733" xr3:uid="{00000000-0010-0000-0300-0000C5060000}" name="Meadow Heights"/>
    <tableColumn id="1734" xr3:uid="{00000000-0010-0000-0300-0000C6060000}" name="Meatian"/>
    <tableColumn id="1735" xr3:uid="{00000000-0010-0000-0300-0000C7060000}" name="Medlyn"/>
    <tableColumn id="1736" xr3:uid="{00000000-0010-0000-0300-0000C8060000}" name="Meeniyan"/>
    <tableColumn id="1737" xr3:uid="{00000000-0010-0000-0300-0000C9060000}" name="Meering West"/>
    <tableColumn id="1738" xr3:uid="{00000000-0010-0000-0300-0000CA060000}" name="Meerlieu"/>
    <tableColumn id="1739" xr3:uid="{00000000-0010-0000-0300-0000CB060000}" name="Melbourne"/>
    <tableColumn id="1740" xr3:uid="{00000000-0010-0000-0300-0000CC060000}" name="Melbourne Airport"/>
    <tableColumn id="1741" xr3:uid="{00000000-0010-0000-0300-0000CD060000}" name="Melbourne University"/>
    <tableColumn id="1742" xr3:uid="{00000000-0010-0000-0300-0000CE060000}" name="Melton"/>
    <tableColumn id="1743" xr3:uid="{00000000-0010-0000-0300-0000CF060000}" name="Melton South"/>
    <tableColumn id="1744" xr3:uid="{00000000-0010-0000-0300-0000D0060000}" name="Melton West"/>
    <tableColumn id="1745" xr3:uid="{00000000-0010-0000-0300-0000D1060000}" name="Melville Forest"/>
    <tableColumn id="1746" xr3:uid="{00000000-0010-0000-0300-0000D2060000}" name="Melwood"/>
    <tableColumn id="1747" xr3:uid="{00000000-0010-0000-0300-0000D3060000}" name="Mena Park"/>
    <tableColumn id="1748" xr3:uid="{00000000-0010-0000-0300-0000D4060000}" name="Mentone"/>
    <tableColumn id="1749" xr3:uid="{00000000-0010-0000-0300-0000D5060000}" name="Mentone East"/>
    <tableColumn id="1750" xr3:uid="{00000000-0010-0000-0300-0000D6060000}" name="Menzies Creek"/>
    <tableColumn id="1751" xr3:uid="{00000000-0010-0000-0300-0000D7060000}" name="Mepunga"/>
    <tableColumn id="1752" xr3:uid="{00000000-0010-0000-0300-0000D8060000}" name="Mepunga East"/>
    <tableColumn id="1753" xr3:uid="{00000000-0010-0000-0300-0000D9060000}" name="Mepunga West"/>
    <tableColumn id="1754" xr3:uid="{00000000-0010-0000-0300-0000DA060000}" name="Merbein"/>
    <tableColumn id="1755" xr3:uid="{00000000-0010-0000-0300-0000DB060000}" name="Merbein South"/>
    <tableColumn id="1756" xr3:uid="{00000000-0010-0000-0300-0000DC060000}" name="Merbein West"/>
    <tableColumn id="1757" xr3:uid="{00000000-0010-0000-0300-0000DD060000}" name="Meredith"/>
    <tableColumn id="1758" xr3:uid="{00000000-0010-0000-0300-0000DE060000}" name="Meringur"/>
    <tableColumn id="1759" xr3:uid="{00000000-0010-0000-0300-0000DF060000}" name="Merino"/>
    <tableColumn id="1760" xr3:uid="{00000000-0010-0000-0300-0000E0060000}" name="Merlynston"/>
    <tableColumn id="1761" xr3:uid="{00000000-0010-0000-0300-0000E1060000}" name="Mernda"/>
    <tableColumn id="1762" xr3:uid="{00000000-0010-0000-0300-0000E2060000}" name="Merriang"/>
    <tableColumn id="1763" xr3:uid="{00000000-0010-0000-0300-0000E3060000}" name="Merriang South"/>
    <tableColumn id="1764" xr3:uid="{00000000-0010-0000-0300-0000E4060000}" name="Merricks"/>
    <tableColumn id="1765" xr3:uid="{00000000-0010-0000-0300-0000E5060000}" name="Merricks Beach"/>
    <tableColumn id="1766" xr3:uid="{00000000-0010-0000-0300-0000E6060000}" name="Merricks North"/>
    <tableColumn id="1767" xr3:uid="{00000000-0010-0000-0300-0000E7060000}" name="Merrigum"/>
    <tableColumn id="1768" xr3:uid="{00000000-0010-0000-0300-0000E8060000}" name="Merrijig"/>
    <tableColumn id="1769" xr3:uid="{00000000-0010-0000-0300-0000E9060000}" name="Merrimu"/>
    <tableColumn id="1770" xr3:uid="{00000000-0010-0000-0300-0000EA060000}" name="Merrinee"/>
    <tableColumn id="1771" xr3:uid="{00000000-0010-0000-0300-0000EB060000}" name="Merton"/>
    <tableColumn id="1772" xr3:uid="{00000000-0010-0000-0300-0000EC060000}" name="Metcalfe"/>
    <tableColumn id="1773" xr3:uid="{00000000-0010-0000-0300-0000ED060000}" name="Metcalfe East"/>
    <tableColumn id="1774" xr3:uid="{00000000-0010-0000-0300-0000EE060000}" name="Metung"/>
    <tableColumn id="1775" xr3:uid="{00000000-0010-0000-0300-0000EF060000}" name="Mia Mia"/>
    <tableColumn id="1776" xr3:uid="{00000000-0010-0000-0300-0000F0060000}" name="Mickleham"/>
    <tableColumn id="1777" xr3:uid="{00000000-0010-0000-0300-0000F1060000}" name="Middle Camberwell"/>
    <tableColumn id="1778" xr3:uid="{00000000-0010-0000-0300-0000F2060000}" name="Middle Creek"/>
    <tableColumn id="1779" xr3:uid="{00000000-0010-0000-0300-0000F3060000}" name="Middle Park"/>
    <tableColumn id="1780" xr3:uid="{00000000-0010-0000-0300-0000F4060000}" name="Middle Tarwin"/>
    <tableColumn id="1781" xr3:uid="{00000000-0010-0000-0300-0000F5060000}" name="Miepoll"/>
    <tableColumn id="1782" xr3:uid="{00000000-0010-0000-0300-0000F6060000}" name="Miga Lake"/>
    <tableColumn id="1783" xr3:uid="{00000000-0010-0000-0300-0000F7060000}" name="Milawa"/>
    <tableColumn id="1784" xr3:uid="{00000000-0010-0000-0300-0000F8060000}" name="Mildura"/>
    <tableColumn id="1785" xr3:uid="{00000000-0010-0000-0300-0000F9060000}" name="Mildura Centre Plaza"/>
    <tableColumn id="1786" xr3:uid="{00000000-0010-0000-0300-0000FA060000}" name="Mildura South"/>
    <tableColumn id="1787" xr3:uid="{00000000-0010-0000-0300-0000FB060000}" name="Mildura West"/>
    <tableColumn id="1788" xr3:uid="{00000000-0010-0000-0300-0000FC060000}" name="Mill Park"/>
    <tableColumn id="1789" xr3:uid="{00000000-0010-0000-0300-0000FD060000}" name="Millbrook"/>
    <tableColumn id="1790" xr3:uid="{00000000-0010-0000-0300-0000FE060000}" name="Millgrove"/>
    <tableColumn id="1791" xr3:uid="{00000000-0010-0000-0300-0000FF060000}" name="Milloo"/>
    <tableColumn id="1792" xr3:uid="{00000000-0010-0000-0300-000000070000}" name="Milltown"/>
    <tableColumn id="1793" xr3:uid="{00000000-0010-0000-0300-000001070000}" name="Milnes Bridge"/>
    <tableColumn id="1794" xr3:uid="{00000000-0010-0000-0300-000002070000}" name="Mincha"/>
    <tableColumn id="1795" xr3:uid="{00000000-0010-0000-0300-000003070000}" name="Mincha West"/>
    <tableColumn id="1796" xr3:uid="{00000000-0010-0000-0300-000004070000}" name="Miners Rest"/>
    <tableColumn id="1797" xr3:uid="{00000000-0010-0000-0300-000005070000}" name="Mingay"/>
    <tableColumn id="1798" xr3:uid="{00000000-0010-0000-0300-000006070000}" name="Minhamite"/>
    <tableColumn id="1799" xr3:uid="{00000000-0010-0000-0300-000007070000}" name="Minimay"/>
    <tableColumn id="1800" xr3:uid="{00000000-0010-0000-0300-000008070000}" name="Mininera"/>
    <tableColumn id="1801" xr3:uid="{00000000-0010-0000-0300-000009070000}" name="Minjah"/>
    <tableColumn id="1802" xr3:uid="{00000000-0010-0000-0300-00000A070000}" name="Minmindie"/>
    <tableColumn id="1803" xr3:uid="{00000000-0010-0000-0300-00000B070000}" name="Minyip"/>
    <tableColumn id="1804" xr3:uid="{00000000-0010-0000-0300-00000C070000}" name="Miowera"/>
    <tableColumn id="1805" xr3:uid="{00000000-0010-0000-0300-00000D070000}" name="Miralie"/>
    <tableColumn id="1806" xr3:uid="{00000000-0010-0000-0300-00000E070000}" name="Miram"/>
    <tableColumn id="1807" xr3:uid="{00000000-0010-0000-0300-00000F070000}" name="Mirboo"/>
    <tableColumn id="1808" xr3:uid="{00000000-0010-0000-0300-000010070000}" name="Mirboo North"/>
    <tableColumn id="1809" xr3:uid="{00000000-0010-0000-0300-000011070000}" name="Mirimbah"/>
    <tableColumn id="1810" xr3:uid="{00000000-0010-0000-0300-000012070000}" name="Mirranatwa"/>
    <tableColumn id="1811" xr3:uid="{00000000-0010-0000-0300-000013070000}" name="Mitcham"/>
    <tableColumn id="1812" xr3:uid="{00000000-0010-0000-0300-000014070000}" name="Mitcham North"/>
    <tableColumn id="1813" xr3:uid="{00000000-0010-0000-0300-000015070000}" name="Mitchell Park"/>
    <tableColumn id="1814" xr3:uid="{00000000-0010-0000-0300-000016070000}" name="Mitchellstown"/>
    <tableColumn id="1815" xr3:uid="{00000000-0010-0000-0300-000017070000}" name="Mitiamo"/>
    <tableColumn id="1816" xr3:uid="{00000000-0010-0000-0300-000018070000}" name="Mitre"/>
    <tableColumn id="1817" xr3:uid="{00000000-0010-0000-0300-000019070000}" name="Mitta Mitta"/>
    <tableColumn id="1818" xr3:uid="{00000000-0010-0000-0300-00001A070000}" name="Mittyack"/>
    <tableColumn id="1819" xr3:uid="{00000000-0010-0000-0300-00001B070000}" name="Mockinya"/>
    <tableColumn id="1820" xr3:uid="{00000000-0010-0000-0300-00001C070000}" name="Modella"/>
    <tableColumn id="1821" xr3:uid="{00000000-0010-0000-0300-00001D070000}" name="Modewarre"/>
    <tableColumn id="1822" xr3:uid="{00000000-0010-0000-0300-00001E070000}" name="Moe"/>
    <tableColumn id="1823" xr3:uid="{00000000-0010-0000-0300-00001F070000}" name="Moe South"/>
    <tableColumn id="1824" xr3:uid="{00000000-0010-0000-0300-000020070000}" name="Moggs Creek"/>
    <tableColumn id="1825" xr3:uid="{00000000-0010-0000-0300-000021070000}" name="Moglonemby"/>
    <tableColumn id="1826" xr3:uid="{00000000-0010-0000-0300-000022070000}" name="Mokepilly"/>
    <tableColumn id="1827" xr3:uid="{00000000-0010-0000-0300-000023070000}" name="Molesworth"/>
    <tableColumn id="1828" xr3:uid="{00000000-0010-0000-0300-000024070000}" name="Moliagul"/>
    <tableColumn id="1829" xr3:uid="{00000000-0010-0000-0300-000025070000}" name="Molka"/>
    <tableColumn id="1830" xr3:uid="{00000000-0010-0000-0300-000026070000}" name="Mollongghip"/>
    <tableColumn id="1831" xr3:uid="{00000000-0010-0000-0300-000027070000}" name="Mologa"/>
    <tableColumn id="1832" xr3:uid="{00000000-0010-0000-0300-000028070000}" name="Molyullah"/>
    <tableColumn id="1833" xr3:uid="{00000000-0010-0000-0300-000029070000}" name="Monbulk"/>
    <tableColumn id="1834" xr3:uid="{00000000-0010-0000-0300-00002A070000}" name="Monegeetta"/>
    <tableColumn id="1835" xr3:uid="{00000000-0010-0000-0300-00002B070000}" name="Mongans Bridge"/>
    <tableColumn id="1836" xr3:uid="{00000000-0010-0000-0300-00002C070000}" name="Monomak"/>
    <tableColumn id="1837" xr3:uid="{00000000-0010-0000-0300-00002D070000}" name="Monomeith"/>
    <tableColumn id="1838" xr3:uid="{00000000-0010-0000-0300-00002E070000}" name="Mont Albert"/>
    <tableColumn id="1839" xr3:uid="{00000000-0010-0000-0300-00002F070000}" name="Mont Albert North"/>
    <tableColumn id="1840" xr3:uid="{00000000-0010-0000-0300-000030070000}" name="Montgomery"/>
    <tableColumn id="1841" xr3:uid="{00000000-0010-0000-0300-000031070000}" name="Montmorency"/>
    <tableColumn id="1842" xr3:uid="{00000000-0010-0000-0300-000032070000}" name="Montrose"/>
    <tableColumn id="1843" xr3:uid="{00000000-0010-0000-0300-000033070000}" name="Moolap"/>
    <tableColumn id="1844" xr3:uid="{00000000-0010-0000-0300-000034070000}" name="Moolerr"/>
    <tableColumn id="1845" xr3:uid="{00000000-0010-0000-0300-000035070000}" name="Moolort"/>
    <tableColumn id="1846" xr3:uid="{00000000-0010-0000-0300-000036070000}" name="Moonambel"/>
    <tableColumn id="1847" xr3:uid="{00000000-0010-0000-0300-000037070000}" name="Moondarra"/>
    <tableColumn id="1848" xr3:uid="{00000000-0010-0000-0300-000038070000}" name="Moonee Ponds"/>
    <tableColumn id="1849" xr3:uid="{00000000-0010-0000-0300-000039070000}" name="Moonee Vale"/>
    <tableColumn id="1850" xr3:uid="{00000000-0010-0000-0300-00003A070000}" name="Moonlight Flat"/>
    <tableColumn id="1851" xr3:uid="{00000000-0010-0000-0300-00003B070000}" name="Moora"/>
    <tableColumn id="1852" xr3:uid="{00000000-0010-0000-0300-00003C070000}" name="Moorabbin"/>
    <tableColumn id="1853" xr3:uid="{00000000-0010-0000-0300-00003D070000}" name="Moorabbin Airport"/>
    <tableColumn id="1854" xr3:uid="{00000000-0010-0000-0300-00003E070000}" name="Moorabbin East"/>
    <tableColumn id="1855" xr3:uid="{00000000-0010-0000-0300-00003F070000}" name="Moorabool"/>
    <tableColumn id="1856" xr3:uid="{00000000-0010-0000-0300-000040070000}" name="Mooralla"/>
    <tableColumn id="1857" xr3:uid="{00000000-0010-0000-0300-000041070000}" name="Moorilim"/>
    <tableColumn id="1858" xr3:uid="{00000000-0010-0000-0300-000042070000}" name="Moormbool West"/>
    <tableColumn id="1859" xr3:uid="{00000000-0010-0000-0300-000043070000}" name="Moornapa"/>
    <tableColumn id="1860" xr3:uid="{00000000-0010-0000-0300-000044070000}" name="Moorngag"/>
    <tableColumn id="1861" xr3:uid="{00000000-0010-0000-0300-000045070000}" name="Moorooduc"/>
    <tableColumn id="1862" xr3:uid="{00000000-0010-0000-0300-000046070000}" name="Mooroolbark"/>
    <tableColumn id="1863" xr3:uid="{00000000-0010-0000-0300-000047070000}" name="Mooroopna"/>
    <tableColumn id="1864" xr3:uid="{00000000-0010-0000-0300-000048070000}" name="Mooroopna North"/>
    <tableColumn id="1865" xr3:uid="{00000000-0010-0000-0300-000049070000}" name="Mooroopna North West"/>
    <tableColumn id="1866" xr3:uid="{00000000-0010-0000-0300-00004A070000}" name="Moranding"/>
    <tableColumn id="1867" xr3:uid="{00000000-0010-0000-0300-00004B070000}" name="Mordialloc"/>
    <tableColumn id="1868" xr3:uid="{00000000-0010-0000-0300-00004C070000}" name="Moreland"/>
    <tableColumn id="1869" xr3:uid="{00000000-0010-0000-0300-00004D070000}" name="Moreland West"/>
    <tableColumn id="1870" xr3:uid="{00000000-0010-0000-0300-00004E070000}" name="Morgiana"/>
    <tableColumn id="1871" xr3:uid="{00000000-0010-0000-0300-00004F070000}" name="Moriac"/>
    <tableColumn id="1872" xr3:uid="{00000000-0010-0000-0300-000050070000}" name="Mornington"/>
    <tableColumn id="1873" xr3:uid="{00000000-0010-0000-0300-000051070000}" name="Moroka"/>
    <tableColumn id="1874" xr3:uid="{00000000-0010-0000-0300-000052070000}" name="Morrisons"/>
    <tableColumn id="1875" xr3:uid="{00000000-0010-0000-0300-000053070000}" name="Morrl Morrl"/>
    <tableColumn id="1876" xr3:uid="{00000000-0010-0000-0300-000054070000}" name="Mortlake"/>
    <tableColumn id="1877" xr3:uid="{00000000-0010-0000-0300-000055070000}" name="Morton Plains"/>
    <tableColumn id="1878" xr3:uid="{00000000-0010-0000-0300-000056070000}" name="Morwell"/>
    <tableColumn id="1879" xr3:uid="{00000000-0010-0000-0300-000057070000}" name="Mossiface"/>
    <tableColumn id="1880" xr3:uid="{00000000-0010-0000-0300-000058070000}" name="Mount Alfred"/>
    <tableColumn id="1881" xr3:uid="{00000000-0010-0000-0300-000059070000}" name="Mount Beauty"/>
    <tableColumn id="1882" xr3:uid="{00000000-0010-0000-0300-00005A070000}" name="Mount Beckworth"/>
    <tableColumn id="1883" xr3:uid="{00000000-0010-0000-0300-00005B070000}" name="Mount Best"/>
    <tableColumn id="1884" xr3:uid="{00000000-0010-0000-0300-00005C070000}" name="Mount Bolton"/>
    <tableColumn id="1885" xr3:uid="{00000000-0010-0000-0300-00005D070000}" name="Mount Bruno"/>
    <tableColumn id="1886" xr3:uid="{00000000-0010-0000-0300-00005E070000}" name="Mount Buffalo"/>
    <tableColumn id="1887" xr3:uid="{00000000-0010-0000-0300-00005F070000}" name="Mount Buller"/>
    <tableColumn id="1888" xr3:uid="{00000000-0010-0000-0300-000060070000}" name="Mount Burnett"/>
    <tableColumn id="1889" xr3:uid="{00000000-0010-0000-0300-000061070000}" name="Mount Bute"/>
    <tableColumn id="1890" xr3:uid="{00000000-0010-0000-0300-000062070000}" name="Mount Camel"/>
    <tableColumn id="1891" xr3:uid="{00000000-0010-0000-0300-000063070000}" name="Mount Cameron"/>
    <tableColumn id="1892" xr3:uid="{00000000-0010-0000-0300-000064070000}" name="Mount Clear"/>
    <tableColumn id="1893" xr3:uid="{00000000-0010-0000-0300-000065070000}" name="Mount Cole"/>
    <tableColumn id="1894" xr3:uid="{00000000-0010-0000-0300-000066070000}" name="Mount Cole Creek"/>
    <tableColumn id="1895" xr3:uid="{00000000-0010-0000-0300-000067070000}" name="Mount Cottrell"/>
    <tableColumn id="1896" xr3:uid="{00000000-0010-0000-0300-000068070000}" name="Mount Dandenong"/>
    <tableColumn id="1897" xr3:uid="{00000000-0010-0000-0300-000069070000}" name="Mount Doran"/>
    <tableColumn id="1898" xr3:uid="{00000000-0010-0000-0300-00006A070000}" name="Mount Dryden"/>
    <tableColumn id="1899" xr3:uid="{00000000-0010-0000-0300-00006B070000}" name="Mount Duneed"/>
    <tableColumn id="1900" xr3:uid="{00000000-0010-0000-0300-00006C070000}" name="Mount Eccles"/>
    <tableColumn id="1901" xr3:uid="{00000000-0010-0000-0300-00006D070000}" name="Mount Eccles South"/>
    <tableColumn id="1902" xr3:uid="{00000000-0010-0000-0300-00006E070000}" name="Mount Egerton"/>
    <tableColumn id="1903" xr3:uid="{00000000-0010-0000-0300-00006F070000}" name="Mount Eliza"/>
    <tableColumn id="1904" xr3:uid="{00000000-0010-0000-0300-000070070000}" name="Mount Emu"/>
    <tableColumn id="1905" xr3:uid="{00000000-0010-0000-0300-000071070000}" name="Mount Evelyn"/>
    <tableColumn id="1906" xr3:uid="{00000000-0010-0000-0300-000072070000}" name="Mount Franklin"/>
    <tableColumn id="1907" xr3:uid="{00000000-0010-0000-0300-000073070000}" name="Mount Glasgow"/>
    <tableColumn id="1908" xr3:uid="{00000000-0010-0000-0300-000074070000}" name="Mount Helen"/>
    <tableColumn id="1909" xr3:uid="{00000000-0010-0000-0300-000075070000}" name="Mount Hooghly"/>
    <tableColumn id="1910" xr3:uid="{00000000-0010-0000-0300-000076070000}" name="Mount Hotham"/>
    <tableColumn id="1911" xr3:uid="{00000000-0010-0000-0300-000077070000}" name="Mount Lonarch"/>
    <tableColumn id="1912" xr3:uid="{00000000-0010-0000-0300-000078070000}" name="Mount Macedon"/>
    <tableColumn id="1913" xr3:uid="{00000000-0010-0000-0300-000079070000}" name="Mount Major"/>
    <tableColumn id="1914" xr3:uid="{00000000-0010-0000-0300-00007A070000}" name="Mount Martha"/>
    <tableColumn id="1915" xr3:uid="{00000000-0010-0000-0300-00007B070000}" name="Mount Mercer"/>
    <tableColumn id="1916" xr3:uid="{00000000-0010-0000-0300-00007C070000}" name="Mount Moriac"/>
    <tableColumn id="1917" xr3:uid="{00000000-0010-0000-0300-00007D070000}" name="Mount Napier"/>
    <tableColumn id="1918" xr3:uid="{00000000-0010-0000-0300-00007E070000}" name="Mount Pleasant"/>
    <tableColumn id="1919" xr3:uid="{00000000-0010-0000-0300-00007F070000}" name="Mount Prospect"/>
    <tableColumn id="1920" xr3:uid="{00000000-0010-0000-0300-000080070000}" name="Mount Richmond"/>
    <tableColumn id="1921" xr3:uid="{00000000-0010-0000-0300-000081070000}" name="Mount Rowan"/>
    <tableColumn id="1922" xr3:uid="{00000000-0010-0000-0300-000082070000}" name="Mount Sabine"/>
    <tableColumn id="1923" xr3:uid="{00000000-0010-0000-0300-000083070000}" name="Mount Tassie"/>
    <tableColumn id="1924" xr3:uid="{00000000-0010-0000-0300-000084070000}" name="Mount Taylor"/>
    <tableColumn id="1925" xr3:uid="{00000000-0010-0000-0300-000085070000}" name="Mount Toolebewong"/>
    <tableColumn id="1926" xr3:uid="{00000000-0010-0000-0300-000086070000}" name="Mount Wallace"/>
    <tableColumn id="1927" xr3:uid="{00000000-0010-0000-0300-000087070000}" name="Mount Waverley"/>
    <tableColumn id="1928" xr3:uid="{00000000-0010-0000-0300-000088070000}" name="Mountain Bay"/>
    <tableColumn id="1929" xr3:uid="{00000000-0010-0000-0300-000089070000}" name="Mountain Gate"/>
    <tableColumn id="1930" xr3:uid="{00000000-0010-0000-0300-00008A070000}" name="Mountain View"/>
    <tableColumn id="1931" xr3:uid="{00000000-0010-0000-0300-00008B070000}" name="Moutajup"/>
    <tableColumn id="1932" xr3:uid="{00000000-0010-0000-0300-00008C070000}" name="Moyarra"/>
    <tableColumn id="1933" xr3:uid="{00000000-0010-0000-0300-00008D070000}" name="Moyhu"/>
    <tableColumn id="1934" xr3:uid="{00000000-0010-0000-0300-00008E070000}" name="Moyreisk"/>
    <tableColumn id="1935" xr3:uid="{00000000-0010-0000-0300-00008F070000}" name="Moyston"/>
    <tableColumn id="1936" xr3:uid="{00000000-0010-0000-0300-000090070000}" name="Muckatah"/>
    <tableColumn id="1937" xr3:uid="{00000000-0010-0000-0300-000091070000}" name="Muckleford"/>
    <tableColumn id="1938" xr3:uid="{00000000-0010-0000-0300-000092070000}" name="Muckleford South"/>
    <tableColumn id="1939" xr3:uid="{00000000-0010-0000-0300-000093070000}" name="Mudgegonga"/>
    <tableColumn id="1940" xr3:uid="{00000000-0010-0000-0300-000094070000}" name="Mulgrave"/>
    <tableColumn id="1941" xr3:uid="{00000000-0010-0000-0300-000095070000}" name="Mumbannar"/>
    <tableColumn id="1942" xr3:uid="{00000000-0010-0000-0300-000096070000}" name="Mundoona"/>
    <tableColumn id="1943" xr3:uid="{00000000-0010-0000-0300-000097070000}" name="Munro"/>
    <tableColumn id="1944" xr3:uid="{00000000-0010-0000-0300-000098070000}" name="Muntham"/>
    <tableColumn id="1945" xr3:uid="{00000000-0010-0000-0300-000099070000}" name="Murchison"/>
    <tableColumn id="1946" xr3:uid="{00000000-0010-0000-0300-00009A070000}" name="Murchison East"/>
    <tableColumn id="1947" xr3:uid="{00000000-0010-0000-0300-00009B070000}" name="Murchison North"/>
    <tableColumn id="1948" xr3:uid="{00000000-0010-0000-0300-00009C070000}" name="Murgheboluc"/>
    <tableColumn id="1949" xr3:uid="{00000000-0010-0000-0300-00009D070000}" name="Murmungee"/>
    <tableColumn id="1950" xr3:uid="{00000000-0010-0000-0300-00009E070000}" name="Murnungin"/>
    <tableColumn id="1951" xr3:uid="{00000000-0010-0000-0300-00009F070000}" name="Murphys Creek"/>
    <tableColumn id="1952" xr3:uid="{00000000-0010-0000-0300-0000A0070000}" name="Murra Warra"/>
    <tableColumn id="1953" xr3:uid="{00000000-0010-0000-0300-0000A1070000}" name="Murrabit"/>
    <tableColumn id="1954" xr3:uid="{00000000-0010-0000-0300-0000A2070000}" name="Murrabit West"/>
    <tableColumn id="1955" xr3:uid="{00000000-0010-0000-0300-0000A3070000}" name="Murrawee"/>
    <tableColumn id="1956" xr3:uid="{00000000-0010-0000-0300-0000A4070000}" name="Murray Sunset"/>
    <tableColumn id="1957" xr3:uid="{00000000-0010-0000-0300-0000A5070000}" name="Murraydale"/>
    <tableColumn id="1958" xr3:uid="{00000000-0010-0000-0300-0000A6070000}" name="Murrayville"/>
    <tableColumn id="1959" xr3:uid="{00000000-0010-0000-0300-0000A7070000}" name="Murrindal"/>
    <tableColumn id="1960" xr3:uid="{00000000-0010-0000-0300-0000A8070000}" name="Murrindindi"/>
    <tableColumn id="1961" xr3:uid="{00000000-0010-0000-0300-0000A9070000}" name="Murroon"/>
    <tableColumn id="1962" xr3:uid="{00000000-0010-0000-0300-0000AA070000}" name="Murrumbeena"/>
    <tableColumn id="1963" xr3:uid="{00000000-0010-0000-0300-0000AB070000}" name="Murtoa"/>
    <tableColumn id="1964" xr3:uid="{00000000-0010-0000-0300-0000AC070000}" name="Musk"/>
    <tableColumn id="1965" xr3:uid="{00000000-0010-0000-0300-0000AD070000}" name="Musk Vale"/>
    <tableColumn id="1966" xr3:uid="{00000000-0010-0000-0300-0000AE070000}" name="Muskerry"/>
    <tableColumn id="1967" xr3:uid="{00000000-0010-0000-0300-0000AF070000}" name="Myall"/>
    <tableColumn id="1968" xr3:uid="{00000000-0010-0000-0300-0000B0070000}" name="Myamyn"/>
    <tableColumn id="1969" xr3:uid="{00000000-0010-0000-0300-0000B1070000}" name="Myers Flat"/>
    <tableColumn id="1970" xr3:uid="{00000000-0010-0000-0300-0000B2070000}" name="Myola"/>
    <tableColumn id="1971" xr3:uid="{00000000-0010-0000-0300-0000B3070000}" name="Myrniong"/>
    <tableColumn id="1972" xr3:uid="{00000000-0010-0000-0300-0000B4070000}" name="Myrrhee"/>
    <tableColumn id="1973" xr3:uid="{00000000-0010-0000-0300-0000B5070000}" name="Myrtle Creek"/>
    <tableColumn id="1974" xr3:uid="{00000000-0010-0000-0300-0000B6070000}" name="Myrtlebank"/>
    <tableColumn id="1975" xr3:uid="{00000000-0010-0000-0300-0000B7070000}" name="Myrtleford"/>
    <tableColumn id="1976" xr3:uid="{00000000-0010-0000-0300-0000B8070000}" name="Mysia"/>
    <tableColumn id="1977" xr3:uid="{00000000-0010-0000-0300-0000B9070000}" name="Mystic Park"/>
    <tableColumn id="1978" xr3:uid="{00000000-0010-0000-0300-0000BA070000}" name="Mywee"/>
    <tableColumn id="1979" xr3:uid="{00000000-0010-0000-0300-0000BB070000}" name="Nagambie"/>
    <tableColumn id="1980" xr3:uid="{00000000-0010-0000-0300-0000BC070000}" name="Nalangil"/>
    <tableColumn id="1981" xr3:uid="{00000000-0010-0000-0300-0000BD070000}" name="Nalinga"/>
    <tableColumn id="1982" xr3:uid="{00000000-0010-0000-0300-0000BE070000}" name="Nambrok"/>
    <tableColumn id="1983" xr3:uid="{00000000-0010-0000-0300-0000BF070000}" name="Nandaly"/>
    <tableColumn id="1984" xr3:uid="{00000000-0010-0000-0300-0000C0070000}" name="Nangana"/>
    <tableColumn id="1985" xr3:uid="{00000000-0010-0000-0300-0000C1070000}" name="Nangeela"/>
    <tableColumn id="1986" xr3:uid="{00000000-0010-0000-0300-0000C2070000}" name="Nangiloc"/>
    <tableColumn id="1987" xr3:uid="{00000000-0010-0000-0300-0000C3070000}" name="Nanneella"/>
    <tableColumn id="1988" xr3:uid="{00000000-0010-0000-0300-0000C4070000}" name="Nap Nap Marra"/>
    <tableColumn id="1989" xr3:uid="{00000000-0010-0000-0300-0000C5070000}" name="Napoleons"/>
    <tableColumn id="1990" xr3:uid="{00000000-0010-0000-0300-0000C6070000}" name="Nar Nar Goon"/>
    <tableColumn id="1991" xr3:uid="{00000000-0010-0000-0300-0000C7070000}" name="Nar Nar Goon North"/>
    <tableColumn id="1992" xr3:uid="{00000000-0010-0000-0300-0000C8070000}" name="Narbethong"/>
    <tableColumn id="1993" xr3:uid="{00000000-0010-0000-0300-0000C9070000}" name="Nareeb"/>
    <tableColumn id="1994" xr3:uid="{00000000-0010-0000-0300-0000CA070000}" name="Nareen"/>
    <tableColumn id="1995" xr3:uid="{00000000-0010-0000-0300-0000CB070000}" name="Nareewillock"/>
    <tableColumn id="1996" xr3:uid="{00000000-0010-0000-0300-0000CC070000}" name="Nariel Valley"/>
    <tableColumn id="1997" xr3:uid="{00000000-0010-0000-0300-0000CD070000}" name="Naring"/>
    <tableColumn id="1998" xr3:uid="{00000000-0010-0000-0300-0000CE070000}" name="Naringal"/>
    <tableColumn id="1999" xr3:uid="{00000000-0010-0000-0300-0000CF070000}" name="Naringal East"/>
    <tableColumn id="2000" xr3:uid="{00000000-0010-0000-0300-0000D0070000}" name="Naroghid"/>
    <tableColumn id="2001" xr3:uid="{00000000-0010-0000-0300-0000D1070000}" name="Narracan"/>
    <tableColumn id="2002" xr3:uid="{00000000-0010-0000-0300-0000D2070000}" name="Narraport"/>
    <tableColumn id="2003" xr3:uid="{00000000-0010-0000-0300-0000D3070000}" name="Narrapumelap South"/>
    <tableColumn id="2004" xr3:uid="{00000000-0010-0000-0300-0000D4070000}" name="Narrawong"/>
    <tableColumn id="2005" xr3:uid="{00000000-0010-0000-0300-0000D5070000}" name="Narre Warren"/>
    <tableColumn id="2006" xr3:uid="{00000000-0010-0000-0300-0000D6070000}" name="Narre Warren East"/>
    <tableColumn id="2007" xr3:uid="{00000000-0010-0000-0300-0000D7070000}" name="Narre Warren North"/>
    <tableColumn id="2008" xr3:uid="{00000000-0010-0000-0300-0000D8070000}" name="Narre Warren South"/>
    <tableColumn id="2009" xr3:uid="{00000000-0010-0000-0300-0000D9070000}" name="Narrung"/>
    <tableColumn id="2010" xr3:uid="{00000000-0010-0000-0300-0000DA070000}" name="Nathalia"/>
    <tableColumn id="2011" xr3:uid="{00000000-0010-0000-0300-0000DB070000}" name="Natimuk"/>
    <tableColumn id="2012" xr3:uid="{00000000-0010-0000-0300-0000DC070000}" name="Natte Yallock"/>
    <tableColumn id="2013" xr3:uid="{00000000-0010-0000-0300-0000DD070000}" name="Natya"/>
    <tableColumn id="2014" xr3:uid="{00000000-0010-0000-0300-0000DE070000}" name="Navarre"/>
    <tableColumn id="2015" xr3:uid="{00000000-0010-0000-0300-0000DF070000}" name="Navigators"/>
    <tableColumn id="2016" xr3:uid="{00000000-0010-0000-0300-0000E0070000}" name="Nayook"/>
    <tableColumn id="2017" xr3:uid="{00000000-0010-0000-0300-0000E1070000}" name="Neds Corner"/>
    <tableColumn id="2018" xr3:uid="{00000000-0010-0000-0300-0000E2070000}" name="Neereman"/>
    <tableColumn id="2019" xr3:uid="{00000000-0010-0000-0300-0000E3070000}" name="Neerim"/>
    <tableColumn id="2020" xr3:uid="{00000000-0010-0000-0300-0000E4070000}" name="Neerim East"/>
    <tableColumn id="2021" xr3:uid="{00000000-0010-0000-0300-0000E5070000}" name="Neerim Junction"/>
    <tableColumn id="2022" xr3:uid="{00000000-0010-0000-0300-0000E6070000}" name="Neerim North"/>
    <tableColumn id="2023" xr3:uid="{00000000-0010-0000-0300-0000E7070000}" name="Neerim South"/>
    <tableColumn id="2024" xr3:uid="{00000000-0010-0000-0300-0000E8070000}" name="Neilborough"/>
    <tableColumn id="2025" xr3:uid="{00000000-0010-0000-0300-0000E9070000}" name="Nelse"/>
    <tableColumn id="2026" xr3:uid="{00000000-0010-0000-0300-0000EA070000}" name="Nelson"/>
    <tableColumn id="2027" xr3:uid="{00000000-0010-0000-0300-0000EB070000}" name="Nerrena"/>
    <tableColumn id="2028" xr3:uid="{00000000-0010-0000-0300-0000EC070000}" name="Nerrin Nerrin"/>
    <tableColumn id="2029" xr3:uid="{00000000-0010-0000-0300-0000ED070000}" name="Nerrina"/>
    <tableColumn id="2030" xr3:uid="{00000000-0010-0000-0300-0000EE070000}" name="Nerring"/>
    <tableColumn id="2031" xr3:uid="{00000000-0010-0000-0300-0000EF070000}" name="Netherby"/>
    <tableColumn id="2032" xr3:uid="{00000000-0010-0000-0300-0000F0070000}" name="Neuarpurr"/>
    <tableColumn id="2033" xr3:uid="{00000000-0010-0000-0300-0000F1070000}" name="New Gisborne"/>
    <tableColumn id="2034" xr3:uid="{00000000-0010-0000-0300-0000F2070000}" name="Newborough"/>
    <tableColumn id="2035" xr3:uid="{00000000-0010-0000-0300-0000F3070000}" name="Newbridge"/>
    <tableColumn id="2036" xr3:uid="{00000000-0010-0000-0300-0000F4070000}" name="Newbury"/>
    <tableColumn id="2037" xr3:uid="{00000000-0010-0000-0300-0000F5070000}" name="Newcomb"/>
    <tableColumn id="2038" xr3:uid="{00000000-0010-0000-0300-0000F6070000}" name="Newfield"/>
    <tableColumn id="2039" xr3:uid="{00000000-0010-0000-0300-0000F7070000}" name="Newham"/>
    <tableColumn id="2040" xr3:uid="{00000000-0010-0000-0300-0000F8070000}" name="Newhaven"/>
    <tableColumn id="2041" xr3:uid="{00000000-0010-0000-0300-0000F9070000}" name="Newington"/>
    <tableColumn id="2042" xr3:uid="{00000000-0010-0000-0300-0000FA070000}" name="Newlands Arm"/>
    <tableColumn id="2043" xr3:uid="{00000000-0010-0000-0300-0000FB070000}" name="Newlyn"/>
    <tableColumn id="2044" xr3:uid="{00000000-0010-0000-0300-0000FC070000}" name="Newlyn North"/>
    <tableColumn id="2045" xr3:uid="{00000000-0010-0000-0300-0000FD070000}" name="Newmerella"/>
    <tableColumn id="2046" xr3:uid="{00000000-0010-0000-0300-0000FE070000}" name="Newport"/>
    <tableColumn id="2047" xr3:uid="{00000000-0010-0000-0300-0000FF070000}" name="Newry"/>
    <tableColumn id="2048" xr3:uid="{00000000-0010-0000-0300-000000080000}" name="Newstead"/>
    <tableColumn id="2049" xr3:uid="{00000000-0010-0000-0300-000001080000}" name="Newtown"/>
    <tableColumn id="2050" xr3:uid="{00000000-0010-0000-0300-000002080000}" name="Nhill"/>
    <tableColumn id="2051" xr3:uid="{00000000-0010-0000-0300-000003080000}" name="Nichols Point"/>
    <tableColumn id="2052" xr3:uid="{00000000-0010-0000-0300-000004080000}" name="Nicholson"/>
    <tableColumn id="2053" xr3:uid="{00000000-0010-0000-0300-000005080000}" name="Niddrie"/>
    <tableColumn id="2054" xr3:uid="{00000000-0010-0000-0300-000006080000}" name="Niddrie North"/>
    <tableColumn id="2055" xr3:uid="{00000000-0010-0000-0300-000007080000}" name="Nilma"/>
    <tableColumn id="2056" xr3:uid="{00000000-0010-0000-0300-000008080000}" name="Nilma North"/>
    <tableColumn id="2057" xr3:uid="{00000000-0010-0000-0300-000009080000}" name="Ninda"/>
    <tableColumn id="2058" xr3:uid="{00000000-0010-0000-0300-00000A080000}" name="Nine Mile"/>
    <tableColumn id="2059" xr3:uid="{00000000-0010-0000-0300-00000B080000}" name="Nintingbool"/>
    <tableColumn id="2060" xr3:uid="{00000000-0010-0000-0300-00000C080000}" name="Ninyeunook"/>
    <tableColumn id="2061" xr3:uid="{00000000-0010-0000-0300-00000D080000}" name="Nirranda"/>
    <tableColumn id="2062" xr3:uid="{00000000-0010-0000-0300-00000E080000}" name="Nirranda East"/>
    <tableColumn id="2063" xr3:uid="{00000000-0010-0000-0300-00000F080000}" name="Nirranda South"/>
    <tableColumn id="2064" xr3:uid="{00000000-0010-0000-0300-000010080000}" name="Noble Park"/>
    <tableColumn id="2065" xr3:uid="{00000000-0010-0000-0300-000011080000}" name="Noble Park North"/>
    <tableColumn id="2066" xr3:uid="{00000000-0010-0000-0300-000012080000}" name="Noojee"/>
    <tableColumn id="2067" xr3:uid="{00000000-0010-0000-0300-000013080000}" name="Noorat"/>
    <tableColumn id="2068" xr3:uid="{00000000-0010-0000-0300-000014080000}" name="Noorat East"/>
    <tableColumn id="2069" xr3:uid="{00000000-0010-0000-0300-000015080000}" name="Noorinbee"/>
    <tableColumn id="2070" xr3:uid="{00000000-0010-0000-0300-000016080000}" name="Noorinbee North"/>
    <tableColumn id="2071" xr3:uid="{00000000-0010-0000-0300-000017080000}" name="Noradjuha"/>
    <tableColumn id="2072" xr3:uid="{00000000-0010-0000-0300-000018080000}" name="Norlane"/>
    <tableColumn id="2073" xr3:uid="{00000000-0010-0000-0300-000019080000}" name="Normanville"/>
    <tableColumn id="2074" xr3:uid="{00000000-0010-0000-0300-00001A080000}" name="Norong"/>
    <tableColumn id="2075" xr3:uid="{00000000-0010-0000-0300-00001B080000}" name="North Bendigo"/>
    <tableColumn id="2076" xr3:uid="{00000000-0010-0000-0300-00001C080000}" name="North Blackwood"/>
    <tableColumn id="2077" xr3:uid="{00000000-0010-0000-0300-00001D080000}" name="North Geelong"/>
    <tableColumn id="2078" xr3:uid="{00000000-0010-0000-0300-00001E080000}" name="North Melbourne"/>
    <tableColumn id="2079" xr3:uid="{00000000-0010-0000-0300-00001F080000}" name="North Road"/>
    <tableColumn id="2080" xr3:uid="{00000000-0010-0000-0300-000020080000}" name="North Shore"/>
    <tableColumn id="2081" xr3:uid="{00000000-0010-0000-0300-000021080000}" name="North Wangaratta"/>
    <tableColumn id="2082" xr3:uid="{00000000-0010-0000-0300-000022080000}" name="North Warrandyte"/>
    <tableColumn id="2083" xr3:uid="{00000000-0010-0000-0300-000023080000}" name="North Wonthaggi"/>
    <tableColumn id="2084" xr3:uid="{00000000-0010-0000-0300-000024080000}" name="Northcote"/>
    <tableColumn id="2085" xr3:uid="{00000000-0010-0000-0300-000025080000}" name="Northcote South"/>
    <tableColumn id="2086" xr3:uid="{00000000-0010-0000-0300-000026080000}" name="Northland Centre"/>
    <tableColumn id="2087" xr3:uid="{00000000-0010-0000-0300-000027080000}" name="Northwood"/>
    <tableColumn id="2088" xr3:uid="{00000000-0010-0000-0300-000028080000}" name="Norval"/>
    <tableColumn id="2089" xr3:uid="{00000000-0010-0000-0300-000029080000}" name="Notting Hill"/>
    <tableColumn id="2090" xr3:uid="{00000000-0010-0000-0300-00002A080000}" name="Nowa Nowa"/>
    <tableColumn id="2091" xr3:uid="{00000000-0010-0000-0300-00002B080000}" name="Nowhere Creek"/>
    <tableColumn id="2092" xr3:uid="{00000000-0010-0000-0300-00002C080000}" name="Nowie"/>
    <tableColumn id="2093" xr3:uid="{00000000-0010-0000-0300-00002D080000}" name="Nug Nug"/>
    <tableColumn id="2094" xr3:uid="{00000000-0010-0000-0300-00002E080000}" name="Nuggetty"/>
    <tableColumn id="2095" xr3:uid="{00000000-0010-0000-0300-00002F080000}" name="Nulla Vale"/>
    <tableColumn id="2096" xr3:uid="{00000000-0010-0000-0300-000030080000}" name="Nullawarre"/>
    <tableColumn id="2097" xr3:uid="{00000000-0010-0000-0300-000031080000}" name="Nullawarre North"/>
    <tableColumn id="2098" xr3:uid="{00000000-0010-0000-0300-000032080000}" name="Nullawil"/>
    <tableColumn id="2099" xr3:uid="{00000000-0010-0000-0300-000033080000}" name="Numurkah"/>
    <tableColumn id="2100" xr3:uid="{00000000-0010-0000-0300-000034080000}" name="Nunawading"/>
    <tableColumn id="2101" xr3:uid="{00000000-0010-0000-0300-000035080000}" name="Nungurner"/>
    <tableColumn id="2102" xr3:uid="{00000000-0010-0000-0300-000036080000}" name="Nunniong"/>
    <tableColumn id="2103" xr3:uid="{00000000-0010-0000-0300-000037080000}" name="Nurcoung"/>
    <tableColumn id="2104" xr3:uid="{00000000-0010-0000-0300-000038080000}" name="Nurrabiel"/>
    <tableColumn id="2105" xr3:uid="{00000000-0010-0000-0300-000039080000}" name="Nurran"/>
    <tableColumn id="2106" xr3:uid="{00000000-0010-0000-0300-00003A080000}" name="Nutfield"/>
    <tableColumn id="2107" xr3:uid="{00000000-0010-0000-0300-00003B080000}" name="Nyah"/>
    <tableColumn id="2108" xr3:uid="{00000000-0010-0000-0300-00003C080000}" name="Nyah West"/>
    <tableColumn id="2109" xr3:uid="{00000000-0010-0000-0300-00003D080000}" name="Nyarrin"/>
    <tableColumn id="2110" xr3:uid="{00000000-0010-0000-0300-00003E080000}" name="Nyerimilang"/>
    <tableColumn id="2111" xr3:uid="{00000000-0010-0000-0300-00003F080000}" name="Nyora"/>
    <tableColumn id="2112" xr3:uid="{00000000-0010-0000-0300-000040080000}" name="Nyrraby"/>
    <tableColumn id="2113" xr3:uid="{00000000-0010-0000-0300-000041080000}" name="Oak Park"/>
    <tableColumn id="2114" xr3:uid="{00000000-0010-0000-0300-000042080000}" name="Oaklands Junction"/>
    <tableColumn id="2115" xr3:uid="{00000000-0010-0000-0300-000043080000}" name="Oakleigh"/>
    <tableColumn id="2116" xr3:uid="{00000000-0010-0000-0300-000044080000}" name="Oakleigh East"/>
    <tableColumn id="2117" xr3:uid="{00000000-0010-0000-0300-000045080000}" name="Oakleigh South"/>
    <tableColumn id="2118" xr3:uid="{00000000-0010-0000-0300-000046080000}" name="Oakvale"/>
    <tableColumn id="2119" xr3:uid="{00000000-0010-0000-0300-000047080000}" name="Ocean Grange"/>
    <tableColumn id="2120" xr3:uid="{00000000-0010-0000-0300-000048080000}" name="Ocean Grove"/>
    <tableColumn id="2121" xr3:uid="{00000000-0010-0000-0300-000049080000}" name="Officer"/>
    <tableColumn id="2122" xr3:uid="{00000000-0010-0000-0300-00004A080000}" name="Officer South"/>
    <tableColumn id="2123" xr3:uid="{00000000-0010-0000-0300-00004B080000}" name="Old Tallangatta"/>
    <tableColumn id="2124" xr3:uid="{00000000-0010-0000-0300-00004C080000}" name="Olinda"/>
    <tableColumn id="2125" xr3:uid="{00000000-0010-0000-0300-00004D080000}" name="Ombersley"/>
    <tableColumn id="2126" xr3:uid="{00000000-0010-0000-0300-00004E080000}" name="Omeo"/>
    <tableColumn id="2127" xr3:uid="{00000000-0010-0000-0300-00004F080000}" name="Omeo Valley"/>
    <tableColumn id="2128" xr3:uid="{00000000-0010-0000-0300-000050080000}" name="Ondit"/>
    <tableColumn id="2129" xr3:uid="{00000000-0010-0000-0300-000051080000}" name="Orbost"/>
    <tableColumn id="2130" xr3:uid="{00000000-0010-0000-0300-000052080000}" name="Orford"/>
    <tableColumn id="2131" xr3:uid="{00000000-0010-0000-0300-000053080000}" name="Ormond"/>
    <tableColumn id="2132" xr3:uid="{00000000-0010-0000-0300-000054080000}" name="Orrvale"/>
    <tableColumn id="2133" xr3:uid="{00000000-0010-0000-0300-000055080000}" name="Osbornes Flat"/>
    <tableColumn id="2134" xr3:uid="{00000000-0010-0000-0300-000056080000}" name="Outtrim"/>
    <tableColumn id="2135" xr3:uid="{00000000-0010-0000-0300-000057080000}" name="Ouyen"/>
    <tableColumn id="2136" xr3:uid="{00000000-0010-0000-0300-000058080000}" name="Ovens"/>
    <tableColumn id="2137" xr3:uid="{00000000-0010-0000-0300-000059080000}" name="Oxley"/>
    <tableColumn id="2138" xr3:uid="{00000000-0010-0000-0300-00005A080000}" name="Oxley Flats"/>
    <tableColumn id="2139" xr3:uid="{00000000-0010-0000-0300-00005B080000}" name="Ozenkadnook"/>
    <tableColumn id="2140" xr3:uid="{00000000-0010-0000-0300-00005C080000}" name="Paaratte"/>
    <tableColumn id="2141" xr3:uid="{00000000-0010-0000-0300-00005D080000}" name="Painswick"/>
    <tableColumn id="2142" xr3:uid="{00000000-0010-0000-0300-00005E080000}" name="Pakenham"/>
    <tableColumn id="2143" xr3:uid="{00000000-0010-0000-0300-00005F080000}" name="Pakenham South"/>
    <tableColumn id="2144" xr3:uid="{00000000-0010-0000-0300-000060080000}" name="Pakenham Upper"/>
    <tableColumn id="2145" xr3:uid="{00000000-0010-0000-0300-000061080000}" name="Panitya"/>
    <tableColumn id="2146" xr3:uid="{00000000-0010-0000-0300-000062080000}" name="Panmure"/>
    <tableColumn id="2147" xr3:uid="{00000000-0010-0000-0300-000063080000}" name="Panton Hill"/>
    <tableColumn id="2148" xr3:uid="{00000000-0010-0000-0300-000064080000}" name="Paradise"/>
    <tableColumn id="2149" xr3:uid="{00000000-0010-0000-0300-000065080000}" name="Paradise Beach"/>
    <tableColumn id="2150" xr3:uid="{00000000-0010-0000-0300-000066080000}" name="Paraparap"/>
    <tableColumn id="2151" xr3:uid="{00000000-0010-0000-0300-000067080000}" name="Park Orchards"/>
    <tableColumn id="2152" xr3:uid="{00000000-0010-0000-0300-000068080000}" name="Parkdale"/>
    <tableColumn id="2153" xr3:uid="{00000000-0010-0000-0300-000069080000}" name="Parkville"/>
    <tableColumn id="2154" xr3:uid="{00000000-0010-0000-0300-00006A080000}" name="Parwan"/>
    <tableColumn id="2155" xr3:uid="{00000000-0010-0000-0300-00006B080000}" name="Paschendale"/>
    <tableColumn id="2156" xr3:uid="{00000000-0010-0000-0300-00006C080000}" name="Pascoe Vale"/>
    <tableColumn id="2157" xr3:uid="{00000000-0010-0000-0300-00006D080000}" name="Pascoe Vale South"/>
    <tableColumn id="2158" xr3:uid="{00000000-0010-0000-0300-00006E080000}" name="Pastoria"/>
    <tableColumn id="2159" xr3:uid="{00000000-0010-0000-0300-00006F080000}" name="Pastoria East"/>
    <tableColumn id="2160" xr3:uid="{00000000-0010-0000-0300-000070080000}" name="Patchewollock"/>
    <tableColumn id="2161" xr3:uid="{00000000-0010-0000-0300-000071080000}" name="Patho"/>
    <tableColumn id="2162" xr3:uid="{00000000-0010-0000-0300-000072080000}" name="Patterson"/>
    <tableColumn id="2163" xr3:uid="{00000000-0010-0000-0300-000073080000}" name="Patterson Lakes"/>
    <tableColumn id="2164" xr3:uid="{00000000-0010-0000-0300-000074080000}" name="Patyah"/>
    <tableColumn id="2165" xr3:uid="{00000000-0010-0000-0300-000075080000}" name="Paynesville"/>
    <tableColumn id="2166" xr3:uid="{00000000-0010-0000-0300-000076080000}" name="Pearcedale"/>
    <tableColumn id="2167" xr3:uid="{00000000-0010-0000-0300-000077080000}" name="Pearsondale"/>
    <tableColumn id="2168" xr3:uid="{00000000-0010-0000-0300-000078080000}" name="Peechelba"/>
    <tableColumn id="2169" xr3:uid="{00000000-0010-0000-0300-000079080000}" name="Peechelba East"/>
    <tableColumn id="2170" xr3:uid="{00000000-0010-0000-0300-00007A080000}" name="Pelluebla"/>
    <tableColumn id="2171" xr3:uid="{00000000-0010-0000-0300-00007B080000}" name="Pennyroyal"/>
    <tableColumn id="2172" xr3:uid="{00000000-0010-0000-0300-00007C080000}" name="Penshurst"/>
    <tableColumn id="2173" xr3:uid="{00000000-0010-0000-0300-00007D080000}" name="Pental Island"/>
    <tableColumn id="2174" xr3:uid="{00000000-0010-0000-0300-00007E080000}" name="Pentland Hills"/>
    <tableColumn id="2175" xr3:uid="{00000000-0010-0000-0300-00007F080000}" name="Percydale"/>
    <tableColumn id="2176" xr3:uid="{00000000-0010-0000-0300-000080080000}" name="Peronne"/>
    <tableColumn id="2177" xr3:uid="{00000000-0010-0000-0300-000081080000}" name="Perry Bridge"/>
    <tableColumn id="2178" xr3:uid="{00000000-0010-0000-0300-000082080000}" name="Peterborough"/>
    <tableColumn id="2179" xr3:uid="{00000000-0010-0000-0300-000083080000}" name="Petticoat Creek"/>
    <tableColumn id="2180" xr3:uid="{00000000-0010-0000-0300-000084080000}" name="Pheasant Creek"/>
    <tableColumn id="2181" xr3:uid="{00000000-0010-0000-0300-000085080000}" name="Piangil"/>
    <tableColumn id="2182" xr3:uid="{00000000-0010-0000-0300-000086080000}" name="Piavella"/>
    <tableColumn id="2183" xr3:uid="{00000000-0010-0000-0300-000087080000}" name="Picola"/>
    <tableColumn id="2184" xr3:uid="{00000000-0010-0000-0300-000088080000}" name="Picola West"/>
    <tableColumn id="2185" xr3:uid="{00000000-0010-0000-0300-000089080000}" name="Piedmont"/>
    <tableColumn id="2186" xr3:uid="{00000000-0010-0000-0300-00008A080000}" name="Pier Milan"/>
    <tableColumn id="2187" xr3:uid="{00000000-0010-0000-0300-00008B080000}" name="Pigeon Ponds"/>
    <tableColumn id="2188" xr3:uid="{00000000-0010-0000-0300-00008C080000}" name="Piggoreet"/>
    <tableColumn id="2189" xr3:uid="{00000000-0010-0000-0300-00008D080000}" name="Pimpinio"/>
    <tableColumn id="2190" xr3:uid="{00000000-0010-0000-0300-00008E080000}" name="Pine Grove"/>
    <tableColumn id="2191" xr3:uid="{00000000-0010-0000-0300-00008F080000}" name="Pine Lodge"/>
    <tableColumn id="2192" xr3:uid="{00000000-0010-0000-0300-000090080000}" name="Pine Mountain"/>
    <tableColumn id="2193" xr3:uid="{00000000-0010-0000-0300-000091080000}" name="Pine View"/>
    <tableColumn id="2194" xr3:uid="{00000000-0010-0000-0300-000092080000}" name="Pines Forest"/>
    <tableColumn id="2195" xr3:uid="{00000000-0010-0000-0300-000093080000}" name="Pinewood"/>
    <tableColumn id="2196" xr3:uid="{00000000-0010-0000-0300-000094080000}" name="Pioneer Bay"/>
    <tableColumn id="2197" xr3:uid="{00000000-0010-0000-0300-000095080000}" name="Pipers Creek"/>
    <tableColumn id="2198" xr3:uid="{00000000-0010-0000-0300-000096080000}" name="Pira"/>
    <tableColumn id="2199" xr3:uid="{00000000-0010-0000-0300-000097080000}" name="Piries"/>
    <tableColumn id="2200" xr3:uid="{00000000-0010-0000-0300-000098080000}" name="Pirron Yallock"/>
    <tableColumn id="2201" xr3:uid="{00000000-0010-0000-0300-000099080000}" name="Pitfield"/>
    <tableColumn id="2202" xr3:uid="{00000000-0010-0000-0300-00009A080000}" name="Pittong"/>
    <tableColumn id="2203" xr3:uid="{00000000-0010-0000-0300-00009B080000}" name="Plenty"/>
    <tableColumn id="2204" xr3:uid="{00000000-0010-0000-0300-00009C080000}" name="Plumpton"/>
    <tableColumn id="2205" xr3:uid="{00000000-0010-0000-0300-00009D080000}" name="Point Cook"/>
    <tableColumn id="2206" xr3:uid="{00000000-0010-0000-0300-00009E080000}" name="Point Leo"/>
    <tableColumn id="2207" xr3:uid="{00000000-0010-0000-0300-00009F080000}" name="Point Lonsdale"/>
    <tableColumn id="2208" xr3:uid="{00000000-0010-0000-0300-0000A0080000}" name="Point Wilson"/>
    <tableColumn id="2209" xr3:uid="{00000000-0010-0000-0300-0000A1080000}" name="Polisbet"/>
    <tableColumn id="2210" xr3:uid="{00000000-0010-0000-0300-0000A2080000}" name="Pomborneit"/>
    <tableColumn id="2211" xr3:uid="{00000000-0010-0000-0300-0000A3080000}" name="Pomborneit East"/>
    <tableColumn id="2212" xr3:uid="{00000000-0010-0000-0300-0000A4080000}" name="Pomborneit North"/>
    <tableColumn id="2213" xr3:uid="{00000000-0010-0000-0300-0000A5080000}" name="Pomonal"/>
    <tableColumn id="2214" xr3:uid="{00000000-0010-0000-0300-0000A6080000}" name="Pompapiel"/>
    <tableColumn id="2215" xr3:uid="{00000000-0010-0000-0300-0000A7080000}" name="Poolaijelo"/>
    <tableColumn id="2216" xr3:uid="{00000000-0010-0000-0300-0000A8080000}" name="Pootilla"/>
    <tableColumn id="2217" xr3:uid="{00000000-0010-0000-0300-0000A9080000}" name="Poowong"/>
    <tableColumn id="2218" xr3:uid="{00000000-0010-0000-0300-0000AA080000}" name="Poowong East"/>
    <tableColumn id="2219" xr3:uid="{00000000-0010-0000-0300-0000AB080000}" name="Poowong North"/>
    <tableColumn id="2220" xr3:uid="{00000000-0010-0000-0300-0000AC080000}" name="Porcupine Ridge"/>
    <tableColumn id="2221" xr3:uid="{00000000-0010-0000-0300-0000AD080000}" name="Porepunkah"/>
    <tableColumn id="2222" xr3:uid="{00000000-0010-0000-0300-0000AE080000}" name="Port Albert"/>
    <tableColumn id="2223" xr3:uid="{00000000-0010-0000-0300-0000AF080000}" name="Port Campbell"/>
    <tableColumn id="2224" xr3:uid="{00000000-0010-0000-0300-0000B0080000}" name="Port Fairy"/>
    <tableColumn id="2225" xr3:uid="{00000000-0010-0000-0300-0000B1080000}" name="Port Franklin"/>
    <tableColumn id="2226" xr3:uid="{00000000-0010-0000-0300-0000B2080000}" name="Port Melbourne"/>
    <tableColumn id="2227" xr3:uid="{00000000-0010-0000-0300-0000B3080000}" name="Port Welshpool"/>
    <tableColumn id="2228" xr3:uid="{00000000-0010-0000-0300-0000B4080000}" name="Portarlington"/>
    <tableColumn id="2229" xr3:uid="{00000000-0010-0000-0300-0000B5080000}" name="Portland"/>
    <tableColumn id="2230" xr3:uid="{00000000-0010-0000-0300-0000B6080000}" name="Portland North"/>
    <tableColumn id="2231" xr3:uid="{00000000-0010-0000-0300-0000B7080000}" name="Portland West"/>
    <tableColumn id="2232" xr3:uid="{00000000-0010-0000-0300-0000B8080000}" name="Portsea"/>
    <tableColumn id="2233" xr3:uid="{00000000-0010-0000-0300-0000B9080000}" name="Pound Creek"/>
    <tableColumn id="2234" xr3:uid="{00000000-0010-0000-0300-0000BA080000}" name="Powelltown"/>
    <tableColumn id="2235" xr3:uid="{00000000-0010-0000-0300-0000BB080000}" name="Powers Creek"/>
    <tableColumn id="2236" xr3:uid="{00000000-0010-0000-0300-0000BC080000}" name="Powlett Plains"/>
    <tableColumn id="2237" xr3:uid="{00000000-0010-0000-0300-0000BD080000}" name="Prahran"/>
    <tableColumn id="2238" xr3:uid="{00000000-0010-0000-0300-0000BE080000}" name="Prahran East"/>
    <tableColumn id="2239" xr3:uid="{00000000-0010-0000-0300-0000BF080000}" name="Prairie"/>
    <tableColumn id="2240" xr3:uid="{00000000-0010-0000-0300-0000C0080000}" name="Pranjip"/>
    <tableColumn id="2241" xr3:uid="{00000000-0010-0000-0300-0000C1080000}" name="Prentice North"/>
    <tableColumn id="2242" xr3:uid="{00000000-0010-0000-0300-0000C2080000}" name="Preston"/>
    <tableColumn id="2243" xr3:uid="{00000000-0010-0000-0300-0000C3080000}" name="Preston Lower"/>
    <tableColumn id="2244" xr3:uid="{00000000-0010-0000-0300-0000C4080000}" name="Preston South"/>
    <tableColumn id="2245" xr3:uid="{00000000-0010-0000-0300-0000C5080000}" name="Preston West"/>
    <tableColumn id="2246" xr3:uid="{00000000-0010-0000-0300-0000C6080000}" name="Princes Hill"/>
    <tableColumn id="2247" xr3:uid="{00000000-0010-0000-0300-0000C7080000}" name="Princetown"/>
    <tableColumn id="2248" xr3:uid="{00000000-0010-0000-0300-0000C8080000}" name="Puckapunyal"/>
    <tableColumn id="2249" xr3:uid="{00000000-0010-0000-0300-0000C9080000}" name="Pura Pura"/>
    <tableColumn id="2250" xr3:uid="{00000000-0010-0000-0300-0000CA080000}" name="Purdeet"/>
    <tableColumn id="2251" xr3:uid="{00000000-0010-0000-0300-0000CB080000}" name="Purnim"/>
    <tableColumn id="2252" xr3:uid="{00000000-0010-0000-0300-0000CC080000}" name="Purnim West"/>
    <tableColumn id="2253" xr3:uid="{00000000-0010-0000-0300-0000CD080000}" name="Pyalong"/>
    <tableColumn id="2254" xr3:uid="{00000000-0010-0000-0300-0000CE080000}" name="Pyramid Hill"/>
    <tableColumn id="2255" xr3:uid="{00000000-0010-0000-0300-0000CF080000}" name="Quambatook"/>
    <tableColumn id="2256" xr3:uid="{00000000-0010-0000-0300-0000D0080000}" name="Quandong"/>
    <tableColumn id="2257" xr3:uid="{00000000-0010-0000-0300-0000D1080000}" name="Quantong"/>
    <tableColumn id="2258" xr3:uid="{00000000-0010-0000-0300-0000D2080000}" name="Quarry Hill"/>
    <tableColumn id="2259" xr3:uid="{00000000-0010-0000-0300-0000D3080000}" name="Queenscliff"/>
    <tableColumn id="2260" xr3:uid="{00000000-0010-0000-0300-0000D4080000}" name="Queensferry"/>
    <tableColumn id="2261" xr3:uid="{00000000-0010-0000-0300-0000D5080000}" name="Raglan"/>
    <tableColumn id="2262" xr3:uid="{00000000-0010-0000-0300-0000D6080000}" name="Rainbow"/>
    <tableColumn id="2263" xr3:uid="{00000000-0010-0000-0300-0000D7080000}" name="Ranceby"/>
    <tableColumn id="2264" xr3:uid="{00000000-0010-0000-0300-0000D8080000}" name="Rangeview"/>
    <tableColumn id="2265" xr3:uid="{00000000-0010-0000-0300-0000D9080000}" name="Rathscar"/>
    <tableColumn id="2266" xr3:uid="{00000000-0010-0000-0300-0000DA080000}" name="Rathscar West"/>
    <tableColumn id="2267" xr3:uid="{00000000-0010-0000-0300-0000DB080000}" name="Ravenhall"/>
    <tableColumn id="2268" xr3:uid="{00000000-0010-0000-0300-0000DC080000}" name="Ravenswood"/>
    <tableColumn id="2269" xr3:uid="{00000000-0010-0000-0300-0000DD080000}" name="Ravenswood South"/>
    <tableColumn id="2270" xr3:uid="{00000000-0010-0000-0300-0000DE080000}" name="Rawson"/>
    <tableColumn id="2271" xr3:uid="{00000000-0010-0000-0300-0000DF080000}" name="Raymond Island"/>
    <tableColumn id="2272" xr3:uid="{00000000-0010-0000-0300-0000E0080000}" name="Raywood"/>
    <tableColumn id="2273" xr3:uid="{00000000-0010-0000-0300-0000E1080000}" name="Red Cliffs"/>
    <tableColumn id="2274" xr3:uid="{00000000-0010-0000-0300-0000E2080000}" name="Red Hill"/>
    <tableColumn id="2275" xr3:uid="{00000000-0010-0000-0300-0000E3080000}" name="Red Hill South"/>
    <tableColumn id="2276" xr3:uid="{00000000-0010-0000-0300-0000E4080000}" name="Red Lion"/>
    <tableColumn id="2277" xr3:uid="{00000000-0010-0000-0300-0000E5080000}" name="Redan"/>
    <tableColumn id="2278" xr3:uid="{00000000-0010-0000-0300-0000E6080000}" name="Redbank"/>
    <tableColumn id="2279" xr3:uid="{00000000-0010-0000-0300-0000E7080000}" name="Redcastle"/>
    <tableColumn id="2280" xr3:uid="{00000000-0010-0000-0300-0000E8080000}" name="Redesdale"/>
    <tableColumn id="2281" xr3:uid="{00000000-0010-0000-0300-0000E9080000}" name="Reedy Creek"/>
    <tableColumn id="2282" xr3:uid="{00000000-0010-0000-0300-0000EA080000}" name="Reedy Dam"/>
    <tableColumn id="2283" xr3:uid="{00000000-0010-0000-0300-0000EB080000}" name="Reedy Flat"/>
    <tableColumn id="2284" xr3:uid="{00000000-0010-0000-0300-0000EC080000}" name="Reedy Lake"/>
    <tableColumn id="2285" xr3:uid="{00000000-0010-0000-0300-0000ED080000}" name="Reefton"/>
    <tableColumn id="2286" xr3:uid="{00000000-0010-0000-0300-0000EE080000}" name="Regent West"/>
    <tableColumn id="2287" xr3:uid="{00000000-0010-0000-0300-0000EF080000}" name="Research"/>
    <tableColumn id="2288" xr3:uid="{00000000-0010-0000-0300-0000F0080000}" name="Reservoir"/>
    <tableColumn id="2289" xr3:uid="{00000000-0010-0000-0300-0000F1080000}" name="Reynard"/>
    <tableColumn id="2290" xr3:uid="{00000000-0010-0000-0300-0000F2080000}" name="Rheola"/>
    <tableColumn id="2291" xr3:uid="{00000000-0010-0000-0300-0000F3080000}" name="Rhyll"/>
    <tableColumn id="2292" xr3:uid="{00000000-0010-0000-0300-0000F4080000}" name="Rhymney"/>
    <tableColumn id="2293" xr3:uid="{00000000-0010-0000-0300-0000F5080000}" name="Riachella"/>
    <tableColumn id="2294" xr3:uid="{00000000-0010-0000-0300-0000F6080000}" name="Rich Avon"/>
    <tableColumn id="2295" xr3:uid="{00000000-0010-0000-0300-0000F7080000}" name="Rich Avon East"/>
    <tableColumn id="2296" xr3:uid="{00000000-0010-0000-0300-0000F8080000}" name="Rich Avon West"/>
    <tableColumn id="2297" xr3:uid="{00000000-0010-0000-0300-0000F9080000}" name="Richmond"/>
    <tableColumn id="2298" xr3:uid="{00000000-0010-0000-0300-0000FA080000}" name="Richmond East"/>
    <tableColumn id="2299" xr3:uid="{00000000-0010-0000-0300-0000FB080000}" name="Richmond North"/>
    <tableColumn id="2300" xr3:uid="{00000000-0010-0000-0300-0000FC080000}" name="Richmond Plains"/>
    <tableColumn id="2301" xr3:uid="{00000000-0010-0000-0300-0000FD080000}" name="Richmond South"/>
    <tableColumn id="2302" xr3:uid="{00000000-0010-0000-0300-0000FE080000}" name="Riddells Creek"/>
    <tableColumn id="2303" xr3:uid="{00000000-0010-0000-0300-0000FF080000}" name="Riggs Creek"/>
    <tableColumn id="2304" xr3:uid="{00000000-0010-0000-0300-000000090000}" name="Ringwood"/>
    <tableColumn id="2305" xr3:uid="{00000000-0010-0000-0300-000001090000}" name="Ringwood East"/>
    <tableColumn id="2306" xr3:uid="{00000000-0010-0000-0300-000002090000}" name="Ringwood North"/>
    <tableColumn id="2307" xr3:uid="{00000000-0010-0000-0300-000003090000}" name="Ripplebrook"/>
    <tableColumn id="2308" xr3:uid="{00000000-0010-0000-0300-000004090000}" name="Rippleside"/>
    <tableColumn id="2309" xr3:uid="{00000000-0010-0000-0300-000005090000}" name="Ripponlea"/>
    <tableColumn id="2310" xr3:uid="{00000000-0010-0000-0300-000006090000}" name="Riverside"/>
    <tableColumn id="2311" xr3:uid="{00000000-0010-0000-0300-000007090000}" name="Riverslea"/>
    <tableColumn id="2312" xr3:uid="{00000000-0010-0000-0300-000008090000}" name="Robertsons Beach"/>
    <tableColumn id="2313" xr3:uid="{00000000-0010-0000-0300-000009090000}" name="Robinson"/>
    <tableColumn id="2314" xr3:uid="{00000000-0010-0000-0300-00000A090000}" name="Robinvale"/>
    <tableColumn id="2315" xr3:uid="{00000000-0010-0000-0300-00000B090000}" name="Robinvale Irrigation District Section B"/>
    <tableColumn id="2316" xr3:uid="{00000000-0010-0000-0300-00000C090000}" name="Robinvale Irrigation District Section C"/>
    <tableColumn id="2317" xr3:uid="{00000000-0010-0000-0300-00000D090000}" name="Robinvale Irrigation District Section D"/>
    <tableColumn id="2318" xr3:uid="{00000000-0010-0000-0300-00000E090000}" name="Robinvale Irrigation District Section E"/>
    <tableColumn id="2319" xr3:uid="{00000000-0010-0000-0300-00000F090000}" name="Rochester"/>
    <tableColumn id="2320" xr3:uid="{00000000-0010-0000-0300-000010090000}" name="Rochford"/>
    <tableColumn id="2321" xr3:uid="{00000000-0010-0000-0300-000011090000}" name="Rockbank"/>
    <tableColumn id="2322" xr3:uid="{00000000-0010-0000-0300-000012090000}" name="Rocklands"/>
    <tableColumn id="2323" xr3:uid="{00000000-0010-0000-0300-000013090000}" name="Rocklyn"/>
    <tableColumn id="2324" xr3:uid="{00000000-0010-0000-0300-000014090000}" name="Rocky Point"/>
    <tableColumn id="2325" xr3:uid="{00000000-0010-0000-0300-000015090000}" name="Rokeby"/>
    <tableColumn id="2326" xr3:uid="{00000000-0010-0000-0300-000016090000}" name="Rokewood"/>
    <tableColumn id="2327" xr3:uid="{00000000-0010-0000-0300-000017090000}" name="Rokewood Junction"/>
    <tableColumn id="2328" xr3:uid="{00000000-0010-0000-0300-000018090000}" name="Romsey"/>
    <tableColumn id="2329" xr3:uid="{00000000-0010-0000-0300-000019090000}" name="Rosanna"/>
    <tableColumn id="2330" xr3:uid="{00000000-0010-0000-0300-00001A090000}" name="Rose River"/>
    <tableColumn id="2331" xr3:uid="{00000000-0010-0000-0300-00001B090000}" name="Rosebery"/>
    <tableColumn id="2332" xr3:uid="{00000000-0010-0000-0300-00001C090000}" name="Rosebrook"/>
    <tableColumn id="2333" xr3:uid="{00000000-0010-0000-0300-00001D090000}" name="Rosebud"/>
    <tableColumn id="2334" xr3:uid="{00000000-0010-0000-0300-00001E090000}" name="Rosebud Plaza"/>
    <tableColumn id="2335" xr3:uid="{00000000-0010-0000-0300-00001F090000}" name="Rosebud West"/>
    <tableColumn id="2336" xr3:uid="{00000000-0010-0000-0300-000020090000}" name="Rosedale"/>
    <tableColumn id="2337" xr3:uid="{00000000-0010-0000-0300-000021090000}" name="Roses Gap"/>
    <tableColumn id="2338" xr3:uid="{00000000-0010-0000-0300-000022090000}" name="Rosewhite"/>
    <tableColumn id="2339" xr3:uid="{00000000-0010-0000-0300-000023090000}" name="Roslynmead"/>
    <tableColumn id="2340" xr3:uid="{00000000-0010-0000-0300-000024090000}" name="Ross Creek"/>
    <tableColumn id="2341" xr3:uid="{00000000-0010-0000-0300-000025090000}" name="Rossbridge"/>
    <tableColumn id="2342" xr3:uid="{00000000-0010-0000-0300-000026090000}" name="Rostron"/>
    <tableColumn id="2343" xr3:uid="{00000000-0010-0000-0300-000027090000}" name="Rowsley"/>
    <tableColumn id="2344" xr3:uid="{00000000-0010-0000-0300-000028090000}" name="Rowville"/>
    <tableColumn id="2345" xr3:uid="{00000000-0010-0000-0300-000029090000}" name="Roxburgh Park"/>
    <tableColumn id="2346" xr3:uid="{00000000-0010-0000-0300-00002A090000}" name="Rubicon"/>
    <tableColumn id="2347" xr3:uid="{00000000-0010-0000-0300-00002B090000}" name="Ruby"/>
    <tableColumn id="2348" xr3:uid="{00000000-0010-0000-0300-00002C090000}" name="Ruffy"/>
    <tableColumn id="2349" xr3:uid="{00000000-0010-0000-0300-00002D090000}" name="Running Creek"/>
    <tableColumn id="2350" xr3:uid="{00000000-0010-0000-0300-00002E090000}" name="Runnymede"/>
    <tableColumn id="2351" xr3:uid="{00000000-0010-0000-0300-00002F090000}" name="Rupanyup"/>
    <tableColumn id="2352" xr3:uid="{00000000-0010-0000-0300-000030090000}" name="Rushworth"/>
    <tableColumn id="2353" xr3:uid="{00000000-0010-0000-0300-000031090000}" name="Russells Bridge"/>
    <tableColumn id="2354" xr3:uid="{00000000-0010-0000-0300-000032090000}" name="Rutherglen"/>
    <tableColumn id="2355" xr3:uid="{00000000-0010-0000-0300-000033090000}" name="Ryans"/>
    <tableColumn id="2356" xr3:uid="{00000000-0010-0000-0300-000034090000}" name="Ryanston"/>
    <tableColumn id="2357" xr3:uid="{00000000-0010-0000-0300-000035090000}" name="Rye"/>
    <tableColumn id="2358" xr3:uid="{00000000-0010-0000-0300-000036090000}" name="Rythdale"/>
    <tableColumn id="2359" xr3:uid="{00000000-0010-0000-0300-000037090000}" name="Safety Beach"/>
    <tableColumn id="2360" xr3:uid="{00000000-0010-0000-0300-000038090000}" name="Sailors Falls"/>
    <tableColumn id="2361" xr3:uid="{00000000-0010-0000-0300-000039090000}" name="Sailors Gully"/>
    <tableColumn id="2362" xr3:uid="{00000000-0010-0000-0300-00003A090000}" name="Sailors Hill"/>
    <tableColumn id="2363" xr3:uid="{00000000-0010-0000-0300-00003B090000}" name="Sale"/>
    <tableColumn id="2364" xr3:uid="{00000000-0010-0000-0300-00003C090000}" name="Sale East Raaf"/>
    <tableColumn id="2365" xr3:uid="{00000000-0010-0000-0300-00003D090000}" name="Salisbury West"/>
    <tableColumn id="2366" xr3:uid="{00000000-0010-0000-0300-00003E090000}" name="Samaria"/>
    <tableColumn id="2367" xr3:uid="{00000000-0010-0000-0300-00003F090000}" name="San Remo"/>
    <tableColumn id="2368" xr3:uid="{00000000-0010-0000-0300-000040090000}" name="Sandford"/>
    <tableColumn id="2369" xr3:uid="{00000000-0010-0000-0300-000041090000}" name="Sandhill Lake"/>
    <tableColumn id="2370" xr3:uid="{00000000-0010-0000-0300-000042090000}" name="Sandhurst"/>
    <tableColumn id="2371" xr3:uid="{00000000-0010-0000-0300-000043090000}" name="Sandhurst East"/>
    <tableColumn id="2372" xr3:uid="{00000000-0010-0000-0300-000044090000}" name="Sandon"/>
    <tableColumn id="2373" xr3:uid="{00000000-0010-0000-0300-000045090000}" name="Sandown Village"/>
    <tableColumn id="2374" xr3:uid="{00000000-0010-0000-0300-000046090000}" name="Sandringham"/>
    <tableColumn id="2375" xr3:uid="{00000000-0010-0000-0300-000047090000}" name="Sandy Creek"/>
    <tableColumn id="2376" xr3:uid="{00000000-0010-0000-0300-000048090000}" name="Sandy Point"/>
    <tableColumn id="2377" xr3:uid="{00000000-0010-0000-0300-000049090000}" name="Sargood"/>
    <tableColumn id="2378" xr3:uid="{00000000-0010-0000-0300-00004A090000}" name="Sarsfield"/>
    <tableColumn id="2379" xr3:uid="{00000000-0010-0000-0300-00004B090000}" name="Sassafras"/>
    <tableColumn id="2380" xr3:uid="{00000000-0010-0000-0300-00004C090000}" name="Sassafras Gully"/>
    <tableColumn id="2381" xr3:uid="{00000000-0010-0000-0300-00004D090000}" name="Sawmill Settlement"/>
    <tableColumn id="2382" xr3:uid="{00000000-0010-0000-0300-00004E090000}" name="Scarsdale"/>
    <tableColumn id="2383" xr3:uid="{00000000-0010-0000-0300-00004F090000}" name="Scoresby"/>
    <tableColumn id="2384" xr3:uid="{00000000-0010-0000-0300-000050090000}" name="Scotchmans Lead"/>
    <tableColumn id="2385" xr3:uid="{00000000-0010-0000-0300-000051090000}" name="Scotsburn"/>
    <tableColumn id="2386" xr3:uid="{00000000-0010-0000-0300-000052090000}" name="Scotts Creek"/>
    <tableColumn id="2387" xr3:uid="{00000000-0010-0000-0300-000053090000}" name="Sea Lake"/>
    <tableColumn id="2388" xr3:uid="{00000000-0010-0000-0300-000054090000}" name="Seabrook"/>
    <tableColumn id="2389" xr3:uid="{00000000-0010-0000-0300-000055090000}" name="Seacombe"/>
    <tableColumn id="2390" xr3:uid="{00000000-0010-0000-0300-000056090000}" name="Seaford"/>
    <tableColumn id="2391" xr3:uid="{00000000-0010-0000-0300-000057090000}" name="Seaholme"/>
    <tableColumn id="2392" xr3:uid="{00000000-0010-0000-0300-000058090000}" name="Seaspray"/>
    <tableColumn id="2393" xr3:uid="{00000000-0010-0000-0300-000059090000}" name="Seaton"/>
    <tableColumn id="2394" xr3:uid="{00000000-0010-0000-0300-00005A090000}" name="Seaview"/>
    <tableColumn id="2395" xr3:uid="{00000000-0010-0000-0300-00005B090000}" name="Sebastian"/>
    <tableColumn id="2396" xr3:uid="{00000000-0010-0000-0300-00005C090000}" name="Sebastopol"/>
    <tableColumn id="2397" xr3:uid="{00000000-0010-0000-0300-00005D090000}" name="Seddon"/>
    <tableColumn id="2398" xr3:uid="{00000000-0010-0000-0300-00005E090000}" name="Seddon West"/>
    <tableColumn id="2399" xr3:uid="{00000000-0010-0000-0300-00005F090000}" name="Sedgwick"/>
    <tableColumn id="2400" xr3:uid="{00000000-0010-0000-0300-000060090000}" name="Selby"/>
    <tableColumn id="2401" xr3:uid="{00000000-0010-0000-0300-000061090000}" name="Selwyn"/>
    <tableColumn id="2402" xr3:uid="{00000000-0010-0000-0300-000062090000}" name="Separation Creek"/>
    <tableColumn id="2403" xr3:uid="{00000000-0010-0000-0300-000063090000}" name="Serpentine"/>
    <tableColumn id="2404" xr3:uid="{00000000-0010-0000-0300-000064090000}" name="Serviceton"/>
    <tableColumn id="2405" xr3:uid="{00000000-0010-0000-0300-000065090000}" name="Seville"/>
    <tableColumn id="2406" xr3:uid="{00000000-0010-0000-0300-000066090000}" name="Seville East"/>
    <tableColumn id="2407" xr3:uid="{00000000-0010-0000-0300-000067090000}" name="Seymour"/>
    <tableColumn id="2408" xr3:uid="{00000000-0010-0000-0300-000068090000}" name="Seymour South"/>
    <tableColumn id="2409" xr3:uid="{00000000-0010-0000-0300-000069090000}" name="Shady Creek"/>
    <tableColumn id="2410" xr3:uid="{00000000-0010-0000-0300-00006A090000}" name="Shallow Inlet"/>
    <tableColumn id="2411" xr3:uid="{00000000-0010-0000-0300-00006B090000}" name="Shannonvale"/>
    <tableColumn id="2412" xr3:uid="{00000000-0010-0000-0300-00006C090000}" name="Shays Flat"/>
    <tableColumn id="2413" xr3:uid="{00000000-0010-0000-0300-00006D090000}" name="She Oaks"/>
    <tableColumn id="2414" xr3:uid="{00000000-0010-0000-0300-00006E090000}" name="Sheans Creek"/>
    <tableColumn id="2415" xr3:uid="{00000000-0010-0000-0300-00006F090000}" name="Sheep Hills"/>
    <tableColumn id="2416" xr3:uid="{00000000-0010-0000-0300-000070090000}" name="Shelbourne"/>
    <tableColumn id="2417" xr3:uid="{00000000-0010-0000-0300-000071090000}" name="Shelford"/>
    <tableColumn id="2418" xr3:uid="{00000000-0010-0000-0300-000072090000}" name="Shelley"/>
    <tableColumn id="2419" xr3:uid="{00000000-0010-0000-0300-000073090000}" name="Shepherds Flat"/>
    <tableColumn id="2420" xr3:uid="{00000000-0010-0000-0300-000074090000}" name="Shepparton"/>
    <tableColumn id="2421" xr3:uid="{00000000-0010-0000-0300-000075090000}" name="Shepparton East"/>
    <tableColumn id="2422" xr3:uid="{00000000-0010-0000-0300-000076090000}" name="Shepparton North"/>
    <tableColumn id="2423" xr3:uid="{00000000-0010-0000-0300-000077090000}" name="Shepparton South"/>
    <tableColumn id="2424" xr3:uid="{00000000-0010-0000-0300-000078090000}" name="Sherbrooke"/>
    <tableColumn id="2425" xr3:uid="{00000000-0010-0000-0300-000079090000}" name="Shoreham"/>
    <tableColumn id="2426" xr3:uid="{00000000-0010-0000-0300-00007A090000}" name="Sidonia"/>
    <tableColumn id="2427" xr3:uid="{00000000-0010-0000-0300-00007B090000}" name="Silvan"/>
    <tableColumn id="2428" xr3:uid="{00000000-0010-0000-0300-00007C090000}" name="Silverleaves"/>
    <tableColumn id="2429" xr3:uid="{00000000-0010-0000-0300-00007D090000}" name="Simpson"/>
    <tableColumn id="2430" xr3:uid="{00000000-0010-0000-0300-00007E090000}" name="Simpsons Creek"/>
    <tableColumn id="2431" xr3:uid="{00000000-0010-0000-0300-00007F090000}" name="Simson"/>
    <tableColumn id="2432" xr3:uid="{00000000-0010-0000-0300-000080090000}" name="Skenes Creek"/>
    <tableColumn id="2433" xr3:uid="{00000000-0010-0000-0300-000081090000}" name="Skenes Creek North"/>
    <tableColumn id="2434" xr3:uid="{00000000-0010-0000-0300-000082090000}" name="Skibo"/>
    <tableColumn id="2435" xr3:uid="{00000000-0010-0000-0300-000083090000}" name="Skinners Flat"/>
    <tableColumn id="2436" xr3:uid="{00000000-0010-0000-0300-000084090000}" name="Skipton"/>
    <tableColumn id="2437" xr3:uid="{00000000-0010-0000-0300-000085090000}" name="Skye"/>
    <tableColumn id="2438" xr3:uid="{00000000-0010-0000-0300-000086090000}" name="Slaty Creek"/>
    <tableColumn id="2439" xr3:uid="{00000000-0010-0000-0300-000087090000}" name="Smeaton"/>
    <tableColumn id="2440" xr3:uid="{00000000-0010-0000-0300-000088090000}" name="Smiths Beach"/>
    <tableColumn id="2441" xr3:uid="{00000000-0010-0000-0300-000089090000}" name="Smiths Gully"/>
    <tableColumn id="2442" xr3:uid="{00000000-0010-0000-0300-00008A090000}" name="Smokeytown"/>
    <tableColumn id="2443" xr3:uid="{00000000-0010-0000-0300-00008B090000}" name="Smoko"/>
    <tableColumn id="2444" xr3:uid="{00000000-0010-0000-0300-00008C090000}" name="Smythes Creek"/>
    <tableColumn id="2445" xr3:uid="{00000000-0010-0000-0300-00008D090000}" name="Smythesdale"/>
    <tableColumn id="2446" xr3:uid="{00000000-0010-0000-0300-00008E090000}" name="Snake Island"/>
    <tableColumn id="2447" xr3:uid="{00000000-0010-0000-0300-00008F090000}" name="Snake Valley"/>
    <tableColumn id="2448" xr3:uid="{00000000-0010-0000-0300-000090090000}" name="Soldiers Hill"/>
    <tableColumn id="2449" xr3:uid="{00000000-0010-0000-0300-000091090000}" name="Somers"/>
    <tableColumn id="2450" xr3:uid="{00000000-0010-0000-0300-000092090000}" name="Somerton"/>
    <tableColumn id="2451" xr3:uid="{00000000-0010-0000-0300-000093090000}" name="Somerton Park"/>
    <tableColumn id="2452" xr3:uid="{00000000-0010-0000-0300-000094090000}" name="Somerville"/>
    <tableColumn id="2453" xr3:uid="{00000000-0010-0000-0300-000095090000}" name="Sorrento"/>
    <tableColumn id="2454" xr3:uid="{00000000-0010-0000-0300-000096090000}" name="South Dudley"/>
    <tableColumn id="2455" xr3:uid="{00000000-0010-0000-0300-000097090000}" name="South Geelong"/>
    <tableColumn id="2456" xr3:uid="{00000000-0010-0000-0300-000098090000}" name="South Kingsville"/>
    <tableColumn id="2457" xr3:uid="{00000000-0010-0000-0300-000099090000}" name="South Melbourne"/>
    <tableColumn id="2458" xr3:uid="{00000000-0010-0000-0300-00009A090000}" name="South Morang"/>
    <tableColumn id="2459" xr3:uid="{00000000-0010-0000-0300-00009B090000}" name="South Purrumbete"/>
    <tableColumn id="2460" xr3:uid="{00000000-0010-0000-0300-00009C090000}" name="South Wharf"/>
    <tableColumn id="2461" xr3:uid="{00000000-0010-0000-0300-00009D090000}" name="South Yarra"/>
    <tableColumn id="2462" xr3:uid="{00000000-0010-0000-0300-00009E090000}" name="Southbank"/>
    <tableColumn id="2463" xr3:uid="{00000000-0010-0000-0300-00009F090000}" name="Southern Cross"/>
    <tableColumn id="2464" xr3:uid="{00000000-0010-0000-0300-0000A0090000}" name="Southland Centre"/>
    <tableColumn id="2465" xr3:uid="{00000000-0010-0000-0300-0000A1090000}" name="Spargo Creek"/>
    <tableColumn id="2466" xr3:uid="{00000000-0010-0000-0300-0000A2090000}" name="Speed"/>
    <tableColumn id="2467" xr3:uid="{00000000-0010-0000-0300-0000A3090000}" name="Speewa"/>
    <tableColumn id="2468" xr3:uid="{00000000-0010-0000-0300-0000A4090000}" name="Spotswood"/>
    <tableColumn id="2469" xr3:uid="{00000000-0010-0000-0300-0000A5090000}" name="Spring Gully"/>
    <tableColumn id="2470" xr3:uid="{00000000-0010-0000-0300-0000A6090000}" name="Spring Hill"/>
    <tableColumn id="2471" xr3:uid="{00000000-0010-0000-0300-0000A7090000}" name="Springbank"/>
    <tableColumn id="2472" xr3:uid="{00000000-0010-0000-0300-0000A8090000}" name="Springdallah"/>
    <tableColumn id="2473" xr3:uid="{00000000-0010-0000-0300-0000A9090000}" name="Springfield"/>
    <tableColumn id="2474" xr3:uid="{00000000-0010-0000-0300-0000AA090000}" name="Springfield2"/>
    <tableColumn id="2475" xr3:uid="{00000000-0010-0000-0300-0000AB090000}" name="Springhurst"/>
    <tableColumn id="2476" xr3:uid="{00000000-0010-0000-0300-0000AC090000}" name="Springmount"/>
    <tableColumn id="2477" xr3:uid="{00000000-0010-0000-0300-0000AD090000}" name="Springvale"/>
    <tableColumn id="2478" xr3:uid="{00000000-0010-0000-0300-0000AE090000}" name="Springvale South"/>
    <tableColumn id="2479" xr3:uid="{00000000-0010-0000-0300-0000AF090000}" name="St Albans"/>
    <tableColumn id="2480" xr3:uid="{00000000-0010-0000-0300-0000B0090000}" name="St Albans Park"/>
    <tableColumn id="2481" xr3:uid="{00000000-0010-0000-0300-0000B1090000}" name="St Andrews"/>
    <tableColumn id="2482" xr3:uid="{00000000-0010-0000-0300-0000B2090000}" name="St Andrews Beach"/>
    <tableColumn id="2483" xr3:uid="{00000000-0010-0000-0300-0000B3090000}" name="St Arnaud"/>
    <tableColumn id="2484" xr3:uid="{00000000-0010-0000-0300-0000B4090000}" name="St Arnaud East"/>
    <tableColumn id="2485" xr3:uid="{00000000-0010-0000-0300-0000B5090000}" name="St Arnaud North"/>
    <tableColumn id="2486" xr3:uid="{00000000-0010-0000-0300-0000B6090000}" name="St Clair"/>
    <tableColumn id="2487" xr3:uid="{00000000-0010-0000-0300-0000B7090000}" name="St Germains"/>
    <tableColumn id="2488" xr3:uid="{00000000-0010-0000-0300-0000B8090000}" name="St Helena"/>
    <tableColumn id="2489" xr3:uid="{00000000-0010-0000-0300-0000B9090000}" name="St Helens"/>
    <tableColumn id="2490" xr3:uid="{00000000-0010-0000-0300-0000BA090000}" name="St Helens Plains"/>
    <tableColumn id="2491" xr3:uid="{00000000-0010-0000-0300-0000BB090000}" name="St James"/>
    <tableColumn id="2492" xr3:uid="{00000000-0010-0000-0300-0000BC090000}" name="St Kilda"/>
    <tableColumn id="2493" xr3:uid="{00000000-0010-0000-0300-0000BD090000}" name="St Kilda East"/>
    <tableColumn id="2494" xr3:uid="{00000000-0010-0000-0300-0000BE090000}" name="St Kilda Road Central"/>
    <tableColumn id="2495" xr3:uid="{00000000-0010-0000-0300-0000BF090000}" name="St Kilda Road Melbourne"/>
    <tableColumn id="2496" xr3:uid="{00000000-0010-0000-0300-0000C0090000}" name="St Kilda South"/>
    <tableColumn id="2497" xr3:uid="{00000000-0010-0000-0300-0000C1090000}" name="St Kilda West"/>
    <tableColumn id="2498" xr3:uid="{00000000-0010-0000-0300-0000C2090000}" name="St Leonards"/>
    <tableColumn id="2499" xr3:uid="{00000000-0010-0000-0300-0000C3090000}" name="Staceys Bridge"/>
    <tableColumn id="2500" xr3:uid="{00000000-0010-0000-0300-0000C4090000}" name="Staffordshire Reef"/>
    <tableColumn id="2501" xr3:uid="{00000000-0010-0000-0300-0000C5090000}" name="Staghorn Flat"/>
    <tableColumn id="2502" xr3:uid="{00000000-0010-0000-0300-0000C6090000}" name="Stanhope"/>
    <tableColumn id="2503" xr3:uid="{00000000-0010-0000-0300-0000C7090000}" name="Stanhope South"/>
    <tableColumn id="2504" xr3:uid="{00000000-0010-0000-0300-0000C8090000}" name="Stanley"/>
    <tableColumn id="2505" xr3:uid="{00000000-0010-0000-0300-0000C9090000}" name="Staughton Vale"/>
    <tableColumn id="2506" xr3:uid="{00000000-0010-0000-0300-0000CA090000}" name="Stavely"/>
    <tableColumn id="2507" xr3:uid="{00000000-0010-0000-0300-0000CB090000}" name="Stawell"/>
    <tableColumn id="2508" xr3:uid="{00000000-0010-0000-0300-0000CC090000}" name="Stawell West"/>
    <tableColumn id="2509" xr3:uid="{00000000-0010-0000-0300-0000CD090000}" name="Steels Creek"/>
    <tableColumn id="2510" xr3:uid="{00000000-0010-0000-0300-0000CE090000}" name="Steiglitz"/>
    <tableColumn id="2511" xr3:uid="{00000000-0010-0000-0300-0000CF090000}" name="Stewarton"/>
    <tableColumn id="2512" xr3:uid="{00000000-0010-0000-0300-0000D0090000}" name="Stirling"/>
    <tableColumn id="2513" xr3:uid="{00000000-0010-0000-0300-0000D1090000}" name="Stockdale"/>
    <tableColumn id="2514" xr3:uid="{00000000-0010-0000-0300-0000D2090000}" name="Stockyard Hill"/>
    <tableColumn id="2515" xr3:uid="{00000000-0010-0000-0300-0000D3090000}" name="Stonehaven"/>
    <tableColumn id="2516" xr3:uid="{00000000-0010-0000-0300-0000D4090000}" name="Stoneleigh"/>
    <tableColumn id="2517" xr3:uid="{00000000-0010-0000-0300-0000D5090000}" name="Stony Creek"/>
    <tableColumn id="2518" xr3:uid="{00000000-0010-0000-0300-0000D6090000}" name="Stonyford"/>
    <tableColumn id="2519" xr3:uid="{00000000-0010-0000-0300-0000D7090000}" name="Stradbroke"/>
    <tableColumn id="2520" xr3:uid="{00000000-0010-0000-0300-0000D8090000}" name="Stradbroke Park"/>
    <tableColumn id="2521" xr3:uid="{00000000-0010-0000-0300-0000D9090000}" name="Strangways"/>
    <tableColumn id="2522" xr3:uid="{00000000-0010-0000-0300-0000DA090000}" name="Straten"/>
    <tableColumn id="2523" xr3:uid="{00000000-0010-0000-0300-0000DB090000}" name="Stratford"/>
    <tableColumn id="2524" xr3:uid="{00000000-0010-0000-0300-0000DC090000}" name="Strath Creek"/>
    <tableColumn id="2525" xr3:uid="{00000000-0010-0000-0300-0000DD090000}" name="Strathallan"/>
    <tableColumn id="2526" xr3:uid="{00000000-0010-0000-0300-0000DE090000}" name="Strathbogie"/>
    <tableColumn id="2527" xr3:uid="{00000000-0010-0000-0300-0000DF090000}" name="Strathdale"/>
    <tableColumn id="2528" xr3:uid="{00000000-0010-0000-0300-0000E0090000}" name="Strathdownie"/>
    <tableColumn id="2529" xr3:uid="{00000000-0010-0000-0300-0000E1090000}" name="Strathewen"/>
    <tableColumn id="2530" xr3:uid="{00000000-0010-0000-0300-0000E2090000}" name="Strathfieldsaye"/>
    <tableColumn id="2531" xr3:uid="{00000000-0010-0000-0300-0000E3090000}" name="Strathkellar"/>
    <tableColumn id="2532" xr3:uid="{00000000-0010-0000-0300-0000E4090000}" name="Strathlea"/>
    <tableColumn id="2533" xr3:uid="{00000000-0010-0000-0300-0000E5090000}" name="Strathmerton"/>
    <tableColumn id="2534" xr3:uid="{00000000-0010-0000-0300-0000E6090000}" name="Strathmore"/>
    <tableColumn id="2535" xr3:uid="{00000000-0010-0000-0300-0000E7090000}" name="Strathmore Heights"/>
    <tableColumn id="2536" xr3:uid="{00000000-0010-0000-0300-0000E8090000}" name="Streatham"/>
    <tableColumn id="2537" xr3:uid="{00000000-0010-0000-0300-0000E9090000}" name="Strzelecki"/>
    <tableColumn id="2538" xr3:uid="{00000000-0010-0000-0300-0000EA090000}" name="Stuart Mill"/>
    <tableColumn id="2539" xr3:uid="{00000000-0010-0000-0300-0000EB090000}" name="Studfield"/>
    <tableColumn id="2540" xr3:uid="{00000000-0010-0000-0300-0000EC090000}" name="Sugarloaf"/>
    <tableColumn id="2541" xr3:uid="{00000000-0010-0000-0300-0000ED090000}" name="Sugarloaf Creek"/>
    <tableColumn id="2542" xr3:uid="{00000000-0010-0000-0300-0000EE090000}" name="Suggan Buggan"/>
    <tableColumn id="2543" xr3:uid="{00000000-0010-0000-0300-0000EF090000}" name="Sulky"/>
    <tableColumn id="2544" xr3:uid="{00000000-0010-0000-0300-0000F0090000}" name="Summerlands"/>
    <tableColumn id="2545" xr3:uid="{00000000-0010-0000-0300-0000F1090000}" name="Sumner"/>
    <tableColumn id="2546" xr3:uid="{00000000-0010-0000-0300-0000F2090000}" name="Sunbury"/>
    <tableColumn id="2547" xr3:uid="{00000000-0010-0000-0300-0000F3090000}" name="Sunday Creek"/>
    <tableColumn id="2548" xr3:uid="{00000000-0010-0000-0300-0000F4090000}" name="Sunderland Bay"/>
    <tableColumn id="2549" xr3:uid="{00000000-0010-0000-0300-0000F5090000}" name="Sunnycliffs"/>
    <tableColumn id="2550" xr3:uid="{00000000-0010-0000-0300-0000F6090000}" name="Sunset Strip"/>
    <tableColumn id="2551" xr3:uid="{00000000-0010-0000-0300-0000F7090000}" name="Sunshine"/>
    <tableColumn id="2552" xr3:uid="{00000000-0010-0000-0300-0000F8090000}" name="Sunshine North"/>
    <tableColumn id="2553" xr3:uid="{00000000-0010-0000-0300-0000F9090000}" name="Sunshine West"/>
    <tableColumn id="2554" xr3:uid="{00000000-0010-0000-0300-0000FA090000}" name="Surf Beach"/>
    <tableColumn id="2555" xr3:uid="{00000000-0010-0000-0300-0000FB090000}" name="Surrey Hills"/>
    <tableColumn id="2556" xr3:uid="{00000000-0010-0000-0300-0000FC090000}" name="Surrey Hills North"/>
    <tableColumn id="2557" xr3:uid="{00000000-0010-0000-0300-0000FD090000}" name="Surrey Hills South"/>
    <tableColumn id="2558" xr3:uid="{00000000-0010-0000-0300-0000FE090000}" name="Sutherland"/>
    <tableColumn id="2559" xr3:uid="{00000000-0010-0000-0300-0000FF090000}" name="Sutherlands Creek"/>
    <tableColumn id="2560" xr3:uid="{00000000-0010-0000-0300-0000000A0000}" name="Sutton"/>
    <tableColumn id="2561" xr3:uid="{00000000-0010-0000-0300-0000010A0000}" name="Sutton Grange"/>
    <tableColumn id="2562" xr3:uid="{00000000-0010-0000-0300-0000020A0000}" name="Swan Bay"/>
    <tableColumn id="2563" xr3:uid="{00000000-0010-0000-0300-0000030A0000}" name="Swan Hill"/>
    <tableColumn id="2564" xr3:uid="{00000000-0010-0000-0300-0000040A0000}" name="Swan Hill West"/>
    <tableColumn id="2565" xr3:uid="{00000000-0010-0000-0300-0000050A0000}" name="Swan Island"/>
    <tableColumn id="2566" xr3:uid="{00000000-0010-0000-0300-0000060A0000}" name="Swan Marsh"/>
    <tableColumn id="2567" xr3:uid="{00000000-0010-0000-0300-0000070A0000}" name="Swan Reach"/>
    <tableColumn id="2568" xr3:uid="{00000000-0010-0000-0300-0000080A0000}" name="Swanpool"/>
    <tableColumn id="2569" xr3:uid="{00000000-0010-0000-0300-0000090A0000}" name="Swanwater"/>
    <tableColumn id="2570" xr3:uid="{00000000-0010-0000-0300-00000A0A0000}" name="Swanwater West"/>
    <tableColumn id="2571" xr3:uid="{00000000-0010-0000-0300-00000B0A0000}" name="Swifts Creek"/>
    <tableColumn id="2572" xr3:uid="{00000000-0010-0000-0300-00000C0A0000}" name="Sydenham"/>
    <tableColumn id="2573" xr3:uid="{00000000-0010-0000-0300-00000D0A0000}" name="Sylvaterre"/>
    <tableColumn id="2574" xr3:uid="{00000000-0010-0000-0300-00000E0A0000}" name="Syndal"/>
    <tableColumn id="2575" xr3:uid="{00000000-0010-0000-0300-00000F0A0000}" name="Tabberabbera"/>
    <tableColumn id="2576" xr3:uid="{00000000-0010-0000-0300-0000100A0000}" name="Tabilk"/>
    <tableColumn id="2577" xr3:uid="{00000000-0010-0000-0300-0000110A0000}" name="Tabor"/>
    <tableColumn id="2578" xr3:uid="{00000000-0010-0000-0300-0000120A0000}" name="Taggerty"/>
    <tableColumn id="2579" xr3:uid="{00000000-0010-0000-0300-0000130A0000}" name="Tahara"/>
    <tableColumn id="2580" xr3:uid="{00000000-0010-0000-0300-0000140A0000}" name="Tahara Bridge"/>
    <tableColumn id="2581" xr3:uid="{00000000-0010-0000-0300-0000150A0000}" name="Tahara West"/>
    <tableColumn id="2582" xr3:uid="{00000000-0010-0000-0300-0000160A0000}" name="Talbot"/>
    <tableColumn id="2583" xr3:uid="{00000000-0010-0000-0300-0000170A0000}" name="Talgarno"/>
    <tableColumn id="2584" xr3:uid="{00000000-0010-0000-0300-0000180A0000}" name="Tallandoon"/>
    <tableColumn id="2585" xr3:uid="{00000000-0010-0000-0300-0000190A0000}" name="Tallangatta"/>
    <tableColumn id="2586" xr3:uid="{00000000-0010-0000-0300-00001A0A0000}" name="Tallangatta East"/>
    <tableColumn id="2587" xr3:uid="{00000000-0010-0000-0300-00001B0A0000}" name="Tallangatta South"/>
    <tableColumn id="2588" xr3:uid="{00000000-0010-0000-0300-00001C0A0000}" name="Tallangatta Valley"/>
    <tableColumn id="2589" xr3:uid="{00000000-0010-0000-0300-00001D0A0000}" name="Tallarook"/>
    <tableColumn id="2590" xr3:uid="{00000000-0010-0000-0300-00001E0A0000}" name="Tallygaroopna"/>
    <tableColumn id="2591" xr3:uid="{00000000-0010-0000-0300-00001F0A0000}" name="Tambo Crossing"/>
    <tableColumn id="2592" xr3:uid="{00000000-0010-0000-0300-0000200A0000}" name="Tambo Upper"/>
    <tableColumn id="2593" xr3:uid="{00000000-0010-0000-0300-0000210A0000}" name="Tamboon"/>
    <tableColumn id="2594" xr3:uid="{00000000-0010-0000-0300-0000220A0000}" name="Tamboritha"/>
    <tableColumn id="2595" xr3:uid="{00000000-0010-0000-0300-0000230A0000}" name="Taminick"/>
    <tableColumn id="2596" xr3:uid="{00000000-0010-0000-0300-0000240A0000}" name="Tamleugh"/>
    <tableColumn id="2597" xr3:uid="{00000000-0010-0000-0300-0000250A0000}" name="Tamleugh North"/>
    <tableColumn id="2598" xr3:uid="{00000000-0010-0000-0300-0000260A0000}" name="Tandarook"/>
    <tableColumn id="2599" xr3:uid="{00000000-0010-0000-0300-0000270A0000}" name="Tandarra"/>
    <tableColumn id="2600" xr3:uid="{00000000-0010-0000-0300-0000280A0000}" name="Tangambalanga"/>
    <tableColumn id="2601" xr3:uid="{00000000-0010-0000-0300-0000290A0000}" name="Tanjil"/>
    <tableColumn id="2602" xr3:uid="{00000000-0010-0000-0300-00002A0A0000}" name="Tanjil Bren"/>
    <tableColumn id="2603" xr3:uid="{00000000-0010-0000-0300-00002B0A0000}" name="Tanjil South"/>
    <tableColumn id="2604" xr3:uid="{00000000-0010-0000-0300-00002C0A0000}" name="Tantaraboo"/>
    <tableColumn id="2605" xr3:uid="{00000000-0010-0000-0300-00002D0A0000}" name="Tanwood"/>
    <tableColumn id="2606" xr3:uid="{00000000-0010-0000-0300-00002E0A0000}" name="Tanybryn"/>
    <tableColumn id="2607" xr3:uid="{00000000-0010-0000-0300-00002F0A0000}" name="Taradale"/>
    <tableColumn id="2608" xr3:uid="{00000000-0010-0000-0300-0000300A0000}" name="Tarcombe"/>
    <tableColumn id="2609" xr3:uid="{00000000-0010-0000-0300-0000310A0000}" name="Tarilta"/>
    <tableColumn id="2610" xr3:uid="{00000000-0010-0000-0300-0000320A0000}" name="Tarnagulla"/>
    <tableColumn id="2611" xr3:uid="{00000000-0010-0000-0300-0000330A0000}" name="Tarneit"/>
    <tableColumn id="2612" xr3:uid="{00000000-0010-0000-0300-0000340A0000}" name="Tarnook"/>
    <tableColumn id="2613" xr3:uid="{00000000-0010-0000-0300-0000350A0000}" name="Taroon"/>
    <tableColumn id="2614" xr3:uid="{00000000-0010-0000-0300-0000360A0000}" name="Tarra Valley"/>
    <tableColumn id="2615" xr3:uid="{00000000-0010-0000-0300-0000370A0000}" name="Tarranyurk"/>
    <tableColumn id="2616" xr3:uid="{00000000-0010-0000-0300-0000380A0000}" name="Tarraville"/>
    <tableColumn id="2617" xr3:uid="{00000000-0010-0000-0300-0000390A0000}" name="Tarrawarra"/>
    <tableColumn id="2618" xr3:uid="{00000000-0010-0000-0300-00003A0A0000}" name="Tarrawingee"/>
    <tableColumn id="2619" xr3:uid="{00000000-0010-0000-0300-00003B0A0000}" name="Tarrayoukyan"/>
    <tableColumn id="2620" xr3:uid="{00000000-0010-0000-0300-00003C0A0000}" name="Tarrengower"/>
    <tableColumn id="2621" xr3:uid="{00000000-0010-0000-0300-00003D0A0000}" name="Tarrenlea"/>
    <tableColumn id="2622" xr3:uid="{00000000-0010-0000-0300-00003E0A0000}" name="Tarrington"/>
    <tableColumn id="2623" xr3:uid="{00000000-0010-0000-0300-00003F0A0000}" name="Tarrone"/>
    <tableColumn id="2624" xr3:uid="{00000000-0010-0000-0300-0000400A0000}" name="Tarwin"/>
    <tableColumn id="2625" xr3:uid="{00000000-0010-0000-0300-0000410A0000}" name="Tarwin Lower"/>
    <tableColumn id="2626" xr3:uid="{00000000-0010-0000-0300-0000420A0000}" name="Tatong"/>
    <tableColumn id="2627" xr3:uid="{00000000-0010-0000-0300-0000430A0000}" name="Tatura"/>
    <tableColumn id="2628" xr3:uid="{00000000-0010-0000-0300-0000440A0000}" name="Tatura East"/>
    <tableColumn id="2629" xr3:uid="{00000000-0010-0000-0300-0000450A0000}" name="Tatyoon"/>
    <tableColumn id="2630" xr3:uid="{00000000-0010-0000-0300-0000460A0000}" name="Tawonga"/>
    <tableColumn id="2631" xr3:uid="{00000000-0010-0000-0300-0000470A0000}" name="Tawonga South"/>
    <tableColumn id="2632" xr3:uid="{00000000-0010-0000-0300-0000480A0000}" name="Taylor Bay"/>
    <tableColumn id="2633" xr3:uid="{00000000-0010-0000-0300-0000490A0000}" name="Taylors Hill"/>
    <tableColumn id="2634" xr3:uid="{00000000-0010-0000-0300-00004A0A0000}" name="Taylors Lakes"/>
    <tableColumn id="2635" xr3:uid="{00000000-0010-0000-0300-00004B0A0000}" name="Teal Point"/>
    <tableColumn id="2636" xr3:uid="{00000000-0010-0000-0300-00004C0A0000}" name="Tecoma"/>
    <tableColumn id="2637" xr3:uid="{00000000-0010-0000-0300-00004D0A0000}" name="Teddywaddy"/>
    <tableColumn id="2638" xr3:uid="{00000000-0010-0000-0300-00004E0A0000}" name="Teddywaddy West"/>
    <tableColumn id="2639" xr3:uid="{00000000-0010-0000-0300-00004F0A0000}" name="Teesdale"/>
    <tableColumn id="2640" xr3:uid="{00000000-0010-0000-0300-0000500A0000}" name="Telangatuk East"/>
    <tableColumn id="2641" xr3:uid="{00000000-0010-0000-0300-0000510A0000}" name="Telford"/>
    <tableColumn id="2642" xr3:uid="{00000000-0010-0000-0300-0000520A0000}" name="Telopea Downs"/>
    <tableColumn id="2643" xr3:uid="{00000000-0010-0000-0300-0000530A0000}" name="Templestowe"/>
    <tableColumn id="2644" xr3:uid="{00000000-0010-0000-0300-0000540A0000}" name="Templestowe Lower"/>
    <tableColumn id="2645" xr3:uid="{00000000-0010-0000-0300-0000550A0000}" name="Tempy"/>
    <tableColumn id="2646" xr3:uid="{00000000-0010-0000-0300-0000560A0000}" name="Tenby Point"/>
    <tableColumn id="2647" xr3:uid="{00000000-0010-0000-0300-0000570A0000}" name="Tennyson"/>
    <tableColumn id="2648" xr3:uid="{00000000-0010-0000-0300-0000580A0000}" name="Terang"/>
    <tableColumn id="2649" xr3:uid="{00000000-0010-0000-0300-0000590A0000}" name="Terip Terip"/>
    <tableColumn id="2650" xr3:uid="{00000000-0010-0000-0300-00005A0A0000}" name="Terrappee"/>
    <tableColumn id="2651" xr3:uid="{00000000-0010-0000-0300-00005B0A0000}" name="Terrick Terrick"/>
    <tableColumn id="2652" xr3:uid="{00000000-0010-0000-0300-00005C0A0000}" name="Terrick Terrick East"/>
    <tableColumn id="2653" xr3:uid="{00000000-0010-0000-0300-00005D0A0000}" name="Tesbury"/>
    <tableColumn id="2654" xr3:uid="{00000000-0010-0000-0300-00005E0A0000}" name="Tetoora Road"/>
    <tableColumn id="2655" xr3:uid="{00000000-0010-0000-0300-00005F0A0000}" name="Thalia"/>
    <tableColumn id="2656" xr3:uid="{00000000-0010-0000-0300-0000600A0000}" name="Thalloo"/>
    <tableColumn id="2657" xr3:uid="{00000000-0010-0000-0300-0000610A0000}" name="The Basin"/>
    <tableColumn id="2658" xr3:uid="{00000000-0010-0000-0300-0000620A0000}" name="The Cove"/>
    <tableColumn id="2659" xr3:uid="{00000000-0010-0000-0300-0000630A0000}" name="The Gurdies"/>
    <tableColumn id="2660" xr3:uid="{00000000-0010-0000-0300-0000640A0000}" name="The Heart"/>
    <tableColumn id="2661" xr3:uid="{00000000-0010-0000-0300-0000650A0000}" name="The Honeysuckles"/>
    <tableColumn id="2662" xr3:uid="{00000000-0010-0000-0300-0000660A0000}" name="The Patch"/>
    <tableColumn id="2663" xr3:uid="{00000000-0010-0000-0300-0000670A0000}" name="The Sisters"/>
    <tableColumn id="2664" xr3:uid="{00000000-0010-0000-0300-0000680A0000}" name="Thologolong"/>
    <tableColumn id="2665" xr3:uid="{00000000-0010-0000-0300-0000690A0000}" name="Thomastown"/>
    <tableColumn id="2666" xr3:uid="{00000000-0010-0000-0300-00006A0A0000}" name="Thomson"/>
    <tableColumn id="2667" xr3:uid="{00000000-0010-0000-0300-00006B0A0000}" name="Thomson3"/>
    <tableColumn id="2668" xr3:uid="{00000000-0010-0000-0300-00006C0A0000}" name="Thoona"/>
    <tableColumn id="2669" xr3:uid="{00000000-0010-0000-0300-00006D0A0000}" name="Thornbury"/>
    <tableColumn id="2670" xr3:uid="{00000000-0010-0000-0300-00006E0A0000}" name="Thornton"/>
    <tableColumn id="2671" xr3:uid="{00000000-0010-0000-0300-00006F0A0000}" name="Thorpdale"/>
    <tableColumn id="2672" xr3:uid="{00000000-0010-0000-0300-0000700A0000}" name="Thorpdale South"/>
    <tableColumn id="2673" xr3:uid="{00000000-0010-0000-0300-0000710A0000}" name="Thowgla Valley"/>
    <tableColumn id="2674" xr3:uid="{00000000-0010-0000-0300-0000720A0000}" name="Three Bridges"/>
    <tableColumn id="2675" xr3:uid="{00000000-0010-0000-0300-0000730A0000}" name="Tidal River"/>
    <tableColumn id="2676" xr3:uid="{00000000-0010-0000-0300-0000740A0000}" name="Timbarra"/>
    <tableColumn id="2677" xr3:uid="{00000000-0010-0000-0300-0000750A0000}" name="Timboon"/>
    <tableColumn id="2678" xr3:uid="{00000000-0010-0000-0300-0000760A0000}" name="Timboon West"/>
    <tableColumn id="2679" xr3:uid="{00000000-0010-0000-0300-0000770A0000}" name="Timmering"/>
    <tableColumn id="2680" xr3:uid="{00000000-0010-0000-0300-0000780A0000}" name="Timor"/>
    <tableColumn id="2681" xr3:uid="{00000000-0010-0000-0300-0000790A0000}" name="Timor West"/>
    <tableColumn id="2682" xr3:uid="{00000000-0010-0000-0300-00007A0A0000}" name="Tinamba"/>
    <tableColumn id="2683" xr3:uid="{00000000-0010-0000-0300-00007B0A0000}" name="Tinamba West"/>
    <tableColumn id="2684" xr3:uid="{00000000-0010-0000-0300-00007C0A0000}" name="Tintaldra"/>
    <tableColumn id="2685" xr3:uid="{00000000-0010-0000-0300-00007D0A0000}" name="Tittybong"/>
    <tableColumn id="2686" xr3:uid="{00000000-0010-0000-0300-00007E0A0000}" name="Tol Tol"/>
    <tableColumn id="2687" xr3:uid="{00000000-0010-0000-0300-00007F0A0000}" name="Tolmie"/>
    <tableColumn id="2688" xr3:uid="{00000000-0010-0000-0300-0000800A0000}" name="Tom Groggin"/>
    <tableColumn id="2689" xr3:uid="{00000000-0010-0000-0300-0000810A0000}" name="Tongala"/>
    <tableColumn id="2690" xr3:uid="{00000000-0010-0000-0300-0000820A0000}" name="Tonghi Creek"/>
    <tableColumn id="2691" xr3:uid="{00000000-0010-0000-0300-0000830A0000}" name="Tongio"/>
    <tableColumn id="2692" xr3:uid="{00000000-0010-0000-0300-0000840A0000}" name="Tonimbuk"/>
    <tableColumn id="2693" xr3:uid="{00000000-0010-0000-0300-0000850A0000}" name="Tooan"/>
    <tableColumn id="2694" xr3:uid="{00000000-0010-0000-0300-0000860A0000}" name="Tooborac"/>
    <tableColumn id="2695" xr3:uid="{00000000-0010-0000-0300-0000870A0000}" name="Toolamba"/>
    <tableColumn id="2696" xr3:uid="{00000000-0010-0000-0300-0000880A0000}" name="Toolamba West"/>
    <tableColumn id="2697" xr3:uid="{00000000-0010-0000-0300-0000890A0000}" name="Toolangi"/>
    <tableColumn id="2698" xr3:uid="{00000000-0010-0000-0300-00008A0A0000}" name="Toolern Vale"/>
    <tableColumn id="2699" xr3:uid="{00000000-0010-0000-0300-00008B0A0000}" name="Toolleen"/>
    <tableColumn id="2700" xr3:uid="{00000000-0010-0000-0300-00008C0A0000}" name="Toolome"/>
    <tableColumn id="2701" xr3:uid="{00000000-0010-0000-0300-00008D0A0000}" name="Toolondo"/>
    <tableColumn id="2702" xr3:uid="{00000000-0010-0000-0300-00008E0A0000}" name="Toolong"/>
    <tableColumn id="2703" xr3:uid="{00000000-0010-0000-0300-00008F0A0000}" name="Toombon"/>
    <tableColumn id="2704" xr3:uid="{00000000-0010-0000-0300-0000900A0000}" name="Toongabbie"/>
    <tableColumn id="2705" xr3:uid="{00000000-0010-0000-0300-0000910A0000}" name="Toora"/>
    <tableColumn id="2706" xr3:uid="{00000000-0010-0000-0300-0000920A0000}" name="Toora North"/>
    <tableColumn id="2707" xr3:uid="{00000000-0010-0000-0300-0000930A0000}" name="Tooradin"/>
    <tableColumn id="2708" xr3:uid="{00000000-0010-0000-0300-0000940A0000}" name="Toorak"/>
    <tableColumn id="2709" xr3:uid="{00000000-0010-0000-0300-0000950A0000}" name="Toorloo Arm"/>
    <tableColumn id="2710" xr3:uid="{00000000-0010-0000-0300-0000960A0000}" name="Tooronga"/>
    <tableColumn id="2711" xr3:uid="{00000000-0010-0000-0300-0000970A0000}" name="Toorongo"/>
    <tableColumn id="2712" xr3:uid="{00000000-0010-0000-0300-0000980A0000}" name="Tootgarook"/>
    <tableColumn id="2713" xr3:uid="{00000000-0010-0000-0300-0000990A0000}" name="Torquay"/>
    <tableColumn id="2714" xr3:uid="{00000000-0010-0000-0300-00009A0A0000}" name="Torrita"/>
    <tableColumn id="2715" xr3:uid="{00000000-0010-0000-0300-00009B0A0000}" name="Torrumbarry"/>
    <tableColumn id="2716" xr3:uid="{00000000-0010-0000-0300-00009C0A0000}" name="Torwood"/>
    <tableColumn id="2717" xr3:uid="{00000000-0010-0000-0300-00009D0A0000}" name="Tostaree"/>
    <tableColumn id="2718" xr3:uid="{00000000-0010-0000-0300-00009E0A0000}" name="Tottenham"/>
    <tableColumn id="2719" xr3:uid="{00000000-0010-0000-0300-00009F0A0000}" name="Tottington"/>
    <tableColumn id="2720" xr3:uid="{00000000-0010-0000-0300-0000A00A0000}" name="Tourello"/>
    <tableColumn id="2721" xr3:uid="{00000000-0010-0000-0300-0000A10A0000}" name="Towan"/>
    <tableColumn id="2722" xr3:uid="{00000000-0010-0000-0300-0000A20A0000}" name="Towaninny"/>
    <tableColumn id="2723" xr3:uid="{00000000-0010-0000-0300-0000A30A0000}" name="Towaninny South"/>
    <tableColumn id="2724" xr3:uid="{00000000-0010-0000-0300-0000A40A0000}" name="Tower Hill"/>
    <tableColumn id="2725" xr3:uid="{00000000-0010-0000-0300-0000A50A0000}" name="Towong"/>
    <tableColumn id="2726" xr3:uid="{00000000-0010-0000-0300-0000A60A0000}" name="Towong Upper"/>
    <tableColumn id="2727" xr3:uid="{00000000-0010-0000-0300-0000A70A0000}" name="Trafalgar"/>
    <tableColumn id="2728" xr3:uid="{00000000-0010-0000-0300-0000A80A0000}" name="Trafalgar East"/>
    <tableColumn id="2729" xr3:uid="{00000000-0010-0000-0300-0000A90A0000}" name="Trafalgar South"/>
    <tableColumn id="2730" xr3:uid="{00000000-0010-0000-0300-0000AA0A0000}" name="Tragowel"/>
    <tableColumn id="2731" xr3:uid="{00000000-0010-0000-0300-0000AB0A0000}" name="Traralgon"/>
    <tableColumn id="2732" xr3:uid="{00000000-0010-0000-0300-0000AC0A0000}" name="Traralgon East"/>
    <tableColumn id="2733" xr3:uid="{00000000-0010-0000-0300-0000AD0A0000}" name="Traralgon South"/>
    <tableColumn id="2734" xr3:uid="{00000000-0010-0000-0300-0000AE0A0000}" name="Travancore"/>
    <tableColumn id="2735" xr3:uid="{00000000-0010-0000-0300-0000AF0A0000}" name="Trawalla"/>
    <tableColumn id="2736" xr3:uid="{00000000-0010-0000-0300-0000B00A0000}" name="Trawool"/>
    <tableColumn id="2737" xr3:uid="{00000000-0010-0000-0300-0000B10A0000}" name="Traynors Lagoon"/>
    <tableColumn id="2738" xr3:uid="{00000000-0010-0000-0300-0000B20A0000}" name="Tremont"/>
    <tableColumn id="2739" xr3:uid="{00000000-0010-0000-0300-0000B30A0000}" name="Trentham"/>
    <tableColumn id="2740" xr3:uid="{00000000-0010-0000-0300-0000B40A0000}" name="Trentham East"/>
    <tableColumn id="2741" xr3:uid="{00000000-0010-0000-0300-0000B50A0000}" name="Tresco"/>
    <tableColumn id="2742" xr3:uid="{00000000-0010-0000-0300-0000B60A0000}" name="Tresco West"/>
    <tableColumn id="2743" xr3:uid="{00000000-0010-0000-0300-0000B70A0000}" name="Trida"/>
    <tableColumn id="2744" xr3:uid="{00000000-0010-0000-0300-0000B80A0000}" name="Truganina"/>
    <tableColumn id="2745" xr3:uid="{00000000-0010-0000-0300-0000B90A0000}" name="Tubbut"/>
    <tableColumn id="2746" xr3:uid="{00000000-0010-0000-0300-0000BA0A0000}" name="Tuerong"/>
    <tableColumn id="2747" xr3:uid="{00000000-0010-0000-0300-0000BB0A0000}" name="Tulkara"/>
    <tableColumn id="2748" xr3:uid="{00000000-0010-0000-0300-0000BC0A0000}" name="Tullamarine"/>
    <tableColumn id="2749" xr3:uid="{00000000-0010-0000-0300-0000BD0A0000}" name="Tungamah"/>
    <tableColumn id="2750" xr3:uid="{00000000-0010-0000-0300-0000BE0A0000}" name="Turoar"/>
    <tableColumn id="2751" xr3:uid="{00000000-0010-0000-0300-0000BF0A0000}" name="Turriff"/>
    <tableColumn id="2752" xr3:uid="{00000000-0010-0000-0300-0000C00A0000}" name="Turriff East"/>
    <tableColumn id="2753" xr3:uid="{00000000-0010-0000-0300-0000C10A0000}" name="Turtons Creek"/>
    <tableColumn id="2754" xr3:uid="{00000000-0010-0000-0300-0000C20A0000}" name="Tutye"/>
    <tableColumn id="2755" xr3:uid="{00000000-0010-0000-0300-0000C30A0000}" name="Tyaak"/>
    <tableColumn id="2756" xr3:uid="{00000000-0010-0000-0300-0000C40A0000}" name="Tyabb"/>
    <tableColumn id="2757" xr3:uid="{00000000-0010-0000-0300-0000C50A0000}" name="Tyenna"/>
    <tableColumn id="2758" xr3:uid="{00000000-0010-0000-0300-0000C60A0000}" name="Tyers"/>
    <tableColumn id="2759" xr3:uid="{00000000-0010-0000-0300-0000C70A0000}" name="Tylden"/>
    <tableColumn id="2760" xr3:uid="{00000000-0010-0000-0300-0000C80A0000}" name="Tylden South"/>
    <tableColumn id="2761" xr3:uid="{00000000-0010-0000-0300-0000C90A0000}" name="Tynong"/>
    <tableColumn id="2762" xr3:uid="{00000000-0010-0000-0300-0000CA0A0000}" name="Tynong North"/>
    <tableColumn id="2763" xr3:uid="{00000000-0010-0000-0300-0000CB0A0000}" name="Tyntynder"/>
    <tableColumn id="2764" xr3:uid="{00000000-0010-0000-0300-0000CC0A0000}" name="Tyntynder South"/>
    <tableColumn id="2765" xr3:uid="{00000000-0010-0000-0300-0000CD0A0000}" name="Tyrendarra"/>
    <tableColumn id="2766" xr3:uid="{00000000-0010-0000-0300-0000CE0A0000}" name="Tyrendarra East"/>
    <tableColumn id="2767" xr3:uid="{00000000-0010-0000-0300-0000CF0A0000}" name="Tyrrell"/>
    <tableColumn id="2768" xr3:uid="{00000000-0010-0000-0300-0000D00A0000}" name="Tyrrell Downs"/>
    <tableColumn id="2769" xr3:uid="{00000000-0010-0000-0300-0000D10A0000}" name="Ullina"/>
    <tableColumn id="2770" xr3:uid="{00000000-0010-0000-0300-0000D20A0000}" name="Ullswater"/>
    <tableColumn id="2771" xr3:uid="{00000000-0010-0000-0300-0000D30A0000}" name="Ultima"/>
    <tableColumn id="2772" xr3:uid="{00000000-0010-0000-0300-0000D40A0000}" name="Ultima East"/>
    <tableColumn id="2773" xr3:uid="{00000000-0010-0000-0300-0000D50A0000}" name="Ulupna"/>
    <tableColumn id="2774" xr3:uid="{00000000-0010-0000-0300-0000D60A0000}" name="Undera"/>
    <tableColumn id="2775" xr3:uid="{00000000-0010-0000-0300-0000D70A0000}" name="Underbool"/>
    <tableColumn id="2776" xr3:uid="{00000000-0010-0000-0300-0000D80A0000}" name="Upotipotpon"/>
    <tableColumn id="2777" xr3:uid="{00000000-0010-0000-0300-0000D90A0000}" name="Upper Ferntree Gully"/>
    <tableColumn id="2778" xr3:uid="{00000000-0010-0000-0300-0000DA0A0000}" name="Upper Gundowring"/>
    <tableColumn id="2779" xr3:uid="{00000000-0010-0000-0300-0000DB0A0000}" name="Upper Lurg"/>
    <tableColumn id="2780" xr3:uid="{00000000-0010-0000-0300-0000DC0A0000}" name="Upper Plenty"/>
    <tableColumn id="2781" xr3:uid="{00000000-0010-0000-0300-0000DD0A0000}" name="Upper Ryans Creek"/>
    <tableColumn id="2782" xr3:uid="{00000000-0010-0000-0300-0000DE0A0000}" name="Upton Hill"/>
    <tableColumn id="2783" xr3:uid="{00000000-0010-0000-0300-0000DF0A0000}" name="Upwey"/>
    <tableColumn id="2784" xr3:uid="{00000000-0010-0000-0300-0000E00A0000}" name="Valencia Creek"/>
    <tableColumn id="2785" xr3:uid="{00000000-0010-0000-0300-0000E10A0000}" name="Vasey"/>
    <tableColumn id="2786" xr3:uid="{00000000-0010-0000-0300-0000E20A0000}" name="Vaughan"/>
    <tableColumn id="2787" xr3:uid="{00000000-0010-0000-0300-0000E30A0000}" name="Vectis"/>
    <tableColumn id="2788" xr3:uid="{00000000-0010-0000-0300-0000E40A0000}" name="Ventnor"/>
    <tableColumn id="2789" xr3:uid="{00000000-0010-0000-0300-0000E50A0000}" name="Venus Bay"/>
    <tableColumn id="2790" xr3:uid="{00000000-0010-0000-0300-0000E60A0000}" name="Vermont"/>
    <tableColumn id="2791" xr3:uid="{00000000-0010-0000-0300-0000E70A0000}" name="Vermont South"/>
    <tableColumn id="2792" xr3:uid="{00000000-0010-0000-0300-0000E80A0000}" name="Vervale"/>
    <tableColumn id="2793" xr3:uid="{00000000-0010-0000-0300-0000E90A0000}" name="Vesper"/>
    <tableColumn id="2794" xr3:uid="{00000000-0010-0000-0300-0000EA0A0000}" name="Victoria Point"/>
    <tableColumn id="2795" xr3:uid="{00000000-0010-0000-0300-0000EB0A0000}" name="Victoria Valley"/>
    <tableColumn id="2796" xr3:uid="{00000000-0010-0000-0300-0000EC0A0000}" name="Viewbank"/>
    <tableColumn id="2797" xr3:uid="{00000000-0010-0000-0300-0000ED0A0000}" name="Vinifera"/>
    <tableColumn id="2798" xr3:uid="{00000000-0010-0000-0300-0000EE0A0000}" name="Violet Town"/>
    <tableColumn id="2799" xr3:uid="{00000000-0010-0000-0300-0000EF0A0000}" name="Vite Vite"/>
    <tableColumn id="2800" xr3:uid="{00000000-0010-0000-0300-0000F00A0000}" name="Vite Vite North"/>
    <tableColumn id="2801" xr3:uid="{00000000-0010-0000-0300-0000F10A0000}" name="W Tree"/>
    <tableColumn id="2802" xr3:uid="{00000000-0010-0000-0300-0000F20A0000}" name="Waaia"/>
    <tableColumn id="2803" xr3:uid="{00000000-0010-0000-0300-0000F30A0000}" name="Waanyarra"/>
    <tableColumn id="2804" xr3:uid="{00000000-0010-0000-0300-0000F40A0000}" name="Waarre"/>
    <tableColumn id="2805" xr3:uid="{00000000-0010-0000-0300-0000F50A0000}" name="Wabonga"/>
    <tableColumn id="2806" xr3:uid="{00000000-0010-0000-0300-0000F60A0000}" name="Waggarandall"/>
    <tableColumn id="2807" xr3:uid="{00000000-0010-0000-0300-0000F70A0000}" name="Wahgunyah"/>
    <tableColumn id="2808" xr3:uid="{00000000-0010-0000-0300-0000F80A0000}" name="Wahring"/>
    <tableColumn id="2809" xr3:uid="{00000000-0010-0000-0300-0000F90A0000}" name="Wail"/>
    <tableColumn id="2810" xr3:uid="{00000000-0010-0000-0300-0000FA0A0000}" name="Wairewa"/>
    <tableColumn id="2811" xr3:uid="{00000000-0010-0000-0300-0000FB0A0000}" name="Waitchie"/>
    <tableColumn id="2812" xr3:uid="{00000000-0010-0000-0300-0000FC0A0000}" name="Wal Wal"/>
    <tableColumn id="2813" xr3:uid="{00000000-0010-0000-0300-0000FD0A0000}" name="Waldara"/>
    <tableColumn id="2814" xr3:uid="{00000000-0010-0000-0300-0000FE0A0000}" name="Walhalla"/>
    <tableColumn id="2815" xr3:uid="{00000000-0010-0000-0300-0000FF0A0000}" name="Walhalla East"/>
    <tableColumn id="2816" xr3:uid="{00000000-0010-0000-0300-0000000B0000}" name="Walkerville"/>
    <tableColumn id="2817" xr3:uid="{00000000-0010-0000-0300-0000010B0000}" name="Walkerville North"/>
    <tableColumn id="2818" xr3:uid="{00000000-0010-0000-0300-0000020B0000}" name="Walkerville South"/>
    <tableColumn id="2819" xr3:uid="{00000000-0010-0000-0300-0000030B0000}" name="Wallace"/>
    <tableColumn id="2820" xr3:uid="{00000000-0010-0000-0300-0000040B0000}" name="Wallacedale"/>
    <tableColumn id="2821" xr3:uid="{00000000-0010-0000-0300-0000050B0000}" name="Wallagaraugh"/>
    <tableColumn id="2822" xr3:uid="{00000000-0010-0000-0300-0000060B0000}" name="Wallaloo"/>
    <tableColumn id="2823" xr3:uid="{00000000-0010-0000-0300-0000070B0000}" name="Wallaloo East"/>
    <tableColumn id="2824" xr3:uid="{00000000-0010-0000-0300-0000080B0000}" name="Wallan"/>
    <tableColumn id="2825" xr3:uid="{00000000-0010-0000-0300-0000090B0000}" name="Wallinduc"/>
    <tableColumn id="2826" xr3:uid="{00000000-0010-0000-0300-00000A0B0000}" name="Wallington"/>
    <tableColumn id="2827" xr3:uid="{00000000-0010-0000-0300-00000B0B0000}" name="Wallup"/>
    <tableColumn id="2828" xr3:uid="{00000000-0010-0000-0300-00000C0B0000}" name="Walmer"/>
    <tableColumn id="2829" xr3:uid="{00000000-0010-0000-0300-00000D0B0000}" name="Walpa"/>
    <tableColumn id="2830" xr3:uid="{00000000-0010-0000-0300-00000E0B0000}" name="Walpeup"/>
    <tableColumn id="2831" xr3:uid="{00000000-0010-0000-0300-00000F0B0000}" name="Walwa"/>
    <tableColumn id="2832" xr3:uid="{00000000-0010-0000-0300-0000100B0000}" name="Wanalta"/>
    <tableColumn id="2833" xr3:uid="{00000000-0010-0000-0300-0000110B0000}" name="Wandana Heights"/>
    <tableColumn id="2834" xr3:uid="{00000000-0010-0000-0300-0000120B0000}" name="Wandella"/>
    <tableColumn id="2835" xr3:uid="{00000000-0010-0000-0300-0000130B0000}" name="Wandiligong"/>
    <tableColumn id="2836" xr3:uid="{00000000-0010-0000-0300-0000140B0000}" name="Wandin East"/>
    <tableColumn id="2837" xr3:uid="{00000000-0010-0000-0300-0000150B0000}" name="Wandin North"/>
    <tableColumn id="2838" xr3:uid="{00000000-0010-0000-0300-0000160B0000}" name="Wando Bridge"/>
    <tableColumn id="2839" xr3:uid="{00000000-0010-0000-0300-0000170B0000}" name="Wando Vale"/>
    <tableColumn id="2840" xr3:uid="{00000000-0010-0000-0300-0000180B0000}" name="Wandong"/>
    <tableColumn id="2841" xr3:uid="{00000000-0010-0000-0300-0000190B0000}" name="Wandown"/>
    <tableColumn id="2842" xr3:uid="{00000000-0010-0000-0300-00001A0B0000}" name="Wangandary"/>
    <tableColumn id="2843" xr3:uid="{00000000-0010-0000-0300-00001B0B0000}" name="Wangarabell"/>
    <tableColumn id="2844" xr3:uid="{00000000-0010-0000-0300-00001C0B0000}" name="Wangaratta"/>
    <tableColumn id="2845" xr3:uid="{00000000-0010-0000-0300-00001D0B0000}" name="Wangaratta Forward"/>
    <tableColumn id="2846" xr3:uid="{00000000-0010-0000-0300-00001E0B0000}" name="Wangaratta South"/>
    <tableColumn id="2847" xr3:uid="{00000000-0010-0000-0300-00001F0B0000}" name="Wangie"/>
    <tableColumn id="2848" xr3:uid="{00000000-0010-0000-0300-0000200B0000}" name="Wangoom"/>
    <tableColumn id="2849" xr3:uid="{00000000-0010-0000-0300-0000210B0000}" name="Wannon"/>
    <tableColumn id="2850" xr3:uid="{00000000-0010-0000-0300-0000220B0000}" name="Wantirna"/>
    <tableColumn id="2851" xr3:uid="{00000000-0010-0000-0300-0000230B0000}" name="Wantirna South"/>
    <tableColumn id="2852" xr3:uid="{00000000-0010-0000-0300-0000240B0000}" name="Waranga"/>
    <tableColumn id="2853" xr3:uid="{00000000-0010-0000-0300-0000250B0000}" name="Waranga Shores"/>
    <tableColumn id="2854" xr3:uid="{00000000-0010-0000-0300-0000260B0000}" name="Waratah Bay"/>
    <tableColumn id="2855" xr3:uid="{00000000-0010-0000-0300-0000270B0000}" name="Warburton"/>
    <tableColumn id="2856" xr3:uid="{00000000-0010-0000-0300-0000280B0000}" name="Wareek"/>
    <tableColumn id="2857" xr3:uid="{00000000-0010-0000-0300-0000290B0000}" name="Wargan"/>
    <tableColumn id="2858" xr3:uid="{00000000-0010-0000-0300-00002A0B0000}" name="Warmur"/>
    <tableColumn id="2859" xr3:uid="{00000000-0010-0000-0300-00002B0B0000}" name="Warncoort"/>
    <tableColumn id="2860" xr3:uid="{00000000-0010-0000-0300-00002C0B0000}" name="Warne"/>
    <tableColumn id="2861" xr3:uid="{00000000-0010-0000-0300-00002D0B0000}" name="Warneet"/>
    <tableColumn id="2862" xr3:uid="{00000000-0010-0000-0300-00002E0B0000}" name="Warrabkook"/>
    <tableColumn id="2863" xr3:uid="{00000000-0010-0000-0300-00002F0B0000}" name="Warracknabeal"/>
    <tableColumn id="2864" xr3:uid="{00000000-0010-0000-0300-0000300B0000}" name="Warragul"/>
    <tableColumn id="2865" xr3:uid="{00000000-0010-0000-0300-0000310B0000}" name="Warragul South"/>
    <tableColumn id="2866" xr3:uid="{00000000-0010-0000-0300-0000320B0000}" name="Warragul West"/>
    <tableColumn id="2867" xr3:uid="{00000000-0010-0000-0300-0000330B0000}" name="Warrak"/>
    <tableColumn id="2868" xr3:uid="{00000000-0010-0000-0300-0000340B0000}" name="Warrandyte"/>
    <tableColumn id="2869" xr3:uid="{00000000-0010-0000-0300-0000350B0000}" name="Warrandyte South"/>
    <tableColumn id="2870" xr3:uid="{00000000-0010-0000-0300-0000360B0000}" name="Warranwood"/>
    <tableColumn id="2871" xr3:uid="{00000000-0010-0000-0300-0000370B0000}" name="Warrayure"/>
    <tableColumn id="2872" xr3:uid="{00000000-0010-0000-0300-0000380B0000}" name="Warrenbayne"/>
    <tableColumn id="2873" xr3:uid="{00000000-0010-0000-0300-0000390B0000}" name="Warrenheip"/>
    <tableColumn id="2874" xr3:uid="{00000000-0010-0000-0300-00003A0B0000}" name="Warrenmang"/>
    <tableColumn id="2875" xr3:uid="{00000000-0010-0000-0300-00003B0B0000}" name="Warrion"/>
    <tableColumn id="2876" xr3:uid="{00000000-0010-0000-0300-00003C0B0000}" name="Warrnambool"/>
    <tableColumn id="2877" xr3:uid="{00000000-0010-0000-0300-00003D0B0000}" name="Warrock"/>
    <tableColumn id="2878" xr3:uid="{00000000-0010-0000-0300-00003E0B0000}" name="Warrong"/>
    <tableColumn id="2879" xr3:uid="{00000000-0010-0000-0300-00003F0B0000}" name="Wartook"/>
    <tableColumn id="2880" xr3:uid="{00000000-0010-0000-0300-0000400B0000}" name="Watchem"/>
    <tableColumn id="2881" xr3:uid="{00000000-0010-0000-0300-0000410B0000}" name="Watchem West"/>
    <tableColumn id="2882" xr3:uid="{00000000-0010-0000-0300-0000420B0000}" name="Watchupga"/>
    <tableColumn id="2883" xr3:uid="{00000000-0010-0000-0300-0000430B0000}" name="Waterford"/>
    <tableColumn id="2884" xr3:uid="{00000000-0010-0000-0300-0000440B0000}" name="Waterford Park"/>
    <tableColumn id="2885" xr3:uid="{00000000-0010-0000-0300-0000450B0000}" name="Watergardens"/>
    <tableColumn id="2886" xr3:uid="{00000000-0010-0000-0300-0000460B0000}" name="Waterholes"/>
    <tableColumn id="2887" xr3:uid="{00000000-0010-0000-0300-0000470B0000}" name="Waterloo"/>
    <tableColumn id="2888" xr3:uid="{00000000-0010-0000-0300-0000480B0000}" name="Waterways"/>
    <tableColumn id="2889" xr3:uid="{00000000-0010-0000-0300-0000490B0000}" name="Watsonia"/>
    <tableColumn id="2890" xr3:uid="{00000000-0010-0000-0300-00004A0B0000}" name="Watsonia North"/>
    <tableColumn id="2891" xr3:uid="{00000000-0010-0000-0300-00004B0B0000}" name="Watsons Creek"/>
    <tableColumn id="2892" xr3:uid="{00000000-0010-0000-0300-00004C0B0000}" name="Wattle Bank"/>
    <tableColumn id="2893" xr3:uid="{00000000-0010-0000-0300-00004D0B0000}" name="Wattle Creek"/>
    <tableColumn id="2894" xr3:uid="{00000000-0010-0000-0300-00004E0B0000}" name="Wattle Flat"/>
    <tableColumn id="2895" xr3:uid="{00000000-0010-0000-0300-00004F0B0000}" name="Wattle Glen"/>
    <tableColumn id="2896" xr3:uid="{00000000-0010-0000-0300-0000500B0000}" name="Wattle Hill"/>
    <tableColumn id="2897" xr3:uid="{00000000-0010-0000-0300-0000510B0000}" name="Wattle Park"/>
    <tableColumn id="2898" xr3:uid="{00000000-0010-0000-0300-0000520B0000}" name="Wattletree Road Po"/>
    <tableColumn id="2899" xr3:uid="{00000000-0010-0000-0300-0000530B0000}" name="Waubra"/>
    <tableColumn id="2900" xr3:uid="{00000000-0010-0000-0300-0000540B0000}" name="Waurn Ponds"/>
    <tableColumn id="2901" xr3:uid="{00000000-0010-0000-0300-0000550B0000}" name="Waverley Gardens"/>
    <tableColumn id="2902" xr3:uid="{00000000-0010-0000-0300-0000560B0000}" name="Waygara"/>
    <tableColumn id="2903" xr3:uid="{00000000-0010-0000-0300-0000570B0000}" name="Weatherboard"/>
    <tableColumn id="2904" xr3:uid="{00000000-0010-0000-0300-0000580B0000}" name="Wedderburn"/>
    <tableColumn id="2905" xr3:uid="{00000000-0010-0000-0300-0000590B0000}" name="Wedderburn Junction"/>
    <tableColumn id="2906" xr3:uid="{00000000-0010-0000-0300-00005A0B0000}" name="Wee Wee Rup"/>
    <tableColumn id="2907" xr3:uid="{00000000-0010-0000-0300-00005B0B0000}" name="Weeaproinah"/>
    <tableColumn id="2908" xr3:uid="{00000000-0010-0000-0300-00005C0B0000}" name="Weering"/>
    <tableColumn id="2909" xr3:uid="{00000000-0010-0000-0300-00005D0B0000}" name="Weerite"/>
    <tableColumn id="2910" xr3:uid="{00000000-0010-0000-0300-00005E0B0000}" name="Wehla"/>
    <tableColumn id="2911" xr3:uid="{00000000-0010-0000-0300-00005F0B0000}" name="Wellsford"/>
    <tableColumn id="2912" xr3:uid="{00000000-0010-0000-0300-0000600B0000}" name="Welshmans Reef"/>
    <tableColumn id="2913" xr3:uid="{00000000-0010-0000-0300-0000610B0000}" name="Welshpool"/>
    <tableColumn id="2914" xr3:uid="{00000000-0010-0000-0300-0000620B0000}" name="Wemen"/>
    <tableColumn id="2915" xr3:uid="{00000000-0010-0000-0300-0000630B0000}" name="Wendouree"/>
    <tableColumn id="2916" xr3:uid="{00000000-0010-0000-0300-0000640B0000}" name="Wendouree Village"/>
    <tableColumn id="2917" xr3:uid="{00000000-0010-0000-0300-0000650B0000}" name="Wensleydale"/>
    <tableColumn id="2918" xr3:uid="{00000000-0010-0000-0300-0000660B0000}" name="Wentworth"/>
    <tableColumn id="2919" xr3:uid="{00000000-0010-0000-0300-0000670B0000}" name="Were Street Po"/>
    <tableColumn id="2920" xr3:uid="{00000000-0010-0000-0300-0000680B0000}" name="Werneth"/>
    <tableColumn id="2921" xr3:uid="{00000000-0010-0000-0300-0000690B0000}" name="Werona"/>
    <tableColumn id="2922" xr3:uid="{00000000-0010-0000-0300-00006A0B0000}" name="Werribee"/>
    <tableColumn id="2923" xr3:uid="{00000000-0010-0000-0300-00006B0B0000}" name="Werribee South"/>
    <tableColumn id="2924" xr3:uid="{00000000-0010-0000-0300-00006C0B0000}" name="Werrimull"/>
    <tableColumn id="2925" xr3:uid="{00000000-0010-0000-0300-00006D0B0000}" name="Wesburn"/>
    <tableColumn id="2926" xr3:uid="{00000000-0010-0000-0300-00006E0B0000}" name="West Bendigo"/>
    <tableColumn id="2927" xr3:uid="{00000000-0010-0000-0300-00006F0B0000}" name="West Creek"/>
    <tableColumn id="2928" xr3:uid="{00000000-0010-0000-0300-0000700B0000}" name="West Footscray"/>
    <tableColumn id="2929" xr3:uid="{00000000-0010-0000-0300-0000710B0000}" name="West Melbourne"/>
    <tableColumn id="2930" xr3:uid="{00000000-0010-0000-0300-0000720B0000}" name="West Wodonga"/>
    <tableColumn id="2931" xr3:uid="{00000000-0010-0000-0300-0000730B0000}" name="Westbury"/>
    <tableColumn id="2932" xr3:uid="{00000000-0010-0000-0300-0000740B0000}" name="Westby"/>
    <tableColumn id="2933" xr3:uid="{00000000-0010-0000-0300-0000750B0000}" name="Westmeadows"/>
    <tableColumn id="2934" xr3:uid="{00000000-0010-0000-0300-0000760B0000}" name="Westmere"/>
    <tableColumn id="2935" xr3:uid="{00000000-0010-0000-0300-0000770B0000}" name="Whanregarwen"/>
    <tableColumn id="2936" xr3:uid="{00000000-0010-0000-0300-0000780B0000}" name="Wharparilla"/>
    <tableColumn id="2937" xr3:uid="{00000000-0010-0000-0300-0000790B0000}" name="Wheatsheaf"/>
    <tableColumn id="2938" xr3:uid="{00000000-0010-0000-0300-00007A0B0000}" name="Wheelers Hill"/>
    <tableColumn id="2939" xr3:uid="{00000000-0010-0000-0300-00007B0B0000}" name="Whipstick"/>
    <tableColumn id="2940" xr3:uid="{00000000-0010-0000-0300-00007C0B0000}" name="Whirily"/>
    <tableColumn id="2941" xr3:uid="{00000000-0010-0000-0300-00007D0B0000}" name="White Hills"/>
    <tableColumn id="2942" xr3:uid="{00000000-0010-0000-0300-00007E0B0000}" name="Whiteheads Creek"/>
    <tableColumn id="2943" xr3:uid="{00000000-0010-0000-0300-00007F0B0000}" name="Whitelaw"/>
    <tableColumn id="2944" xr3:uid="{00000000-0010-0000-0300-0000800B0000}" name="Whitfield"/>
    <tableColumn id="2945" xr3:uid="{00000000-0010-0000-0300-0000810B0000}" name="Whitlands"/>
    <tableColumn id="2946" xr3:uid="{00000000-0010-0000-0300-0000820B0000}" name="Whittington"/>
    <tableColumn id="2947" xr3:uid="{00000000-0010-0000-0300-0000830B0000}" name="Whittlesea"/>
    <tableColumn id="2948" xr3:uid="{00000000-0010-0000-0300-0000840B0000}" name="Whoorel"/>
    <tableColumn id="2949" xr3:uid="{00000000-0010-0000-0300-0000850B0000}" name="Whorouly"/>
    <tableColumn id="2950" xr3:uid="{00000000-0010-0000-0300-0000860B0000}" name="Whorouly East"/>
    <tableColumn id="2951" xr3:uid="{00000000-0010-0000-0300-0000870B0000}" name="Whorouly South"/>
    <tableColumn id="2952" xr3:uid="{00000000-0010-0000-0300-0000880B0000}" name="Whroo"/>
    <tableColumn id="2953" xr3:uid="{00000000-0010-0000-0300-0000890B0000}" name="Wickliffe"/>
    <tableColumn id="2954" xr3:uid="{00000000-0010-0000-0300-00008A0B0000}" name="Wilby"/>
    <tableColumn id="2955" xr3:uid="{00000000-0010-0000-0300-00008B0B0000}" name="Wild Dog Valley"/>
    <tableColumn id="2956" xr3:uid="{00000000-0010-0000-0300-00008C0B0000}" name="Wildwood"/>
    <tableColumn id="2957" xr3:uid="{00000000-0010-0000-0300-00008D0B0000}" name="Wilkur"/>
    <tableColumn id="2958" xr3:uid="{00000000-0010-0000-0300-00008E0B0000}" name="Willangie"/>
    <tableColumn id="2959" xr3:uid="{00000000-0010-0000-0300-00008F0B0000}" name="Willatook"/>
    <tableColumn id="2960" xr3:uid="{00000000-0010-0000-0300-0000900B0000}" name="Willaura"/>
    <tableColumn id="2961" xr3:uid="{00000000-0010-0000-0300-0000910B0000}" name="Willaura North"/>
    <tableColumn id="2962" xr3:uid="{00000000-0010-0000-0300-0000920B0000}" name="Willenabrina"/>
    <tableColumn id="2963" xr3:uid="{00000000-0010-0000-0300-0000930B0000}" name="Williams Landing"/>
    <tableColumn id="2964" xr3:uid="{00000000-0010-0000-0300-0000940B0000}" name="Williamstown"/>
    <tableColumn id="2965" xr3:uid="{00000000-0010-0000-0300-0000950B0000}" name="Williamstown North"/>
    <tableColumn id="2966" xr3:uid="{00000000-0010-0000-0300-0000960B0000}" name="Willow Grove"/>
    <tableColumn id="2967" xr3:uid="{00000000-0010-0000-0300-0000970B0000}" name="Willowmavin"/>
    <tableColumn id="2968" xr3:uid="{00000000-0010-0000-0300-0000980B0000}" name="Willowvale"/>
    <tableColumn id="2969" xr3:uid="{00000000-0010-0000-0300-0000990B0000}" name="Willung"/>
    <tableColumn id="2970" xr3:uid="{00000000-0010-0000-0300-00009A0B0000}" name="Willung South"/>
    <tableColumn id="2971" xr3:uid="{00000000-0010-0000-0300-00009B0B0000}" name="Wilsons Hill"/>
    <tableColumn id="2972" xr3:uid="{00000000-0010-0000-0300-00009C0B0000}" name="Wilsons Promontory"/>
    <tableColumn id="2973" xr3:uid="{00000000-0010-0000-0300-00009D0B0000}" name="Wimbledon Heights"/>
    <tableColumn id="2974" xr3:uid="{00000000-0010-0000-0300-00009E0B0000}" name="Winchelsea"/>
    <tableColumn id="2975" xr3:uid="{00000000-0010-0000-0300-00009F0B0000}" name="Winchelsea South"/>
    <tableColumn id="2976" xr3:uid="{00000000-0010-0000-0300-0000A00B0000}" name="Windermere"/>
    <tableColumn id="2977" xr3:uid="{00000000-0010-0000-0300-0000A10B0000}" name="Windsor"/>
    <tableColumn id="2978" xr3:uid="{00000000-0010-0000-0300-0000A20B0000}" name="Wingan River"/>
    <tableColumn id="2979" xr3:uid="{00000000-0010-0000-0300-0000A30B0000}" name="Wingeel"/>
    <tableColumn id="2980" xr3:uid="{00000000-0010-0000-0300-0000A40B0000}" name="Winjallok"/>
    <tableColumn id="2981" xr3:uid="{00000000-0010-0000-0300-0000A50B0000}" name="Winlaton"/>
    <tableColumn id="2982" xr3:uid="{00000000-0010-0000-0300-0000A60B0000}" name="Winnambool"/>
    <tableColumn id="2983" xr3:uid="{00000000-0010-0000-0300-0000A70B0000}" name="Winnap"/>
    <tableColumn id="2984" xr3:uid="{00000000-0010-0000-0300-0000A80B0000}" name="Winnindoo"/>
    <tableColumn id="2985" xr3:uid="{00000000-0010-0000-0300-0000A90B0000}" name="Winslow"/>
    <tableColumn id="2986" xr3:uid="{00000000-0010-0000-0300-0000AA0B0000}" name="Winter Valley"/>
    <tableColumn id="2987" xr3:uid="{00000000-0010-0000-0300-0000AB0B0000}" name="Winton"/>
    <tableColumn id="2988" xr3:uid="{00000000-0010-0000-0300-0000AC0B0000}" name="Winton North"/>
    <tableColumn id="2989" xr3:uid="{00000000-0010-0000-0300-0000AD0B0000}" name="Wirrate"/>
    <tableColumn id="2990" xr3:uid="{00000000-0010-0000-0300-0000AE0B0000}" name="Wiseleigh"/>
    <tableColumn id="2991" xr3:uid="{00000000-0010-0000-0300-0000AF0B0000}" name="Wishart"/>
    <tableColumn id="2992" xr3:uid="{00000000-0010-0000-0300-0000B00B0000}" name="Wodonga"/>
    <tableColumn id="2993" xr3:uid="{00000000-0010-0000-0300-0000B10B0000}" name="Wodonga Forward"/>
    <tableColumn id="2994" xr3:uid="{00000000-0010-0000-0300-0000B20B0000}" name="Wodonga Plaza"/>
    <tableColumn id="2995" xr3:uid="{00000000-0010-0000-0300-0000B30B0000}" name="Wollert"/>
    <tableColumn id="2996" xr3:uid="{00000000-0010-0000-0300-0000B40B0000}" name="Wombat Creek"/>
    <tableColumn id="2997" xr3:uid="{00000000-0010-0000-0300-0000B50B0000}" name="Wombelano"/>
    <tableColumn id="2998" xr3:uid="{00000000-0010-0000-0300-0000B60B0000}" name="Won Wron"/>
    <tableColumn id="2999" xr3:uid="{00000000-0010-0000-0300-0000B70B0000}" name="Wonga"/>
    <tableColumn id="3000" xr3:uid="{00000000-0010-0000-0300-0000B80B0000}" name="Wonga Park"/>
    <tableColumn id="3001" xr3:uid="{00000000-0010-0000-0300-0000B90B0000}" name="Wongarra"/>
    <tableColumn id="3002" xr3:uid="{00000000-0010-0000-0300-0000BA0B0000}" name="Wongungarra"/>
    <tableColumn id="3003" xr3:uid="{00000000-0010-0000-0300-0000BB0B0000}" name="Wonnangatta"/>
    <tableColumn id="3004" xr3:uid="{00000000-0010-0000-0300-0000BC0B0000}" name="Wonthaggi"/>
    <tableColumn id="3005" xr3:uid="{00000000-0010-0000-0300-0000BD0B0000}" name="Wonwondah"/>
    <tableColumn id="3006" xr3:uid="{00000000-0010-0000-0300-0000BE0B0000}" name="Wonyip"/>
    <tableColumn id="3007" xr3:uid="{00000000-0010-0000-0300-0000BF0B0000}" name="Wood Wood"/>
    <tableColumn id="3008" xr3:uid="{00000000-0010-0000-0300-0000C00B0000}" name="Woodend"/>
    <tableColumn id="3009" xr3:uid="{00000000-0010-0000-0300-0000C10B0000}" name="Woodend North"/>
    <tableColumn id="3010" xr3:uid="{00000000-0010-0000-0300-0000C20B0000}" name="Woodfield"/>
    <tableColumn id="3011" xr3:uid="{00000000-0010-0000-0300-0000C30B0000}" name="Woodford"/>
    <tableColumn id="3012" xr3:uid="{00000000-0010-0000-0300-0000C40B0000}" name="Woodglen"/>
    <tableColumn id="3013" xr3:uid="{00000000-0010-0000-0300-0000C50B0000}" name="Woodhouse"/>
    <tableColumn id="3014" xr3:uid="{00000000-0010-0000-0300-0000C60B0000}" name="Woodleigh"/>
    <tableColumn id="3015" xr3:uid="{00000000-0010-0000-0300-0000C70B0000}" name="Woods Point"/>
    <tableColumn id="3016" xr3:uid="{00000000-0010-0000-0300-0000C80B0000}" name="Woodside"/>
    <tableColumn id="3017" xr3:uid="{00000000-0010-0000-0300-0000C90B0000}" name="Woodside Beach"/>
    <tableColumn id="3018" xr3:uid="{00000000-0010-0000-0300-0000CA0B0000}" name="Woodside North"/>
    <tableColumn id="3019" xr3:uid="{00000000-0010-0000-0300-0000CB0B0000}" name="Woodstock"/>
    <tableColumn id="3020" xr3:uid="{00000000-0010-0000-0300-0000CC0B0000}" name="Woodstock On Loddon"/>
    <tableColumn id="3021" xr3:uid="{00000000-0010-0000-0300-0000CD0B0000}" name="Woodstock West"/>
    <tableColumn id="3022" xr3:uid="{00000000-0010-0000-0300-0000CE0B0000}" name="Woodvale"/>
    <tableColumn id="3023" xr3:uid="{00000000-0010-0000-0300-0000CF0B0000}" name="Wool Wool"/>
    <tableColumn id="3024" xr3:uid="{00000000-0010-0000-0300-0000D00B0000}" name="Woolamai"/>
    <tableColumn id="3025" xr3:uid="{00000000-0010-0000-0300-0000D10B0000}" name="Woolenook"/>
    <tableColumn id="3026" xr3:uid="{00000000-0010-0000-0300-0000D20B0000}" name="Woolshed Flat"/>
    <tableColumn id="3027" xr3:uid="{00000000-0010-0000-0300-0000D30B0000}" name="Woolsthorpe"/>
    <tableColumn id="3028" xr3:uid="{00000000-0010-0000-0300-0000D40B0000}" name="Woomelang"/>
    <tableColumn id="3029" xr3:uid="{00000000-0010-0000-0300-0000D50B0000}" name="Wooragee"/>
    <tableColumn id="3030" xr3:uid="{00000000-0010-0000-0300-0000D60B0000}" name="Woorarra East"/>
    <tableColumn id="3031" xr3:uid="{00000000-0010-0000-0300-0000D70B0000}" name="Woorarra West"/>
    <tableColumn id="3032" xr3:uid="{00000000-0010-0000-0300-0000D80B0000}" name="Wooreen"/>
    <tableColumn id="3033" xr3:uid="{00000000-0010-0000-0300-0000D90B0000}" name="Woori Yallock"/>
    <tableColumn id="3034" xr3:uid="{00000000-0010-0000-0300-0000DA0B0000}" name="Woorinen"/>
    <tableColumn id="3035" xr3:uid="{00000000-0010-0000-0300-0000DB0B0000}" name="Woorinen North"/>
    <tableColumn id="3036" xr3:uid="{00000000-0010-0000-0300-0000DC0B0000}" name="Woorinen South"/>
    <tableColumn id="3037" xr3:uid="{00000000-0010-0000-0300-0000DD0B0000}" name="Woorndoo"/>
    <tableColumn id="3038" xr3:uid="{00000000-0010-0000-0300-0000DE0B0000}" name="Wooroonook"/>
    <tableColumn id="3039" xr3:uid="{00000000-0010-0000-0300-0000DF0B0000}" name="Woosang"/>
    <tableColumn id="3040" xr3:uid="{00000000-0010-0000-0300-0000E00B0000}" name="Wootong Vale"/>
    <tableColumn id="3041" xr3:uid="{00000000-0010-0000-0300-0000E10B0000}" name="Worrowing"/>
    <tableColumn id="3042" xr3:uid="{00000000-0010-0000-0300-0000E20B0000}" name="Wrathung"/>
    <tableColumn id="3043" xr3:uid="{00000000-0010-0000-0300-0000E30B0000}" name="Wrixon"/>
    <tableColumn id="3044" xr3:uid="{00000000-0010-0000-0300-0000E40B0000}" name="Wroxham"/>
    <tableColumn id="3045" xr3:uid="{00000000-0010-0000-0300-0000E50B0000}" name="Wuk Wuk"/>
    <tableColumn id="3046" xr3:uid="{00000000-0010-0000-0300-0000E60B0000}" name="Wulgulmerang"/>
    <tableColumn id="3047" xr3:uid="{00000000-0010-0000-0300-0000E70B0000}" name="Wulgulmerang East"/>
    <tableColumn id="3048" xr3:uid="{00000000-0010-0000-0300-0000E80B0000}" name="Wulgulmerang West"/>
    <tableColumn id="3049" xr3:uid="{00000000-0010-0000-0300-0000E90B0000}" name="Wunghnu"/>
    <tableColumn id="3050" xr3:uid="{00000000-0010-0000-0300-0000EA0B0000}" name="Wurdiboluc"/>
    <tableColumn id="3051" xr3:uid="{00000000-0010-0000-0300-0000EB0B0000}" name="Wurruk"/>
    <tableColumn id="3052" xr3:uid="{00000000-0010-0000-0300-0000EC0B0000}" name="Wy Yung"/>
    <tableColumn id="3053" xr3:uid="{00000000-0010-0000-0300-0000ED0B0000}" name="Wycheproof"/>
    <tableColumn id="3054" xr3:uid="{00000000-0010-0000-0300-0000EE0B0000}" name="Wycheproof South"/>
    <tableColumn id="3055" xr3:uid="{00000000-0010-0000-0300-0000EF0B0000}" name="Wychitella"/>
    <tableColumn id="3056" xr3:uid="{00000000-0010-0000-0300-0000F00B0000}" name="Wychitella North"/>
    <tableColumn id="3057" xr3:uid="{00000000-0010-0000-0300-0000F10B0000}" name="Wye River"/>
    <tableColumn id="3058" xr3:uid="{00000000-0010-0000-0300-0000F20B0000}" name="Wyelangta"/>
    <tableColumn id="3059" xr3:uid="{00000000-0010-0000-0300-0000F30B0000}" name="Wyndham Vale"/>
    <tableColumn id="3060" xr3:uid="{00000000-0010-0000-0300-0000F40B0000}" name="Wyuna"/>
    <tableColumn id="3061" xr3:uid="{00000000-0010-0000-0300-0000F50B0000}" name="Wyuna East"/>
    <tableColumn id="3062" xr3:uid="{00000000-0010-0000-0300-0000F60B0000}" name="Yaapeet"/>
    <tableColumn id="3063" xr3:uid="{00000000-0010-0000-0300-0000F70B0000}" name="Yabba North"/>
    <tableColumn id="3064" xr3:uid="{00000000-0010-0000-0300-0000F80B0000}" name="Yabba South"/>
    <tableColumn id="3065" xr3:uid="{00000000-0010-0000-0300-0000F90B0000}" name="Yackandandah"/>
    <tableColumn id="3066" xr3:uid="{00000000-0010-0000-0300-0000FA0B0000}" name="Yalca"/>
    <tableColumn id="3067" xr3:uid="{00000000-0010-0000-0300-0000FB0B0000}" name="Yalla Y Poora"/>
    <tableColumn id="3068" xr3:uid="{00000000-0010-0000-0300-0000FC0B0000}" name="Yallambie"/>
    <tableColumn id="3069" xr3:uid="{00000000-0010-0000-0300-0000FD0B0000}" name="Yallourn"/>
    <tableColumn id="3070" xr3:uid="{00000000-0010-0000-0300-0000FE0B0000}" name="Yallourn North"/>
    <tableColumn id="3071" xr3:uid="{00000000-0010-0000-0300-0000FF0B0000}" name="Yalmy"/>
    <tableColumn id="3072" xr3:uid="{00000000-0010-0000-0300-0000000C0000}" name="Yambuk"/>
    <tableColumn id="3073" xr3:uid="{00000000-0010-0000-0300-0000010C0000}" name="Yambuna"/>
    <tableColumn id="3074" xr3:uid="{00000000-0010-0000-0300-0000020C0000}" name="Yan Yean"/>
    <tableColumn id="3075" xr3:uid="{00000000-0010-0000-0300-0000030C0000}" name="Yanac"/>
    <tableColumn id="3076" xr3:uid="{00000000-0010-0000-0300-0000040C0000}" name="Yanakie"/>
    <tableColumn id="3077" xr3:uid="{00000000-0010-0000-0300-0000050C0000}" name="Yando"/>
    <tableColumn id="3078" xr3:uid="{00000000-0010-0000-0300-0000060C0000}" name="Yandoit"/>
    <tableColumn id="3079" xr3:uid="{00000000-0010-0000-0300-0000070C0000}" name="Yandoit Hills"/>
    <tableColumn id="3080" xr3:uid="{00000000-0010-0000-0300-0000080C0000}" name="Yangery"/>
    <tableColumn id="3081" xr3:uid="{00000000-0010-0000-0300-0000090C0000}" name="Yangoura"/>
    <tableColumn id="3082" xr3:uid="{00000000-0010-0000-0300-00000A0C0000}" name="Yannathan"/>
    <tableColumn id="3083" xr3:uid="{00000000-0010-0000-0300-00000B0C0000}" name="Yapeen"/>
    <tableColumn id="3084" xr3:uid="{00000000-0010-0000-0300-00000C0C0000}" name="Yarck"/>
    <tableColumn id="3085" xr3:uid="{00000000-0010-0000-0300-00000D0C0000}" name="Yarpturk"/>
    <tableColumn id="3086" xr3:uid="{00000000-0010-0000-0300-00000E0C0000}" name="Yarra Glen"/>
    <tableColumn id="3087" xr3:uid="{00000000-0010-0000-0300-00000F0C0000}" name="Yarra Junction"/>
    <tableColumn id="3088" xr3:uid="{00000000-0010-0000-0300-0000100C0000}" name="Yarraberb"/>
    <tableColumn id="3089" xr3:uid="{00000000-0010-0000-0300-0000110C0000}" name="Yarragon"/>
    <tableColumn id="3090" xr3:uid="{00000000-0010-0000-0300-0000120C0000}" name="Yarragon South"/>
    <tableColumn id="3091" xr3:uid="{00000000-0010-0000-0300-0000130C0000}" name="Yarram"/>
    <tableColumn id="3092" xr3:uid="{00000000-0010-0000-0300-0000140C0000}" name="Yarrambat"/>
    <tableColumn id="3093" xr3:uid="{00000000-0010-0000-0300-0000150C0000}" name="Yarraville"/>
    <tableColumn id="3094" xr3:uid="{00000000-0010-0000-0300-0000160C0000}" name="Yarraville West"/>
    <tableColumn id="3095" xr3:uid="{00000000-0010-0000-0300-0000170C0000}" name="Yarrawalla"/>
    <tableColumn id="3096" xr3:uid="{00000000-0010-0000-0300-0000180C0000}" name="Yarrawonga"/>
    <tableColumn id="3097" xr3:uid="{00000000-0010-0000-0300-0000190C0000}" name="Yarrawonga South"/>
    <tableColumn id="3098" xr3:uid="{00000000-0010-0000-0300-00001A0C0000}" name="Yarroweyah"/>
    <tableColumn id="3099" xr3:uid="{00000000-0010-0000-0300-00001B0C0000}" name="Yarrunga"/>
    <tableColumn id="3100" xr3:uid="{00000000-0010-0000-0300-00001C0C0000}" name="Yatchaw"/>
    <tableColumn id="3101" xr3:uid="{00000000-0010-0000-0300-00001D0C0000}" name="Yawong Hills"/>
    <tableColumn id="3102" xr3:uid="{00000000-0010-0000-0300-00001E0C0000}" name="Yea"/>
    <tableColumn id="3103" xr3:uid="{00000000-0010-0000-0300-00001F0C0000}" name="Yellingbo"/>
    <tableColumn id="3104" xr3:uid="{00000000-0010-0000-0300-0000200C0000}" name="Yelta"/>
    <tableColumn id="3105" xr3:uid="{00000000-0010-0000-0300-0000210C0000}" name="Yendon"/>
    <tableColumn id="3106" xr3:uid="{00000000-0010-0000-0300-0000220C0000}" name="Yeo"/>
    <tableColumn id="3107" xr3:uid="{00000000-0010-0000-0300-0000230C0000}" name="Yeodene"/>
    <tableColumn id="3108" xr3:uid="{00000000-0010-0000-0300-0000240C0000}" name="Yering"/>
    <tableColumn id="3109" xr3:uid="{00000000-0010-0000-0300-0000250C0000}" name="Yeungroon"/>
    <tableColumn id="3110" xr3:uid="{00000000-0010-0000-0300-0000260C0000}" name="Yeungroon East"/>
    <tableColumn id="3111" xr3:uid="{00000000-0010-0000-0300-0000270C0000}" name="Yielima"/>
    <tableColumn id="3112" xr3:uid="{00000000-0010-0000-0300-0000280C0000}" name="Yinnar"/>
    <tableColumn id="3113" xr3:uid="{00000000-0010-0000-0300-0000290C0000}" name="Yinnar South"/>
    <tableColumn id="3114" xr3:uid="{00000000-0010-0000-0300-00002A0C0000}" name="York Plains"/>
    <tableColumn id="3115" xr3:uid="{00000000-0010-0000-0300-00002B0C0000}" name="Youanmite"/>
    <tableColumn id="3116" xr3:uid="{00000000-0010-0000-0300-00002C0C0000}" name="Youarang"/>
    <tableColumn id="3117" xr3:uid="{00000000-0010-0000-0300-00002D0C0000}" name="Yulecart"/>
    <tableColumn id="3118" xr3:uid="{00000000-0010-0000-0300-00002E0C0000}" name="Yundool"/>
    <tableColumn id="3119" xr3:uid="{00000000-0010-0000-0300-00002F0C0000}" name="Yuroke"/>
    <tableColumn id="3120" xr3:uid="{00000000-0010-0000-0300-0000300C0000}" name="Yuulong"/>
    <tableColumn id="3121" xr3:uid="{00000000-0010-0000-0300-0000310C0000}" name="Zeerust"/>
    <tableColumn id="3122" xr3:uid="{00000000-0010-0000-0300-0000320C0000}" name="Zumstei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0070C0"/>
  </sheetPr>
  <dimension ref="B1:D26"/>
  <sheetViews>
    <sheetView showGridLines="0" zoomScaleNormal="100" workbookViewId="0"/>
  </sheetViews>
  <sheetFormatPr defaultRowHeight="14.25" x14ac:dyDescent="0.45"/>
  <cols>
    <col min="1" max="1" width="6.3984375" customWidth="1"/>
    <col min="2" max="2" width="14.86328125" customWidth="1"/>
    <col min="3" max="3" width="35.1328125" bestFit="1" customWidth="1"/>
  </cols>
  <sheetData>
    <row r="1" spans="2:4" ht="54.95" customHeight="1" x14ac:dyDescent="1.35">
      <c r="D1" s="5" t="s">
        <v>689</v>
      </c>
    </row>
    <row r="2" spans="2:4" ht="54.95" customHeight="1" x14ac:dyDescent="0.45">
      <c r="D2" s="6" t="str">
        <f>_xlfn.CONCAT('DATA ENTRY'!C1:E2)</f>
        <v>2021 BUILDING ASBESTOS REGISTER</v>
      </c>
    </row>
    <row r="3" spans="2:4" s="4" customFormat="1" ht="18" customHeight="1" x14ac:dyDescent="0.45">
      <c r="B3" s="17" t="s">
        <v>775</v>
      </c>
    </row>
    <row r="4" spans="2:4" s="4" customFormat="1" ht="18" customHeight="1" x14ac:dyDescent="0.45">
      <c r="B4" s="4" t="s">
        <v>776</v>
      </c>
    </row>
    <row r="5" spans="2:4" s="4" customFormat="1" ht="18" customHeight="1" x14ac:dyDescent="0.45">
      <c r="B5" s="4" t="s">
        <v>777</v>
      </c>
    </row>
    <row r="6" spans="2:4" s="4" customFormat="1" ht="18" customHeight="1" x14ac:dyDescent="0.45">
      <c r="B6" s="4" t="s">
        <v>778</v>
      </c>
    </row>
    <row r="7" spans="2:4" s="4" customFormat="1" ht="18" customHeight="1" x14ac:dyDescent="0.45"/>
    <row r="8" spans="2:4" s="4" customFormat="1" ht="18" customHeight="1" x14ac:dyDescent="0.45">
      <c r="B8" s="17" t="s">
        <v>779</v>
      </c>
    </row>
    <row r="9" spans="2:4" s="4" customFormat="1" ht="18" customHeight="1" x14ac:dyDescent="0.45">
      <c r="B9" s="4" t="s">
        <v>780</v>
      </c>
    </row>
    <row r="10" spans="2:4" s="4" customFormat="1" ht="18" customHeight="1" x14ac:dyDescent="0.45">
      <c r="B10" s="4" t="s">
        <v>781</v>
      </c>
    </row>
    <row r="11" spans="2:4" s="4" customFormat="1" ht="18" customHeight="1" x14ac:dyDescent="0.45">
      <c r="B11" s="4" t="s">
        <v>782</v>
      </c>
    </row>
    <row r="12" spans="2:4" s="4" customFormat="1" ht="18" customHeight="1" x14ac:dyDescent="0.45">
      <c r="B12" s="4" t="s">
        <v>783</v>
      </c>
    </row>
    <row r="13" spans="2:4" s="4" customFormat="1" ht="18" customHeight="1" x14ac:dyDescent="0.45">
      <c r="B13" s="4" t="s">
        <v>784</v>
      </c>
    </row>
    <row r="14" spans="2:4" ht="18" customHeight="1" x14ac:dyDescent="0.55000000000000004">
      <c r="B14" s="16"/>
    </row>
    <row r="15" spans="2:4" ht="18" customHeight="1" x14ac:dyDescent="0.55000000000000004">
      <c r="B15" s="18" t="s">
        <v>785</v>
      </c>
    </row>
    <row r="16" spans="2:4" ht="18" customHeight="1" x14ac:dyDescent="0.55000000000000004">
      <c r="B16" s="16" t="s">
        <v>786</v>
      </c>
    </row>
    <row r="17" spans="2:2" ht="18" customHeight="1" x14ac:dyDescent="0.55000000000000004">
      <c r="B17" s="16" t="s">
        <v>787</v>
      </c>
    </row>
    <row r="18" spans="2:2" ht="18" customHeight="1" x14ac:dyDescent="0.55000000000000004">
      <c r="B18" s="16" t="s">
        <v>788</v>
      </c>
    </row>
    <row r="19" spans="2:2" ht="18" customHeight="1" x14ac:dyDescent="0.55000000000000004">
      <c r="B19" s="16" t="s">
        <v>789</v>
      </c>
    </row>
    <row r="20" spans="2:2" ht="18" customHeight="1" x14ac:dyDescent="0.55000000000000004">
      <c r="B20" s="16" t="s">
        <v>790</v>
      </c>
    </row>
    <row r="21" spans="2:2" ht="18" customHeight="1" x14ac:dyDescent="0.55000000000000004">
      <c r="B21" s="16" t="s">
        <v>791</v>
      </c>
    </row>
    <row r="22" spans="2:2" ht="18" customHeight="1" x14ac:dyDescent="0.55000000000000004">
      <c r="B22" s="16" t="s">
        <v>792</v>
      </c>
    </row>
    <row r="23" spans="2:2" ht="18" customHeight="1" x14ac:dyDescent="0.55000000000000004">
      <c r="B23" s="16"/>
    </row>
    <row r="24" spans="2:2" ht="18" customHeight="1" x14ac:dyDescent="0.55000000000000004">
      <c r="B24" s="18" t="s">
        <v>793</v>
      </c>
    </row>
    <row r="25" spans="2:2" ht="18" customHeight="1" x14ac:dyDescent="0.55000000000000004">
      <c r="B25" s="16" t="s">
        <v>794</v>
      </c>
    </row>
    <row r="26" spans="2:2" ht="18" customHeight="1" x14ac:dyDescent="0.55000000000000004">
      <c r="B26" s="16" t="s">
        <v>795</v>
      </c>
    </row>
  </sheetData>
  <sheetProtection sheet="1" objects="1" scenarios="1" selectLockedCells="1" selectUnlockedCell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6"/>
  <sheetViews>
    <sheetView workbookViewId="0">
      <selection activeCell="B17" sqref="B17"/>
    </sheetView>
  </sheetViews>
  <sheetFormatPr defaultRowHeight="14.25" x14ac:dyDescent="0.45"/>
  <cols>
    <col min="1" max="1" width="17.3984375" customWidth="1"/>
    <col min="2" max="2" width="10.86328125" customWidth="1"/>
  </cols>
  <sheetData>
    <row r="1" spans="1:2" x14ac:dyDescent="0.45">
      <c r="A1" t="s">
        <v>5246</v>
      </c>
      <c r="B1" t="s">
        <v>5247</v>
      </c>
    </row>
    <row r="2" spans="1:2" x14ac:dyDescent="0.45">
      <c r="A2" t="s">
        <v>6553</v>
      </c>
      <c r="B2" t="s">
        <v>6556</v>
      </c>
    </row>
    <row r="3" spans="1:2" x14ac:dyDescent="0.45">
      <c r="A3" t="s">
        <v>6561</v>
      </c>
      <c r="B3" t="s">
        <v>6557</v>
      </c>
    </row>
    <row r="4" spans="1:2" x14ac:dyDescent="0.45">
      <c r="A4" t="s">
        <v>6554</v>
      </c>
      <c r="B4" t="s">
        <v>6558</v>
      </c>
    </row>
    <row r="5" spans="1:2" x14ac:dyDescent="0.45">
      <c r="A5" t="s">
        <v>6555</v>
      </c>
      <c r="B5" t="s">
        <v>6559</v>
      </c>
    </row>
    <row r="6" spans="1:2" x14ac:dyDescent="0.45">
      <c r="B6" t="s">
        <v>6560</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C000"/>
  </sheetPr>
  <dimension ref="A1:AU536"/>
  <sheetViews>
    <sheetView tabSelected="1" zoomScale="90" zoomScaleNormal="90" workbookViewId="0">
      <selection activeCell="A4" sqref="A4"/>
    </sheetView>
  </sheetViews>
  <sheetFormatPr defaultColWidth="9.1328125" defaultRowHeight="14.25" x14ac:dyDescent="0.45"/>
  <cols>
    <col min="1" max="1" width="13.86328125" style="11" customWidth="1"/>
    <col min="2" max="2" width="37" style="11" customWidth="1"/>
    <col min="3" max="4" width="33.86328125" style="11" customWidth="1"/>
    <col min="5" max="5" width="48" style="11" bestFit="1" customWidth="1"/>
    <col min="6" max="6" width="31.1328125" style="11" customWidth="1"/>
    <col min="7" max="7" width="28" style="11" customWidth="1"/>
    <col min="8" max="8" width="17.86328125" style="11" customWidth="1"/>
    <col min="9" max="9" width="14" style="11" customWidth="1"/>
    <col min="10" max="10" width="16.59765625" style="11" customWidth="1"/>
    <col min="11" max="11" width="20.1328125" style="11" customWidth="1"/>
    <col min="12" max="15" width="17.86328125" style="11" customWidth="1"/>
    <col min="16" max="16" width="17.86328125" style="27" customWidth="1"/>
    <col min="17" max="24" width="17.86328125" style="11" customWidth="1"/>
    <col min="25" max="25" width="19.1328125" style="11" bestFit="1" customWidth="1"/>
    <col min="26" max="26" width="19.1328125" style="11" hidden="1" customWidth="1"/>
    <col min="27" max="27" width="20.3984375" style="11" bestFit="1" customWidth="1"/>
    <col min="28" max="28" width="27.59765625" style="11" hidden="1" customWidth="1"/>
    <col min="29" max="29" width="60.86328125" style="11" customWidth="1"/>
    <col min="30" max="30" width="28.3984375" style="11" customWidth="1"/>
    <col min="31" max="34" width="20.86328125" style="11" customWidth="1"/>
    <col min="35" max="35" width="13.3984375" style="11" customWidth="1"/>
    <col min="36" max="37" width="16.86328125" style="11" customWidth="1"/>
    <col min="38" max="38" width="50.73046875" style="11" customWidth="1"/>
    <col min="39" max="39" width="85.59765625" style="2" customWidth="1"/>
    <col min="40" max="40" width="21.59765625" style="2" customWidth="1"/>
    <col min="41" max="46" width="17.86328125" style="3" customWidth="1"/>
    <col min="47" max="47" width="27.86328125" style="22" customWidth="1"/>
    <col min="48" max="53" width="17.86328125" style="3" customWidth="1"/>
    <col min="54" max="16384" width="9.1328125" style="3"/>
  </cols>
  <sheetData>
    <row r="1" spans="1:47" s="7" customFormat="1" ht="76.5" customHeight="1" x14ac:dyDescent="0.45">
      <c r="A1" s="104"/>
      <c r="B1" s="104"/>
      <c r="C1" s="105" t="s">
        <v>5735</v>
      </c>
      <c r="D1" s="105"/>
      <c r="E1" s="105"/>
      <c r="F1" s="21"/>
      <c r="G1" s="19"/>
      <c r="H1" s="20"/>
      <c r="I1" s="20"/>
      <c r="J1" s="20"/>
      <c r="K1" s="20"/>
      <c r="L1" s="20"/>
      <c r="M1" s="14"/>
      <c r="N1" s="14"/>
      <c r="O1" s="12"/>
      <c r="P1" s="24"/>
      <c r="Q1" s="12"/>
      <c r="R1" s="12"/>
      <c r="S1" s="12"/>
      <c r="T1" s="12"/>
      <c r="U1" s="12"/>
      <c r="V1" s="12"/>
      <c r="W1" s="12"/>
      <c r="X1" s="12"/>
      <c r="Y1" s="12"/>
      <c r="Z1" s="12"/>
      <c r="AA1" s="12"/>
      <c r="AB1" s="12"/>
      <c r="AC1" s="12"/>
      <c r="AD1" s="12"/>
      <c r="AE1" s="12"/>
      <c r="AF1" s="12"/>
      <c r="AG1" s="12"/>
      <c r="AH1" s="12"/>
      <c r="AI1" s="12"/>
      <c r="AJ1" s="12"/>
      <c r="AK1" s="12"/>
      <c r="AL1" s="12"/>
      <c r="AM1" s="12"/>
      <c r="AN1" s="12"/>
      <c r="AU1" s="100"/>
    </row>
    <row r="2" spans="1:47" s="2" customFormat="1" ht="15" customHeight="1" x14ac:dyDescent="0.45">
      <c r="A2" s="104"/>
      <c r="B2" s="104"/>
      <c r="C2" s="105"/>
      <c r="D2" s="105"/>
      <c r="E2" s="105"/>
      <c r="F2" s="21"/>
      <c r="G2" s="20"/>
      <c r="H2" s="20"/>
      <c r="I2" s="20"/>
      <c r="J2" s="20"/>
      <c r="K2" s="20"/>
      <c r="L2" s="20"/>
      <c r="M2" s="14"/>
      <c r="N2" s="14"/>
      <c r="O2" s="13"/>
      <c r="P2" s="25"/>
      <c r="Q2" s="13"/>
      <c r="R2" s="13"/>
      <c r="S2" s="13"/>
      <c r="T2" s="13"/>
      <c r="U2" s="13"/>
      <c r="V2" s="13"/>
      <c r="W2" s="13"/>
      <c r="X2" s="13"/>
      <c r="Y2" s="13"/>
      <c r="Z2" s="13"/>
      <c r="AA2" s="13"/>
      <c r="AB2" s="13"/>
      <c r="AC2" s="13"/>
      <c r="AD2" s="13"/>
      <c r="AE2" s="13"/>
      <c r="AF2" s="13"/>
      <c r="AG2" s="13"/>
      <c r="AH2" s="13"/>
      <c r="AI2" s="13"/>
      <c r="AJ2" s="13"/>
      <c r="AK2" s="13"/>
      <c r="AL2" s="13"/>
      <c r="AM2" s="13"/>
      <c r="AN2" s="13"/>
      <c r="AU2"/>
    </row>
    <row r="3" spans="1:47" s="8" customFormat="1" ht="52.35" customHeight="1" x14ac:dyDescent="0.45">
      <c r="A3" s="42" t="s">
        <v>108</v>
      </c>
      <c r="B3" s="42" t="s">
        <v>109</v>
      </c>
      <c r="C3" s="42" t="s">
        <v>4960</v>
      </c>
      <c r="D3" s="42" t="s">
        <v>687</v>
      </c>
      <c r="E3" s="42" t="s">
        <v>688</v>
      </c>
      <c r="F3" s="42" t="s">
        <v>111</v>
      </c>
      <c r="G3" s="42" t="s">
        <v>112</v>
      </c>
      <c r="H3" s="42" t="s">
        <v>113</v>
      </c>
      <c r="I3" s="42" t="s">
        <v>114</v>
      </c>
      <c r="J3" s="42" t="s">
        <v>680</v>
      </c>
      <c r="K3" s="42" t="s">
        <v>681</v>
      </c>
      <c r="L3" s="42" t="s">
        <v>644</v>
      </c>
      <c r="M3" s="42" t="s">
        <v>682</v>
      </c>
      <c r="N3" s="42" t="s">
        <v>5248</v>
      </c>
      <c r="O3" s="42" t="s">
        <v>901</v>
      </c>
      <c r="P3" s="43" t="s">
        <v>5244</v>
      </c>
      <c r="Q3" s="42" t="s">
        <v>5245</v>
      </c>
      <c r="R3" s="42" t="s">
        <v>5246</v>
      </c>
      <c r="S3" s="42" t="s">
        <v>5247</v>
      </c>
      <c r="T3" s="41" t="s">
        <v>115</v>
      </c>
      <c r="U3" s="41" t="s">
        <v>116</v>
      </c>
      <c r="V3" s="41" t="s">
        <v>728</v>
      </c>
      <c r="W3" s="41" t="s">
        <v>118</v>
      </c>
      <c r="X3" s="41" t="s">
        <v>9930</v>
      </c>
      <c r="Y3" s="41" t="s">
        <v>117</v>
      </c>
      <c r="Z3" s="31" t="s">
        <v>4964</v>
      </c>
      <c r="AA3" s="41" t="s">
        <v>1022</v>
      </c>
      <c r="AB3" s="31" t="s">
        <v>1074</v>
      </c>
      <c r="AC3" s="41" t="s">
        <v>1023</v>
      </c>
      <c r="AD3" s="41" t="s">
        <v>729</v>
      </c>
      <c r="AE3" s="41" t="s">
        <v>1024</v>
      </c>
      <c r="AF3" s="41" t="s">
        <v>730</v>
      </c>
      <c r="AG3" s="41" t="s">
        <v>119</v>
      </c>
      <c r="AH3" s="41" t="s">
        <v>5533</v>
      </c>
      <c r="AI3" s="41" t="s">
        <v>120</v>
      </c>
      <c r="AJ3" s="41" t="s">
        <v>4961</v>
      </c>
      <c r="AK3" s="41" t="s">
        <v>4962</v>
      </c>
      <c r="AL3" s="41" t="s">
        <v>10693</v>
      </c>
      <c r="AM3" s="41" t="s">
        <v>686</v>
      </c>
      <c r="AN3" s="41" t="s">
        <v>10675</v>
      </c>
      <c r="AO3" s="41" t="s">
        <v>5297</v>
      </c>
      <c r="AP3" s="41" t="s">
        <v>5298</v>
      </c>
      <c r="AQ3" s="41" t="s">
        <v>5299</v>
      </c>
      <c r="AR3" s="41" t="s">
        <v>5300</v>
      </c>
      <c r="AS3" s="41" t="s">
        <v>5301</v>
      </c>
      <c r="AT3" s="41" t="s">
        <v>10759</v>
      </c>
      <c r="AU3" s="101" t="s">
        <v>10760</v>
      </c>
    </row>
    <row r="4" spans="1:47" ht="26.85" customHeight="1" x14ac:dyDescent="0.55000000000000004">
      <c r="A4" s="15" t="s">
        <v>127</v>
      </c>
      <c r="B4" s="15" t="s">
        <v>240</v>
      </c>
      <c r="C4" s="15" t="s">
        <v>10880</v>
      </c>
      <c r="D4" s="98" t="s">
        <v>10854</v>
      </c>
      <c r="E4" s="95" t="s">
        <v>10764</v>
      </c>
      <c r="F4" s="15" t="s">
        <v>5191</v>
      </c>
      <c r="G4" s="95" t="s">
        <v>10765</v>
      </c>
      <c r="H4" s="15" t="s">
        <v>6582</v>
      </c>
      <c r="I4" s="15">
        <f>IF($H4&lt;&gt;"",(VLOOKUP(H4,'Other Lists'!O:P,2,FALSE)),"")</f>
        <v>3714</v>
      </c>
      <c r="J4" s="15" t="s">
        <v>684</v>
      </c>
      <c r="K4" s="15"/>
      <c r="L4" s="15" t="s">
        <v>645</v>
      </c>
      <c r="M4" s="15" t="s">
        <v>678</v>
      </c>
      <c r="N4" s="40">
        <v>44081</v>
      </c>
      <c r="O4" s="15">
        <v>1990</v>
      </c>
      <c r="P4" s="26">
        <v>800</v>
      </c>
      <c r="Q4" s="15">
        <v>1</v>
      </c>
      <c r="R4" s="15"/>
      <c r="S4" s="15" t="s">
        <v>6557</v>
      </c>
      <c r="T4" s="15" t="s">
        <v>652</v>
      </c>
      <c r="U4" s="15" t="s">
        <v>10235</v>
      </c>
      <c r="V4" s="95" t="s">
        <v>10791</v>
      </c>
      <c r="W4" s="95" t="s">
        <v>10766</v>
      </c>
      <c r="X4" s="15" t="s">
        <v>10766</v>
      </c>
      <c r="Y4" s="15" t="s">
        <v>657</v>
      </c>
      <c r="Z4" s="15"/>
      <c r="AA4" s="15" t="s">
        <v>9</v>
      </c>
      <c r="AB4" s="15" t="str">
        <f t="shared" ref="AB4:AB6" si="0">(SUBSTITUTE(SUBSTITUTE(SUBSTITUTE(SUBSTITUTE(SUBSTITUTE(SUBSTITUTE($AA4,",","_")," ","_"),"/","_"),"(","_"),")",""),"_","_"))</f>
        <v>Cement_products</v>
      </c>
      <c r="AC4" s="15" t="s">
        <v>5594</v>
      </c>
      <c r="AD4" s="15" t="s">
        <v>10767</v>
      </c>
      <c r="AE4" s="15" t="s">
        <v>670</v>
      </c>
      <c r="AF4" s="15" t="s">
        <v>5675</v>
      </c>
      <c r="AG4" s="15" t="s">
        <v>4957</v>
      </c>
      <c r="AH4" s="15" t="s">
        <v>4957</v>
      </c>
      <c r="AI4" s="15"/>
      <c r="AJ4" s="15" t="s">
        <v>679</v>
      </c>
      <c r="AK4" s="95"/>
      <c r="AL4" s="95"/>
      <c r="AM4" s="3" t="s">
        <v>10768</v>
      </c>
      <c r="AN4" s="3"/>
      <c r="AP4" s="28"/>
      <c r="AQ4" s="29"/>
    </row>
    <row r="5" spans="1:47" ht="26.85" customHeight="1" x14ac:dyDescent="0.55000000000000004">
      <c r="A5" s="15" t="s">
        <v>127</v>
      </c>
      <c r="B5" s="15" t="s">
        <v>240</v>
      </c>
      <c r="C5" s="15" t="s">
        <v>10880</v>
      </c>
      <c r="D5" s="98" t="s">
        <v>10854</v>
      </c>
      <c r="E5" s="95" t="s">
        <v>10764</v>
      </c>
      <c r="F5" s="15" t="s">
        <v>5191</v>
      </c>
      <c r="G5" s="95" t="s">
        <v>10765</v>
      </c>
      <c r="H5" s="15" t="s">
        <v>6582</v>
      </c>
      <c r="I5" s="15">
        <f>IF($H5&lt;&gt;"",(VLOOKUP(H5,'Other Lists'!O:P,2,FALSE)),"")</f>
        <v>3714</v>
      </c>
      <c r="J5" s="15" t="s">
        <v>684</v>
      </c>
      <c r="K5" s="15"/>
      <c r="L5" s="15" t="s">
        <v>645</v>
      </c>
      <c r="M5" s="15" t="s">
        <v>678</v>
      </c>
      <c r="N5" s="40">
        <v>44081</v>
      </c>
      <c r="O5" s="15">
        <v>1990</v>
      </c>
      <c r="P5" s="26">
        <v>800</v>
      </c>
      <c r="Q5" s="15">
        <v>1</v>
      </c>
      <c r="R5" s="15"/>
      <c r="S5" s="15" t="s">
        <v>6557</v>
      </c>
      <c r="T5" s="15" t="s">
        <v>652</v>
      </c>
      <c r="U5" s="15" t="s">
        <v>10235</v>
      </c>
      <c r="V5" s="95" t="s">
        <v>10791</v>
      </c>
      <c r="W5" s="95" t="s">
        <v>10769</v>
      </c>
      <c r="X5" s="15" t="s">
        <v>636</v>
      </c>
      <c r="Y5" s="15" t="s">
        <v>657</v>
      </c>
      <c r="Z5" s="15"/>
      <c r="AA5" s="15" t="s">
        <v>9</v>
      </c>
      <c r="AB5" s="15" t="str">
        <f t="shared" si="0"/>
        <v>Cement_products</v>
      </c>
      <c r="AC5" s="15" t="s">
        <v>5594</v>
      </c>
      <c r="AD5" s="15" t="s">
        <v>10770</v>
      </c>
      <c r="AE5" s="15" t="s">
        <v>670</v>
      </c>
      <c r="AF5" s="15" t="s">
        <v>5675</v>
      </c>
      <c r="AG5" s="15" t="s">
        <v>4957</v>
      </c>
      <c r="AH5" s="15" t="s">
        <v>4957</v>
      </c>
      <c r="AI5" s="15"/>
      <c r="AJ5" s="15" t="s">
        <v>679</v>
      </c>
      <c r="AK5" s="95"/>
      <c r="AL5" s="95"/>
      <c r="AM5" s="22" t="s">
        <v>10771</v>
      </c>
      <c r="AN5" s="3"/>
      <c r="AP5" s="28"/>
      <c r="AQ5" s="29"/>
    </row>
    <row r="6" spans="1:47" ht="26.85" customHeight="1" x14ac:dyDescent="0.55000000000000004">
      <c r="A6" s="15" t="s">
        <v>127</v>
      </c>
      <c r="B6" s="15" t="s">
        <v>240</v>
      </c>
      <c r="C6" s="15" t="s">
        <v>10880</v>
      </c>
      <c r="D6" s="98" t="s">
        <v>10854</v>
      </c>
      <c r="E6" s="95" t="s">
        <v>10773</v>
      </c>
      <c r="F6" s="15" t="s">
        <v>5191</v>
      </c>
      <c r="G6" s="95" t="s">
        <v>10765</v>
      </c>
      <c r="H6" s="15" t="s">
        <v>6582</v>
      </c>
      <c r="I6" s="15">
        <f>IF($H6&lt;&gt;"",(VLOOKUP(H6,'Other Lists'!O:P,2,FALSE)),"")</f>
        <v>3714</v>
      </c>
      <c r="J6" s="15" t="s">
        <v>684</v>
      </c>
      <c r="K6" s="15"/>
      <c r="L6" s="15" t="s">
        <v>645</v>
      </c>
      <c r="M6" s="15" t="s">
        <v>678</v>
      </c>
      <c r="N6" s="40">
        <v>44081</v>
      </c>
      <c r="O6" s="15">
        <v>1990</v>
      </c>
      <c r="P6" s="26">
        <v>800</v>
      </c>
      <c r="Q6" s="15">
        <v>1</v>
      </c>
      <c r="R6" s="15"/>
      <c r="S6" s="15" t="s">
        <v>6557</v>
      </c>
      <c r="T6" s="15" t="s">
        <v>652</v>
      </c>
      <c r="U6" s="15" t="s">
        <v>10235</v>
      </c>
      <c r="V6" s="95" t="s">
        <v>10791</v>
      </c>
      <c r="W6" s="95" t="s">
        <v>10772</v>
      </c>
      <c r="X6" s="15" t="s">
        <v>770</v>
      </c>
      <c r="Y6" s="15" t="s">
        <v>657</v>
      </c>
      <c r="Z6" s="15"/>
      <c r="AA6" s="15" t="s">
        <v>12</v>
      </c>
      <c r="AB6" s="15" t="str">
        <f t="shared" si="0"/>
        <v>Gasket__friction_products_and_adhesives</v>
      </c>
      <c r="AC6" s="15" t="s">
        <v>49</v>
      </c>
      <c r="AD6" s="15" t="s">
        <v>10774</v>
      </c>
      <c r="AE6" s="15" t="s">
        <v>668</v>
      </c>
      <c r="AF6" s="15" t="s">
        <v>5675</v>
      </c>
      <c r="AG6" s="15" t="s">
        <v>673</v>
      </c>
      <c r="AH6" s="15" t="s">
        <v>654</v>
      </c>
      <c r="AI6" s="15"/>
      <c r="AJ6" s="15" t="s">
        <v>679</v>
      </c>
      <c r="AK6" s="95"/>
      <c r="AL6" s="95" t="s">
        <v>10775</v>
      </c>
      <c r="AM6" s="22"/>
      <c r="AN6" s="3"/>
      <c r="AP6" s="28"/>
      <c r="AQ6" s="29"/>
      <c r="AU6" s="22" t="s">
        <v>10853</v>
      </c>
    </row>
    <row r="7" spans="1:47" ht="26.85" customHeight="1" x14ac:dyDescent="0.55000000000000004">
      <c r="A7" s="15" t="s">
        <v>127</v>
      </c>
      <c r="B7" s="15" t="s">
        <v>240</v>
      </c>
      <c r="C7" s="15" t="s">
        <v>10880</v>
      </c>
      <c r="D7" s="98" t="s">
        <v>10854</v>
      </c>
      <c r="E7" s="95" t="s">
        <v>10773</v>
      </c>
      <c r="F7" s="15" t="s">
        <v>5191</v>
      </c>
      <c r="G7" s="95" t="s">
        <v>10765</v>
      </c>
      <c r="H7" s="15" t="s">
        <v>6582</v>
      </c>
      <c r="I7" s="15">
        <f>IF($H7&lt;&gt;"",(VLOOKUP(H7,'Other Lists'!O:P,2,FALSE)),"")</f>
        <v>3714</v>
      </c>
      <c r="J7" s="15" t="s">
        <v>684</v>
      </c>
      <c r="K7" s="15"/>
      <c r="L7" s="15" t="s">
        <v>645</v>
      </c>
      <c r="M7" s="15" t="s">
        <v>678</v>
      </c>
      <c r="N7" s="40">
        <v>44081</v>
      </c>
      <c r="O7" s="15">
        <v>1990</v>
      </c>
      <c r="P7" s="26">
        <v>800</v>
      </c>
      <c r="Q7" s="15">
        <v>1</v>
      </c>
      <c r="R7" s="15"/>
      <c r="S7" s="15" t="s">
        <v>6557</v>
      </c>
      <c r="T7" s="15" t="s">
        <v>651</v>
      </c>
      <c r="U7" s="15" t="s">
        <v>10235</v>
      </c>
      <c r="V7" s="95" t="s">
        <v>10776</v>
      </c>
      <c r="W7" s="95" t="s">
        <v>10777</v>
      </c>
      <c r="X7" s="15" t="s">
        <v>841</v>
      </c>
      <c r="Y7" s="15" t="s">
        <v>658</v>
      </c>
      <c r="Z7" s="15"/>
      <c r="AA7" s="15" t="s">
        <v>661</v>
      </c>
      <c r="AB7" s="15"/>
      <c r="AC7" s="15" t="s">
        <v>5579</v>
      </c>
      <c r="AD7" s="15" t="s">
        <v>10778</v>
      </c>
      <c r="AE7" s="15" t="s">
        <v>669</v>
      </c>
      <c r="AF7" s="15" t="s">
        <v>5675</v>
      </c>
      <c r="AG7" s="15" t="s">
        <v>673</v>
      </c>
      <c r="AH7" s="15" t="s">
        <v>654</v>
      </c>
      <c r="AI7" s="15"/>
      <c r="AJ7" s="15" t="s">
        <v>679</v>
      </c>
      <c r="AK7" s="95"/>
      <c r="AL7" s="95" t="s">
        <v>10779</v>
      </c>
      <c r="AM7" s="22"/>
      <c r="AN7" s="3"/>
      <c r="AP7" s="28"/>
      <c r="AQ7" s="29"/>
      <c r="AU7" s="22" t="s">
        <v>10856</v>
      </c>
    </row>
    <row r="8" spans="1:47" ht="26.85" customHeight="1" x14ac:dyDescent="0.55000000000000004">
      <c r="A8" s="15" t="s">
        <v>127</v>
      </c>
      <c r="B8" s="15" t="s">
        <v>240</v>
      </c>
      <c r="C8" s="15" t="s">
        <v>10880</v>
      </c>
      <c r="D8" s="98" t="s">
        <v>10854</v>
      </c>
      <c r="E8" s="95" t="s">
        <v>10773</v>
      </c>
      <c r="F8" s="15" t="s">
        <v>5191</v>
      </c>
      <c r="G8" s="95" t="s">
        <v>10765</v>
      </c>
      <c r="H8" s="15" t="s">
        <v>6582</v>
      </c>
      <c r="I8" s="15">
        <f>IF($H8&lt;&gt;"",(VLOOKUP(H8,'Other Lists'!O:P,2,FALSE)),"")</f>
        <v>3714</v>
      </c>
      <c r="J8" s="15" t="s">
        <v>684</v>
      </c>
      <c r="K8" s="15"/>
      <c r="L8" s="15" t="s">
        <v>645</v>
      </c>
      <c r="M8" s="15" t="s">
        <v>678</v>
      </c>
      <c r="N8" s="40">
        <v>44081</v>
      </c>
      <c r="O8" s="15">
        <v>1990</v>
      </c>
      <c r="P8" s="26">
        <v>800</v>
      </c>
      <c r="Q8" s="15">
        <v>1</v>
      </c>
      <c r="R8" s="15"/>
      <c r="S8" s="15" t="s">
        <v>6557</v>
      </c>
      <c r="T8" s="15" t="s">
        <v>651</v>
      </c>
      <c r="U8" s="15" t="s">
        <v>10235</v>
      </c>
      <c r="V8" s="95" t="s">
        <v>10780</v>
      </c>
      <c r="W8" s="95" t="s">
        <v>513</v>
      </c>
      <c r="X8" s="15" t="s">
        <v>513</v>
      </c>
      <c r="Y8" s="15" t="s">
        <v>657</v>
      </c>
      <c r="Z8" s="15"/>
      <c r="AA8" s="15" t="s">
        <v>9</v>
      </c>
      <c r="AB8" s="15"/>
      <c r="AC8" s="15" t="s">
        <v>5594</v>
      </c>
      <c r="AD8" s="15" t="s">
        <v>10778</v>
      </c>
      <c r="AE8" s="15" t="s">
        <v>669</v>
      </c>
      <c r="AF8" s="15" t="s">
        <v>5675</v>
      </c>
      <c r="AG8" s="15" t="s">
        <v>674</v>
      </c>
      <c r="AH8" s="15" t="s">
        <v>654</v>
      </c>
      <c r="AI8" s="15"/>
      <c r="AJ8" s="15" t="s">
        <v>679</v>
      </c>
      <c r="AK8" s="95"/>
      <c r="AL8" s="95" t="s">
        <v>10779</v>
      </c>
      <c r="AM8" s="22" t="s">
        <v>10781</v>
      </c>
      <c r="AN8" s="3"/>
      <c r="AP8" s="28"/>
      <c r="AQ8" s="29"/>
      <c r="AU8" s="22" t="s">
        <v>10857</v>
      </c>
    </row>
    <row r="9" spans="1:47" ht="26.85" customHeight="1" x14ac:dyDescent="0.55000000000000004">
      <c r="A9" s="15" t="s">
        <v>127</v>
      </c>
      <c r="B9" s="15" t="s">
        <v>240</v>
      </c>
      <c r="C9" s="15" t="s">
        <v>10880</v>
      </c>
      <c r="D9" s="98" t="s">
        <v>10854</v>
      </c>
      <c r="E9" s="95" t="s">
        <v>10773</v>
      </c>
      <c r="F9" s="15" t="s">
        <v>5191</v>
      </c>
      <c r="G9" s="95" t="s">
        <v>10765</v>
      </c>
      <c r="H9" s="15" t="s">
        <v>6582</v>
      </c>
      <c r="I9" s="15">
        <f>IF($H9&lt;&gt;"",(VLOOKUP(H9,'Other Lists'!O:P,2,FALSE)),"")</f>
        <v>3714</v>
      </c>
      <c r="J9" s="15" t="s">
        <v>684</v>
      </c>
      <c r="K9" s="15"/>
      <c r="L9" s="15" t="s">
        <v>645</v>
      </c>
      <c r="M9" s="15" t="s">
        <v>678</v>
      </c>
      <c r="N9" s="40">
        <v>44081</v>
      </c>
      <c r="O9" s="15">
        <v>1990</v>
      </c>
      <c r="P9" s="26">
        <v>800</v>
      </c>
      <c r="Q9" s="15">
        <v>1</v>
      </c>
      <c r="R9" s="15"/>
      <c r="S9" s="15" t="s">
        <v>6557</v>
      </c>
      <c r="T9" s="15" t="s">
        <v>651</v>
      </c>
      <c r="U9" s="15" t="s">
        <v>10235</v>
      </c>
      <c r="V9" s="95" t="s">
        <v>10780</v>
      </c>
      <c r="W9" s="95" t="s">
        <v>10769</v>
      </c>
      <c r="X9" s="15" t="s">
        <v>636</v>
      </c>
      <c r="Y9" s="15" t="s">
        <v>657</v>
      </c>
      <c r="Z9" s="15" t="str">
        <f t="shared" ref="Z9:Z57" si="1">(SUBSTITUTE(SUBSTITUTE(SUBSTITUTE(SUBSTITUTE(SUBSTITUTE(SUBSTITUTE($Y9,",","_")," ","_"),"/","_"),"(","_"),")",""),"-","_"))</f>
        <v>Non_friable</v>
      </c>
      <c r="AA9" s="15" t="s">
        <v>15</v>
      </c>
      <c r="AB9" s="15" t="str">
        <f t="shared" ref="AB9:AB52" si="2">(SUBSTITUTE(SUBSTITUTE(SUBSTITUTE(SUBSTITUTE(SUBSTITUTE(SUBSTITUTE($AA9,",","_")," ","_"),"/","_"),"(","_"),")",""),"_","_"))</f>
        <v>Other</v>
      </c>
      <c r="AC9" s="102" t="s">
        <v>5280</v>
      </c>
      <c r="AD9" s="102" t="s">
        <v>10778</v>
      </c>
      <c r="AE9" s="102" t="s">
        <v>670</v>
      </c>
      <c r="AF9" s="102" t="s">
        <v>5675</v>
      </c>
      <c r="AG9" s="102" t="s">
        <v>4957</v>
      </c>
      <c r="AH9" s="102" t="s">
        <v>4957</v>
      </c>
      <c r="AI9" s="15"/>
      <c r="AJ9" s="15" t="s">
        <v>679</v>
      </c>
      <c r="AK9" s="95"/>
      <c r="AL9" s="95"/>
      <c r="AM9" s="93"/>
      <c r="AN9" s="3"/>
      <c r="AP9" s="28"/>
      <c r="AQ9" s="29"/>
    </row>
    <row r="10" spans="1:47" ht="26.85" customHeight="1" x14ac:dyDescent="0.55000000000000004">
      <c r="A10" s="15" t="s">
        <v>127</v>
      </c>
      <c r="B10" s="15" t="s">
        <v>240</v>
      </c>
      <c r="C10" s="15" t="s">
        <v>10880</v>
      </c>
      <c r="D10" s="98" t="s">
        <v>10854</v>
      </c>
      <c r="E10" s="95" t="s">
        <v>10773</v>
      </c>
      <c r="F10" s="15" t="s">
        <v>5191</v>
      </c>
      <c r="G10" s="95" t="s">
        <v>10765</v>
      </c>
      <c r="H10" s="15" t="s">
        <v>6582</v>
      </c>
      <c r="I10" s="15">
        <f>IF($H10&lt;&gt;"",(VLOOKUP(H10,'Other Lists'!O:P,2,FALSE)),"")</f>
        <v>3714</v>
      </c>
      <c r="J10" s="15" t="s">
        <v>684</v>
      </c>
      <c r="K10" s="15"/>
      <c r="L10" s="15" t="s">
        <v>645</v>
      </c>
      <c r="M10" s="15" t="s">
        <v>678</v>
      </c>
      <c r="N10" s="40">
        <v>44081</v>
      </c>
      <c r="O10" s="15">
        <v>1990</v>
      </c>
      <c r="P10" s="26">
        <v>800</v>
      </c>
      <c r="Q10" s="15">
        <v>1</v>
      </c>
      <c r="R10" s="15"/>
      <c r="S10" s="15" t="s">
        <v>6557</v>
      </c>
      <c r="T10" s="15" t="s">
        <v>651</v>
      </c>
      <c r="U10" s="15" t="s">
        <v>10235</v>
      </c>
      <c r="V10" s="95" t="s">
        <v>10782</v>
      </c>
      <c r="W10" s="95" t="s">
        <v>10851</v>
      </c>
      <c r="X10" s="15" t="s">
        <v>875</v>
      </c>
      <c r="Y10" s="15" t="s">
        <v>657</v>
      </c>
      <c r="Z10" s="15" t="str">
        <f t="shared" si="1"/>
        <v>Non_friable</v>
      </c>
      <c r="AA10" s="15" t="s">
        <v>9</v>
      </c>
      <c r="AB10" s="15" t="str">
        <f t="shared" si="2"/>
        <v>Cement_products</v>
      </c>
      <c r="AC10" s="15" t="s">
        <v>5594</v>
      </c>
      <c r="AD10" s="15" t="s">
        <v>10778</v>
      </c>
      <c r="AE10" s="15" t="s">
        <v>669</v>
      </c>
      <c r="AF10" s="15" t="s">
        <v>5675</v>
      </c>
      <c r="AG10" s="15" t="s">
        <v>627</v>
      </c>
      <c r="AH10" s="15" t="s">
        <v>627</v>
      </c>
      <c r="AI10" s="15"/>
      <c r="AJ10" s="15" t="s">
        <v>679</v>
      </c>
      <c r="AK10" s="95"/>
      <c r="AL10" s="95" t="s">
        <v>10783</v>
      </c>
      <c r="AM10" s="93" t="s">
        <v>10836</v>
      </c>
      <c r="AN10" s="3"/>
      <c r="AP10" s="28"/>
      <c r="AQ10" s="29"/>
      <c r="AU10" s="22" t="s">
        <v>10858</v>
      </c>
    </row>
    <row r="11" spans="1:47" ht="26.85" customHeight="1" x14ac:dyDescent="0.55000000000000004">
      <c r="A11" s="15" t="s">
        <v>127</v>
      </c>
      <c r="B11" s="15" t="s">
        <v>240</v>
      </c>
      <c r="C11" s="15" t="s">
        <v>10880</v>
      </c>
      <c r="D11" s="98" t="s">
        <v>10854</v>
      </c>
      <c r="E11" s="95" t="s">
        <v>10773</v>
      </c>
      <c r="F11" s="15" t="s">
        <v>5191</v>
      </c>
      <c r="G11" s="95" t="s">
        <v>10765</v>
      </c>
      <c r="H11" s="15" t="s">
        <v>6582</v>
      </c>
      <c r="I11" s="15">
        <f>IF($H11&lt;&gt;"",(VLOOKUP(H11,'Other Lists'!O:P,2,FALSE)),"")</f>
        <v>3714</v>
      </c>
      <c r="J11" s="15" t="s">
        <v>684</v>
      </c>
      <c r="K11" s="15"/>
      <c r="L11" s="15" t="s">
        <v>645</v>
      </c>
      <c r="M11" s="15" t="s">
        <v>678</v>
      </c>
      <c r="N11" s="40">
        <v>44081</v>
      </c>
      <c r="O11" s="15">
        <v>1990</v>
      </c>
      <c r="P11" s="26">
        <v>800</v>
      </c>
      <c r="Q11" s="15">
        <v>1</v>
      </c>
      <c r="R11" s="15"/>
      <c r="S11" s="15" t="s">
        <v>6557</v>
      </c>
      <c r="T11" s="15" t="s">
        <v>651</v>
      </c>
      <c r="U11" s="15" t="s">
        <v>10235</v>
      </c>
      <c r="V11" s="95" t="s">
        <v>10782</v>
      </c>
      <c r="W11" s="95" t="s">
        <v>10850</v>
      </c>
      <c r="X11" s="15" t="s">
        <v>875</v>
      </c>
      <c r="Y11" s="15" t="s">
        <v>657</v>
      </c>
      <c r="Z11" s="15" t="str">
        <f t="shared" si="1"/>
        <v>Non_friable</v>
      </c>
      <c r="AA11" s="15" t="s">
        <v>9</v>
      </c>
      <c r="AB11" s="15" t="str">
        <f t="shared" si="2"/>
        <v>Cement_products</v>
      </c>
      <c r="AC11" s="15" t="s">
        <v>5594</v>
      </c>
      <c r="AD11" s="15" t="s">
        <v>10778</v>
      </c>
      <c r="AE11" s="15" t="s">
        <v>669</v>
      </c>
      <c r="AF11" s="15" t="s">
        <v>5675</v>
      </c>
      <c r="AG11" s="15" t="s">
        <v>627</v>
      </c>
      <c r="AH11" s="15" t="s">
        <v>627</v>
      </c>
      <c r="AI11" s="15"/>
      <c r="AJ11" s="15" t="s">
        <v>679</v>
      </c>
      <c r="AK11" s="95"/>
      <c r="AL11" s="95" t="s">
        <v>10783</v>
      </c>
      <c r="AM11" s="93" t="s">
        <v>10836</v>
      </c>
      <c r="AN11" s="3"/>
      <c r="AP11" s="28"/>
      <c r="AQ11" s="29"/>
      <c r="AU11" s="22" t="s">
        <v>10859</v>
      </c>
    </row>
    <row r="12" spans="1:47" ht="26.85" customHeight="1" x14ac:dyDescent="0.55000000000000004">
      <c r="A12" s="15" t="s">
        <v>127</v>
      </c>
      <c r="B12" s="15" t="s">
        <v>240</v>
      </c>
      <c r="C12" s="15" t="s">
        <v>10880</v>
      </c>
      <c r="D12" s="98" t="s">
        <v>10854</v>
      </c>
      <c r="E12" s="95" t="s">
        <v>10773</v>
      </c>
      <c r="F12" s="15" t="s">
        <v>5191</v>
      </c>
      <c r="G12" s="95" t="s">
        <v>10765</v>
      </c>
      <c r="H12" s="15" t="s">
        <v>6582</v>
      </c>
      <c r="I12" s="15">
        <f>IF($H12&lt;&gt;"",(VLOOKUP(H12,'Other Lists'!O:P,2,FALSE)),"")</f>
        <v>3714</v>
      </c>
      <c r="J12" s="15" t="s">
        <v>684</v>
      </c>
      <c r="K12" s="15"/>
      <c r="L12" s="15" t="s">
        <v>645</v>
      </c>
      <c r="M12" s="15" t="s">
        <v>678</v>
      </c>
      <c r="N12" s="40">
        <v>44081</v>
      </c>
      <c r="O12" s="15">
        <v>1990</v>
      </c>
      <c r="P12" s="26">
        <v>800</v>
      </c>
      <c r="Q12" s="15">
        <v>1</v>
      </c>
      <c r="R12" s="15"/>
      <c r="S12" s="15" t="s">
        <v>6557</v>
      </c>
      <c r="T12" s="15" t="s">
        <v>651</v>
      </c>
      <c r="U12" s="15" t="s">
        <v>10235</v>
      </c>
      <c r="V12" s="95" t="s">
        <v>10782</v>
      </c>
      <c r="W12" s="95" t="s">
        <v>10784</v>
      </c>
      <c r="X12" s="15" t="s">
        <v>856</v>
      </c>
      <c r="Y12" s="15" t="s">
        <v>657</v>
      </c>
      <c r="Z12" s="15" t="str">
        <f t="shared" si="1"/>
        <v>Non_friable</v>
      </c>
      <c r="AA12" s="15" t="s">
        <v>9</v>
      </c>
      <c r="AB12" s="15" t="str">
        <f t="shared" si="2"/>
        <v>Cement_products</v>
      </c>
      <c r="AC12" s="15" t="s">
        <v>5594</v>
      </c>
      <c r="AD12" s="15" t="s">
        <v>10785</v>
      </c>
      <c r="AE12" s="15" t="s">
        <v>670</v>
      </c>
      <c r="AF12" s="15" t="s">
        <v>5675</v>
      </c>
      <c r="AG12" s="15" t="s">
        <v>4957</v>
      </c>
      <c r="AH12" s="15" t="s">
        <v>4957</v>
      </c>
      <c r="AI12" s="15"/>
      <c r="AJ12" s="15" t="s">
        <v>679</v>
      </c>
      <c r="AK12" s="95"/>
      <c r="AL12" s="95"/>
      <c r="AM12" s="93"/>
      <c r="AN12" s="3"/>
      <c r="AP12" s="28"/>
      <c r="AQ12" s="29"/>
    </row>
    <row r="13" spans="1:47" ht="26.85" customHeight="1" x14ac:dyDescent="0.55000000000000004">
      <c r="A13" s="15" t="s">
        <v>127</v>
      </c>
      <c r="B13" s="15" t="s">
        <v>240</v>
      </c>
      <c r="C13" s="15" t="s">
        <v>10880</v>
      </c>
      <c r="D13" s="98" t="s">
        <v>10854</v>
      </c>
      <c r="E13" s="95" t="s">
        <v>10786</v>
      </c>
      <c r="F13" s="15" t="s">
        <v>5191</v>
      </c>
      <c r="G13" s="95" t="s">
        <v>10765</v>
      </c>
      <c r="H13" s="15" t="s">
        <v>6582</v>
      </c>
      <c r="I13" s="15">
        <f>IF($H13&lt;&gt;"",(VLOOKUP(H13,'Other Lists'!O:P,2,FALSE)),"")</f>
        <v>3714</v>
      </c>
      <c r="J13" s="15" t="s">
        <v>684</v>
      </c>
      <c r="K13" s="15"/>
      <c r="L13" s="15" t="s">
        <v>645</v>
      </c>
      <c r="M13" s="15" t="s">
        <v>678</v>
      </c>
      <c r="N13" s="40">
        <v>44081</v>
      </c>
      <c r="O13" s="15">
        <v>1990</v>
      </c>
      <c r="P13" s="26">
        <v>800</v>
      </c>
      <c r="Q13" s="15">
        <v>1</v>
      </c>
      <c r="R13" s="15"/>
      <c r="S13" s="15" t="s">
        <v>6557</v>
      </c>
      <c r="T13" s="15" t="s">
        <v>651</v>
      </c>
      <c r="U13" s="15" t="s">
        <v>10235</v>
      </c>
      <c r="V13" s="95" t="s">
        <v>10787</v>
      </c>
      <c r="W13" s="95" t="s">
        <v>10788</v>
      </c>
      <c r="X13" s="15" t="s">
        <v>857</v>
      </c>
      <c r="Y13" s="15" t="s">
        <v>657</v>
      </c>
      <c r="Z13" s="15" t="str">
        <f t="shared" si="1"/>
        <v>Non_friable</v>
      </c>
      <c r="AA13" s="15" t="s">
        <v>10</v>
      </c>
      <c r="AB13" s="15" t="str">
        <f t="shared" si="2"/>
        <v>Bitumen_products</v>
      </c>
      <c r="AC13" s="15" t="s">
        <v>5600</v>
      </c>
      <c r="AD13" s="15" t="s">
        <v>10789</v>
      </c>
      <c r="AE13" s="15" t="s">
        <v>670</v>
      </c>
      <c r="AF13" s="15" t="s">
        <v>5675</v>
      </c>
      <c r="AG13" s="15" t="s">
        <v>4957</v>
      </c>
      <c r="AH13" s="15" t="s">
        <v>4957</v>
      </c>
      <c r="AI13" s="15"/>
      <c r="AJ13" s="15" t="s">
        <v>679</v>
      </c>
      <c r="AK13" s="95"/>
      <c r="AL13" s="95"/>
      <c r="AM13" s="93"/>
      <c r="AN13" s="3"/>
      <c r="AP13" s="28"/>
      <c r="AQ13" s="29"/>
    </row>
    <row r="14" spans="1:47" ht="26.85" customHeight="1" x14ac:dyDescent="0.55000000000000004">
      <c r="A14" s="15" t="s">
        <v>127</v>
      </c>
      <c r="B14" s="15" t="s">
        <v>240</v>
      </c>
      <c r="C14" s="15" t="s">
        <v>10880</v>
      </c>
      <c r="D14" s="98" t="s">
        <v>10854</v>
      </c>
      <c r="E14" s="95" t="s">
        <v>10790</v>
      </c>
      <c r="F14" s="15" t="s">
        <v>5133</v>
      </c>
      <c r="G14" s="95" t="s">
        <v>10765</v>
      </c>
      <c r="H14" s="15" t="s">
        <v>6582</v>
      </c>
      <c r="I14" s="15">
        <f>IF($H14&lt;&gt;"",(VLOOKUP(H14,'Other Lists'!O:P,2,FALSE)),"")</f>
        <v>3714</v>
      </c>
      <c r="J14" s="15" t="s">
        <v>684</v>
      </c>
      <c r="K14" s="15"/>
      <c r="L14" s="15" t="s">
        <v>645</v>
      </c>
      <c r="M14" s="15" t="s">
        <v>678</v>
      </c>
      <c r="N14" s="40">
        <v>44081</v>
      </c>
      <c r="O14" s="15"/>
      <c r="P14" s="26">
        <v>100</v>
      </c>
      <c r="Q14" s="15"/>
      <c r="R14" s="15"/>
      <c r="S14" s="15"/>
      <c r="T14" s="15" t="s">
        <v>652</v>
      </c>
      <c r="U14" s="15" t="s">
        <v>10235</v>
      </c>
      <c r="V14" s="95" t="s">
        <v>10791</v>
      </c>
      <c r="W14" s="95" t="s">
        <v>10792</v>
      </c>
      <c r="X14" s="15" t="s">
        <v>627</v>
      </c>
      <c r="Y14" s="15" t="s">
        <v>657</v>
      </c>
      <c r="Z14" s="15" t="str">
        <f t="shared" si="1"/>
        <v>Non_friable</v>
      </c>
      <c r="AA14" s="15" t="s">
        <v>9</v>
      </c>
      <c r="AB14" s="15" t="str">
        <f t="shared" si="2"/>
        <v>Cement_products</v>
      </c>
      <c r="AC14" s="15" t="s">
        <v>5594</v>
      </c>
      <c r="AD14" s="15" t="s">
        <v>10793</v>
      </c>
      <c r="AE14" s="15" t="s">
        <v>670</v>
      </c>
      <c r="AF14" s="15" t="s">
        <v>5675</v>
      </c>
      <c r="AG14" s="15" t="s">
        <v>4957</v>
      </c>
      <c r="AH14" s="15" t="s">
        <v>4957</v>
      </c>
      <c r="AI14" s="15"/>
      <c r="AJ14" s="15" t="s">
        <v>679</v>
      </c>
      <c r="AK14" s="95"/>
      <c r="AL14" s="95"/>
      <c r="AM14" s="93" t="s">
        <v>10794</v>
      </c>
      <c r="AN14" s="3"/>
      <c r="AP14" s="28"/>
      <c r="AQ14" s="29"/>
    </row>
    <row r="15" spans="1:47" ht="26.85" customHeight="1" x14ac:dyDescent="0.55000000000000004">
      <c r="A15" s="15" t="s">
        <v>127</v>
      </c>
      <c r="B15" s="15" t="s">
        <v>240</v>
      </c>
      <c r="C15" s="15" t="s">
        <v>10880</v>
      </c>
      <c r="D15" s="98" t="s">
        <v>10854</v>
      </c>
      <c r="E15" s="95" t="s">
        <v>10790</v>
      </c>
      <c r="F15" s="15" t="s">
        <v>5133</v>
      </c>
      <c r="G15" s="95" t="s">
        <v>10765</v>
      </c>
      <c r="H15" s="15" t="s">
        <v>6582</v>
      </c>
      <c r="I15" s="15">
        <f>IF($H15&lt;&gt;"",(VLOOKUP(H15,'Other Lists'!O:P,2,FALSE)),"")</f>
        <v>3714</v>
      </c>
      <c r="J15" s="15" t="s">
        <v>684</v>
      </c>
      <c r="K15" s="15"/>
      <c r="L15" s="15" t="s">
        <v>645</v>
      </c>
      <c r="M15" s="15" t="s">
        <v>678</v>
      </c>
      <c r="N15" s="40">
        <v>44081</v>
      </c>
      <c r="O15" s="15"/>
      <c r="P15" s="26">
        <v>100</v>
      </c>
      <c r="Q15" s="15"/>
      <c r="R15" s="15"/>
      <c r="S15" s="15"/>
      <c r="T15" s="15" t="s">
        <v>652</v>
      </c>
      <c r="U15" s="15" t="s">
        <v>10235</v>
      </c>
      <c r="V15" s="95" t="s">
        <v>10791</v>
      </c>
      <c r="W15" s="95" t="s">
        <v>10795</v>
      </c>
      <c r="X15" s="15" t="s">
        <v>532</v>
      </c>
      <c r="Y15" s="15" t="s">
        <v>658</v>
      </c>
      <c r="Z15" s="15" t="str">
        <f t="shared" si="1"/>
        <v>Friable</v>
      </c>
      <c r="AA15" s="15" t="s">
        <v>663</v>
      </c>
      <c r="AB15" s="15" t="str">
        <f t="shared" si="2"/>
        <v>Cement_products__f</v>
      </c>
      <c r="AC15" s="15" t="s">
        <v>5594</v>
      </c>
      <c r="AD15" s="15" t="s">
        <v>10796</v>
      </c>
      <c r="AE15" s="102" t="s">
        <v>669</v>
      </c>
      <c r="AF15" s="15" t="s">
        <v>5675</v>
      </c>
      <c r="AG15" s="15" t="s">
        <v>672</v>
      </c>
      <c r="AH15" s="15" t="s">
        <v>654</v>
      </c>
      <c r="AI15" s="15"/>
      <c r="AJ15" s="15" t="s">
        <v>679</v>
      </c>
      <c r="AK15" s="95"/>
      <c r="AL15" s="95" t="s">
        <v>10775</v>
      </c>
      <c r="AM15" s="93"/>
      <c r="AN15" s="3"/>
      <c r="AP15" s="28"/>
      <c r="AQ15" s="29"/>
      <c r="AU15" s="22" t="s">
        <v>10860</v>
      </c>
    </row>
    <row r="16" spans="1:47" ht="26.85" customHeight="1" x14ac:dyDescent="0.55000000000000004">
      <c r="A16" s="15" t="s">
        <v>127</v>
      </c>
      <c r="B16" s="15" t="s">
        <v>240</v>
      </c>
      <c r="C16" s="15" t="s">
        <v>10880</v>
      </c>
      <c r="D16" s="98" t="s">
        <v>10854</v>
      </c>
      <c r="E16" s="95" t="s">
        <v>10790</v>
      </c>
      <c r="F16" s="15" t="s">
        <v>5133</v>
      </c>
      <c r="G16" s="95" t="s">
        <v>10765</v>
      </c>
      <c r="H16" s="15" t="s">
        <v>6582</v>
      </c>
      <c r="I16" s="15">
        <f>IF($H16&lt;&gt;"",(VLOOKUP(H16,'Other Lists'!O:P,2,FALSE)),"")</f>
        <v>3714</v>
      </c>
      <c r="J16" s="15" t="s">
        <v>684</v>
      </c>
      <c r="K16" s="15"/>
      <c r="L16" s="15" t="s">
        <v>645</v>
      </c>
      <c r="M16" s="15" t="s">
        <v>678</v>
      </c>
      <c r="N16" s="40">
        <v>44081</v>
      </c>
      <c r="O16" s="15"/>
      <c r="P16" s="26">
        <v>100</v>
      </c>
      <c r="Q16" s="15"/>
      <c r="R16" s="15"/>
      <c r="S16" s="15"/>
      <c r="T16" s="15" t="s">
        <v>652</v>
      </c>
      <c r="U16" s="15" t="s">
        <v>10278</v>
      </c>
      <c r="V16" s="95" t="s">
        <v>10791</v>
      </c>
      <c r="W16" s="95" t="s">
        <v>532</v>
      </c>
      <c r="X16" s="15" t="s">
        <v>532</v>
      </c>
      <c r="Y16" s="15" t="s">
        <v>658</v>
      </c>
      <c r="Z16" s="15" t="str">
        <f t="shared" si="1"/>
        <v>Friable</v>
      </c>
      <c r="AA16" s="15" t="s">
        <v>663</v>
      </c>
      <c r="AB16" s="15" t="str">
        <f t="shared" si="2"/>
        <v>Cement_products__f</v>
      </c>
      <c r="AC16" s="15" t="s">
        <v>5594</v>
      </c>
      <c r="AD16" s="15" t="s">
        <v>10797</v>
      </c>
      <c r="AE16" s="15" t="s">
        <v>668</v>
      </c>
      <c r="AF16" s="15" t="s">
        <v>5675</v>
      </c>
      <c r="AG16" s="15" t="s">
        <v>672</v>
      </c>
      <c r="AH16" s="15" t="s">
        <v>654</v>
      </c>
      <c r="AI16" s="15"/>
      <c r="AJ16" s="15" t="s">
        <v>679</v>
      </c>
      <c r="AK16" s="95"/>
      <c r="AL16" s="95" t="s">
        <v>10775</v>
      </c>
      <c r="AM16" s="93"/>
      <c r="AN16" s="3"/>
      <c r="AP16" s="28"/>
      <c r="AQ16" s="29"/>
      <c r="AU16" s="22" t="s">
        <v>10861</v>
      </c>
    </row>
    <row r="17" spans="1:47" ht="26.85" customHeight="1" x14ac:dyDescent="0.55000000000000004">
      <c r="A17" s="15" t="s">
        <v>127</v>
      </c>
      <c r="B17" s="15" t="s">
        <v>240</v>
      </c>
      <c r="C17" s="15" t="s">
        <v>10880</v>
      </c>
      <c r="D17" s="98" t="s">
        <v>10854</v>
      </c>
      <c r="E17" s="95" t="s">
        <v>10790</v>
      </c>
      <c r="F17" s="15" t="s">
        <v>5133</v>
      </c>
      <c r="G17" s="95" t="s">
        <v>10765</v>
      </c>
      <c r="H17" s="15" t="s">
        <v>6582</v>
      </c>
      <c r="I17" s="15">
        <f>IF($H17&lt;&gt;"",(VLOOKUP(H17,'Other Lists'!O:P,2,FALSE)),"")</f>
        <v>3714</v>
      </c>
      <c r="J17" s="15" t="s">
        <v>684</v>
      </c>
      <c r="K17" s="15"/>
      <c r="L17" s="15" t="s">
        <v>645</v>
      </c>
      <c r="M17" s="15" t="s">
        <v>678</v>
      </c>
      <c r="N17" s="40">
        <v>44081</v>
      </c>
      <c r="O17" s="15"/>
      <c r="P17" s="26">
        <v>100</v>
      </c>
      <c r="Q17" s="15"/>
      <c r="R17" s="15"/>
      <c r="S17" s="15"/>
      <c r="T17" s="15" t="s">
        <v>652</v>
      </c>
      <c r="U17" s="15" t="s">
        <v>10235</v>
      </c>
      <c r="V17" s="95" t="s">
        <v>10791</v>
      </c>
      <c r="W17" s="95" t="s">
        <v>10766</v>
      </c>
      <c r="X17" s="15" t="s">
        <v>10766</v>
      </c>
      <c r="Y17" s="15" t="s">
        <v>657</v>
      </c>
      <c r="Z17" s="15" t="str">
        <f t="shared" si="1"/>
        <v>Non_friable</v>
      </c>
      <c r="AA17" s="15" t="s">
        <v>9</v>
      </c>
      <c r="AB17" s="15" t="str">
        <f t="shared" si="2"/>
        <v>Cement_products</v>
      </c>
      <c r="AC17" s="15" t="s">
        <v>5594</v>
      </c>
      <c r="AD17" s="15" t="s">
        <v>10778</v>
      </c>
      <c r="AE17" s="15" t="s">
        <v>669</v>
      </c>
      <c r="AF17" s="15" t="s">
        <v>5675</v>
      </c>
      <c r="AG17" s="15" t="s">
        <v>674</v>
      </c>
      <c r="AH17" s="15" t="s">
        <v>654</v>
      </c>
      <c r="AI17" s="15"/>
      <c r="AJ17" s="15" t="s">
        <v>679</v>
      </c>
      <c r="AK17" s="95"/>
      <c r="AL17" s="95" t="s">
        <v>10783</v>
      </c>
      <c r="AM17" s="93" t="s">
        <v>10768</v>
      </c>
      <c r="AN17" s="3"/>
      <c r="AP17" s="28"/>
      <c r="AQ17" s="29"/>
      <c r="AU17" s="22" t="s">
        <v>10862</v>
      </c>
    </row>
    <row r="18" spans="1:47" ht="26.85" customHeight="1" x14ac:dyDescent="0.6">
      <c r="A18" s="15" t="s">
        <v>127</v>
      </c>
      <c r="B18" s="15" t="s">
        <v>240</v>
      </c>
      <c r="C18" s="15" t="s">
        <v>10880</v>
      </c>
      <c r="D18" s="98" t="s">
        <v>10854</v>
      </c>
      <c r="E18" s="99" t="s">
        <v>10855</v>
      </c>
      <c r="F18" s="15" t="s">
        <v>5191</v>
      </c>
      <c r="G18" s="95" t="s">
        <v>10765</v>
      </c>
      <c r="H18" s="15" t="s">
        <v>6582</v>
      </c>
      <c r="I18" s="15">
        <f>IF($H18&lt;&gt;"",(VLOOKUP(H18,'Other Lists'!O:P,2,FALSE)),"")</f>
        <v>3714</v>
      </c>
      <c r="J18" s="15" t="s">
        <v>684</v>
      </c>
      <c r="K18" s="15"/>
      <c r="L18" s="15" t="s">
        <v>645</v>
      </c>
      <c r="M18" s="15" t="s">
        <v>678</v>
      </c>
      <c r="N18" s="40">
        <v>44081</v>
      </c>
      <c r="O18" s="15"/>
      <c r="P18" s="26"/>
      <c r="Q18" s="15">
        <v>1</v>
      </c>
      <c r="R18" s="15"/>
      <c r="S18" s="15"/>
      <c r="T18" s="15" t="s">
        <v>652</v>
      </c>
      <c r="U18" s="15" t="s">
        <v>10235</v>
      </c>
      <c r="V18" s="95" t="s">
        <v>10791</v>
      </c>
      <c r="W18" s="95" t="s">
        <v>10798</v>
      </c>
      <c r="X18" s="15" t="s">
        <v>753</v>
      </c>
      <c r="Y18" s="15" t="s">
        <v>657</v>
      </c>
      <c r="Z18" s="15" t="str">
        <f t="shared" si="1"/>
        <v>Non_friable</v>
      </c>
      <c r="AA18" s="15" t="s">
        <v>9</v>
      </c>
      <c r="AB18" s="15" t="str">
        <f t="shared" si="2"/>
        <v>Cement_products</v>
      </c>
      <c r="AC18" s="15" t="s">
        <v>5594</v>
      </c>
      <c r="AD18" s="15" t="s">
        <v>10799</v>
      </c>
      <c r="AE18" s="15" t="s">
        <v>668</v>
      </c>
      <c r="AF18" s="15" t="s">
        <v>5675</v>
      </c>
      <c r="AG18" s="15" t="s">
        <v>673</v>
      </c>
      <c r="AH18" s="15" t="s">
        <v>654</v>
      </c>
      <c r="AI18" s="15"/>
      <c r="AJ18" s="15" t="s">
        <v>679</v>
      </c>
      <c r="AK18" s="95"/>
      <c r="AL18" s="95" t="s">
        <v>10775</v>
      </c>
      <c r="AM18" s="93" t="s">
        <v>10768</v>
      </c>
      <c r="AN18" s="3"/>
      <c r="AP18" s="28"/>
      <c r="AQ18" s="29"/>
      <c r="AU18" s="22" t="s">
        <v>10863</v>
      </c>
    </row>
    <row r="19" spans="1:47" ht="26.85" customHeight="1" x14ac:dyDescent="0.6">
      <c r="A19" s="15" t="s">
        <v>127</v>
      </c>
      <c r="B19" s="15" t="s">
        <v>240</v>
      </c>
      <c r="C19" s="15" t="s">
        <v>10880</v>
      </c>
      <c r="D19" s="98" t="s">
        <v>10854</v>
      </c>
      <c r="E19" s="99" t="s">
        <v>10855</v>
      </c>
      <c r="F19" s="15" t="s">
        <v>5191</v>
      </c>
      <c r="G19" s="95" t="s">
        <v>10765</v>
      </c>
      <c r="H19" s="15" t="s">
        <v>6582</v>
      </c>
      <c r="I19" s="15">
        <f>IF($H19&lt;&gt;"",(VLOOKUP(H19,'Other Lists'!O:P,2,FALSE)),"")</f>
        <v>3714</v>
      </c>
      <c r="J19" s="15" t="s">
        <v>684</v>
      </c>
      <c r="K19" s="15"/>
      <c r="L19" s="15" t="s">
        <v>645</v>
      </c>
      <c r="M19" s="15" t="s">
        <v>678</v>
      </c>
      <c r="N19" s="40">
        <v>44081</v>
      </c>
      <c r="O19" s="15"/>
      <c r="P19" s="26"/>
      <c r="Q19" s="15">
        <v>1</v>
      </c>
      <c r="R19" s="15"/>
      <c r="S19" s="15"/>
      <c r="T19" s="15" t="s">
        <v>652</v>
      </c>
      <c r="U19" s="15" t="s">
        <v>10235</v>
      </c>
      <c r="V19" s="95" t="s">
        <v>738</v>
      </c>
      <c r="W19" s="95" t="s">
        <v>528</v>
      </c>
      <c r="X19" s="15" t="s">
        <v>528</v>
      </c>
      <c r="Y19" s="15" t="s">
        <v>657</v>
      </c>
      <c r="Z19" s="15" t="str">
        <f t="shared" si="1"/>
        <v>Non_friable</v>
      </c>
      <c r="AA19" s="15" t="s">
        <v>12</v>
      </c>
      <c r="AB19" s="15" t="str">
        <f t="shared" si="2"/>
        <v>Gasket__friction_products_and_adhesives</v>
      </c>
      <c r="AC19" s="15" t="s">
        <v>49</v>
      </c>
      <c r="AD19" s="15" t="s">
        <v>10778</v>
      </c>
      <c r="AE19" s="15" t="s">
        <v>669</v>
      </c>
      <c r="AF19" s="15" t="s">
        <v>5675</v>
      </c>
      <c r="AG19" s="15" t="s">
        <v>627</v>
      </c>
      <c r="AH19" s="15" t="s">
        <v>654</v>
      </c>
      <c r="AI19" s="15"/>
      <c r="AJ19" s="15" t="s">
        <v>679</v>
      </c>
      <c r="AK19" s="95"/>
      <c r="AL19" s="95" t="s">
        <v>10783</v>
      </c>
      <c r="AM19" s="93"/>
      <c r="AN19" s="3"/>
      <c r="AP19" s="28"/>
      <c r="AQ19" s="29"/>
      <c r="AU19" s="22" t="s">
        <v>10864</v>
      </c>
    </row>
    <row r="20" spans="1:47" ht="26.85" customHeight="1" x14ac:dyDescent="0.6">
      <c r="A20" s="15" t="s">
        <v>127</v>
      </c>
      <c r="B20" s="15" t="s">
        <v>240</v>
      </c>
      <c r="C20" s="15" t="s">
        <v>10880</v>
      </c>
      <c r="D20" s="98" t="s">
        <v>10854</v>
      </c>
      <c r="E20" s="99" t="s">
        <v>10855</v>
      </c>
      <c r="F20" s="15" t="s">
        <v>5191</v>
      </c>
      <c r="G20" s="95" t="s">
        <v>10765</v>
      </c>
      <c r="H20" s="15" t="s">
        <v>6582</v>
      </c>
      <c r="I20" s="15">
        <f>IF($H20&lt;&gt;"",(VLOOKUP(H20,'Other Lists'!O:P,2,FALSE)),"")</f>
        <v>3714</v>
      </c>
      <c r="J20" s="15" t="s">
        <v>684</v>
      </c>
      <c r="K20" s="15"/>
      <c r="L20" s="15" t="s">
        <v>645</v>
      </c>
      <c r="M20" s="15" t="s">
        <v>678</v>
      </c>
      <c r="N20" s="40">
        <v>44081</v>
      </c>
      <c r="O20" s="15"/>
      <c r="P20" s="26"/>
      <c r="Q20" s="15">
        <v>1</v>
      </c>
      <c r="R20" s="15"/>
      <c r="S20" s="15"/>
      <c r="T20" s="15" t="s">
        <v>652</v>
      </c>
      <c r="U20" s="15" t="s">
        <v>10235</v>
      </c>
      <c r="V20" s="95" t="s">
        <v>10791</v>
      </c>
      <c r="W20" s="95" t="s">
        <v>10800</v>
      </c>
      <c r="X20" s="15" t="s">
        <v>869</v>
      </c>
      <c r="Y20" s="15" t="s">
        <v>657</v>
      </c>
      <c r="Z20" s="15" t="str">
        <f t="shared" si="1"/>
        <v>Non_friable</v>
      </c>
      <c r="AA20" s="15" t="s">
        <v>9</v>
      </c>
      <c r="AB20" s="15" t="str">
        <f t="shared" si="2"/>
        <v>Cement_products</v>
      </c>
      <c r="AC20" s="15" t="s">
        <v>5594</v>
      </c>
      <c r="AD20" s="15" t="s">
        <v>10801</v>
      </c>
      <c r="AE20" s="15" t="s">
        <v>668</v>
      </c>
      <c r="AF20" s="15" t="s">
        <v>5675</v>
      </c>
      <c r="AG20" s="15" t="s">
        <v>674</v>
      </c>
      <c r="AH20" s="15" t="s">
        <v>654</v>
      </c>
      <c r="AI20" s="15"/>
      <c r="AJ20" s="15" t="s">
        <v>679</v>
      </c>
      <c r="AK20" s="95"/>
      <c r="AL20" s="95" t="s">
        <v>10775</v>
      </c>
      <c r="AM20" s="93"/>
      <c r="AN20" s="3"/>
      <c r="AP20" s="28"/>
      <c r="AQ20" s="29"/>
      <c r="AU20" s="3" t="s">
        <v>10865</v>
      </c>
    </row>
    <row r="21" spans="1:47" ht="26.85" customHeight="1" x14ac:dyDescent="0.6">
      <c r="A21" s="15" t="s">
        <v>127</v>
      </c>
      <c r="B21" s="15" t="s">
        <v>240</v>
      </c>
      <c r="C21" s="15" t="s">
        <v>10880</v>
      </c>
      <c r="D21" s="98" t="s">
        <v>10854</v>
      </c>
      <c r="E21" s="99" t="s">
        <v>10855</v>
      </c>
      <c r="F21" s="15" t="s">
        <v>5191</v>
      </c>
      <c r="G21" s="95" t="s">
        <v>10765</v>
      </c>
      <c r="H21" s="15" t="s">
        <v>6582</v>
      </c>
      <c r="I21" s="15">
        <f>IF($H21&lt;&gt;"",(VLOOKUP(H21,'Other Lists'!O:P,2,FALSE)),"")</f>
        <v>3714</v>
      </c>
      <c r="J21" s="15" t="s">
        <v>684</v>
      </c>
      <c r="K21" s="15"/>
      <c r="L21" s="15" t="s">
        <v>645</v>
      </c>
      <c r="M21" s="15" t="s">
        <v>678</v>
      </c>
      <c r="N21" s="40">
        <v>44081</v>
      </c>
      <c r="O21" s="15"/>
      <c r="P21" s="26"/>
      <c r="Q21" s="15">
        <v>1</v>
      </c>
      <c r="R21" s="15"/>
      <c r="S21" s="15"/>
      <c r="T21" s="15" t="s">
        <v>652</v>
      </c>
      <c r="U21" s="15" t="s">
        <v>10235</v>
      </c>
      <c r="V21" s="95" t="s">
        <v>10791</v>
      </c>
      <c r="W21" s="95" t="s">
        <v>10802</v>
      </c>
      <c r="X21" s="15" t="s">
        <v>770</v>
      </c>
      <c r="Y21" s="15" t="s">
        <v>657</v>
      </c>
      <c r="Z21" s="15" t="str">
        <f t="shared" si="1"/>
        <v>Non_friable</v>
      </c>
      <c r="AA21" s="15" t="s">
        <v>12</v>
      </c>
      <c r="AB21" s="15" t="str">
        <f t="shared" si="2"/>
        <v>Gasket__friction_products_and_adhesives</v>
      </c>
      <c r="AC21" s="15" t="s">
        <v>49</v>
      </c>
      <c r="AD21" s="15" t="s">
        <v>10803</v>
      </c>
      <c r="AE21" s="15" t="s">
        <v>670</v>
      </c>
      <c r="AF21" s="15" t="s">
        <v>5675</v>
      </c>
      <c r="AG21" s="15" t="s">
        <v>4957</v>
      </c>
      <c r="AH21" s="15" t="s">
        <v>4957</v>
      </c>
      <c r="AI21" s="15"/>
      <c r="AJ21" s="15" t="s">
        <v>679</v>
      </c>
      <c r="AK21" s="95"/>
      <c r="AL21" s="95"/>
      <c r="AM21" s="93"/>
      <c r="AN21" s="3"/>
      <c r="AP21" s="28"/>
      <c r="AQ21" s="29"/>
    </row>
    <row r="22" spans="1:47" ht="26.85" customHeight="1" x14ac:dyDescent="0.6">
      <c r="A22" s="15" t="s">
        <v>127</v>
      </c>
      <c r="B22" s="15" t="s">
        <v>240</v>
      </c>
      <c r="C22" s="15" t="s">
        <v>10880</v>
      </c>
      <c r="D22" s="98" t="s">
        <v>10854</v>
      </c>
      <c r="E22" s="99" t="s">
        <v>10855</v>
      </c>
      <c r="F22" s="15" t="s">
        <v>5191</v>
      </c>
      <c r="G22" s="95" t="s">
        <v>10765</v>
      </c>
      <c r="H22" s="15" t="s">
        <v>6582</v>
      </c>
      <c r="I22" s="15">
        <f>IF($H22&lt;&gt;"",(VLOOKUP(H22,'Other Lists'!O:P,2,FALSE)),"")</f>
        <v>3714</v>
      </c>
      <c r="J22" s="15" t="s">
        <v>684</v>
      </c>
      <c r="K22" s="15"/>
      <c r="L22" s="15" t="s">
        <v>645</v>
      </c>
      <c r="M22" s="15" t="s">
        <v>678</v>
      </c>
      <c r="N22" s="40">
        <v>44081</v>
      </c>
      <c r="O22" s="15"/>
      <c r="P22" s="26"/>
      <c r="Q22" s="15">
        <v>1</v>
      </c>
      <c r="R22" s="15"/>
      <c r="S22" s="15"/>
      <c r="T22" s="15" t="s">
        <v>652</v>
      </c>
      <c r="U22" s="15" t="s">
        <v>10235</v>
      </c>
      <c r="V22" s="95" t="s">
        <v>10804</v>
      </c>
      <c r="W22" s="95" t="s">
        <v>10805</v>
      </c>
      <c r="X22" s="15" t="s">
        <v>540</v>
      </c>
      <c r="Y22" s="15" t="s">
        <v>657</v>
      </c>
      <c r="Z22" s="15" t="str">
        <f t="shared" si="1"/>
        <v>Non_friable</v>
      </c>
      <c r="AA22" s="15" t="s">
        <v>12</v>
      </c>
      <c r="AB22" s="15" t="str">
        <f t="shared" si="2"/>
        <v>Gasket__friction_products_and_adhesives</v>
      </c>
      <c r="AC22" s="15" t="s">
        <v>49</v>
      </c>
      <c r="AD22" s="15" t="s">
        <v>10806</v>
      </c>
      <c r="AE22" s="15" t="s">
        <v>668</v>
      </c>
      <c r="AF22" s="15" t="s">
        <v>5675</v>
      </c>
      <c r="AG22" s="15" t="s">
        <v>674</v>
      </c>
      <c r="AH22" s="15" t="s">
        <v>654</v>
      </c>
      <c r="AI22" s="15"/>
      <c r="AJ22" s="15" t="s">
        <v>679</v>
      </c>
      <c r="AK22" s="95"/>
      <c r="AL22" s="95" t="s">
        <v>10775</v>
      </c>
      <c r="AM22" s="93"/>
      <c r="AN22" s="3"/>
      <c r="AP22" s="28"/>
      <c r="AQ22" s="29"/>
      <c r="AU22" s="22" t="s">
        <v>10866</v>
      </c>
    </row>
    <row r="23" spans="1:47" ht="26.85" customHeight="1" x14ac:dyDescent="0.6">
      <c r="A23" s="15" t="s">
        <v>127</v>
      </c>
      <c r="B23" s="15" t="s">
        <v>240</v>
      </c>
      <c r="C23" s="15" t="s">
        <v>10880</v>
      </c>
      <c r="D23" s="98" t="s">
        <v>10854</v>
      </c>
      <c r="E23" s="99" t="s">
        <v>10855</v>
      </c>
      <c r="F23" s="15" t="s">
        <v>5191</v>
      </c>
      <c r="G23" s="95" t="s">
        <v>10765</v>
      </c>
      <c r="H23" s="15" t="s">
        <v>6582</v>
      </c>
      <c r="I23" s="15">
        <f>IF($H23&lt;&gt;"",(VLOOKUP(H23,'Other Lists'!O:P,2,FALSE)),"")</f>
        <v>3714</v>
      </c>
      <c r="J23" s="15" t="s">
        <v>684</v>
      </c>
      <c r="K23" s="15"/>
      <c r="L23" s="15" t="s">
        <v>645</v>
      </c>
      <c r="M23" s="15" t="s">
        <v>678</v>
      </c>
      <c r="N23" s="40">
        <v>44081</v>
      </c>
      <c r="O23" s="15"/>
      <c r="P23" s="26"/>
      <c r="Q23" s="15">
        <v>1</v>
      </c>
      <c r="R23" s="15"/>
      <c r="S23" s="15"/>
      <c r="T23" s="15" t="s">
        <v>651</v>
      </c>
      <c r="U23" s="15" t="s">
        <v>10235</v>
      </c>
      <c r="V23" s="95" t="s">
        <v>10807</v>
      </c>
      <c r="W23" s="95" t="s">
        <v>10808</v>
      </c>
      <c r="X23" s="15" t="s">
        <v>875</v>
      </c>
      <c r="Y23" s="15" t="s">
        <v>657</v>
      </c>
      <c r="Z23" s="15" t="str">
        <f t="shared" si="1"/>
        <v>Non_friable</v>
      </c>
      <c r="AA23" s="15" t="s">
        <v>9</v>
      </c>
      <c r="AB23" s="15" t="str">
        <f t="shared" si="2"/>
        <v>Cement_products</v>
      </c>
      <c r="AC23" s="15" t="s">
        <v>5594</v>
      </c>
      <c r="AD23" s="15" t="s">
        <v>10778</v>
      </c>
      <c r="AE23" s="15" t="s">
        <v>669</v>
      </c>
      <c r="AF23" s="15" t="s">
        <v>5675</v>
      </c>
      <c r="AG23" s="15" t="s">
        <v>674</v>
      </c>
      <c r="AH23" s="15" t="s">
        <v>654</v>
      </c>
      <c r="AI23" s="15"/>
      <c r="AJ23" s="15" t="s">
        <v>679</v>
      </c>
      <c r="AK23" s="95"/>
      <c r="AL23" s="95" t="s">
        <v>10779</v>
      </c>
      <c r="AM23" s="93" t="s">
        <v>10836</v>
      </c>
      <c r="AN23" s="3"/>
      <c r="AP23" s="28"/>
      <c r="AQ23" s="29"/>
      <c r="AU23" s="22" t="s">
        <v>10867</v>
      </c>
    </row>
    <row r="24" spans="1:47" ht="26.85" customHeight="1" x14ac:dyDescent="0.6">
      <c r="A24" s="15" t="s">
        <v>127</v>
      </c>
      <c r="B24" s="15" t="s">
        <v>240</v>
      </c>
      <c r="C24" s="15" t="s">
        <v>10880</v>
      </c>
      <c r="D24" s="98" t="s">
        <v>10854</v>
      </c>
      <c r="E24" s="99" t="s">
        <v>10855</v>
      </c>
      <c r="F24" s="15" t="s">
        <v>5191</v>
      </c>
      <c r="G24" s="95" t="s">
        <v>10765</v>
      </c>
      <c r="H24" s="15" t="s">
        <v>6582</v>
      </c>
      <c r="I24" s="15">
        <f>IF($H24&lt;&gt;"",(VLOOKUP(H24,'Other Lists'!O:P,2,FALSE)),"")</f>
        <v>3714</v>
      </c>
      <c r="J24" s="15" t="s">
        <v>684</v>
      </c>
      <c r="K24" s="15"/>
      <c r="L24" s="15" t="s">
        <v>645</v>
      </c>
      <c r="M24" s="15" t="s">
        <v>678</v>
      </c>
      <c r="N24" s="40">
        <v>44081</v>
      </c>
      <c r="O24" s="15"/>
      <c r="P24" s="26"/>
      <c r="Q24" s="15">
        <v>1</v>
      </c>
      <c r="R24" s="15"/>
      <c r="S24" s="15"/>
      <c r="T24" s="15" t="s">
        <v>651</v>
      </c>
      <c r="U24" s="15" t="s">
        <v>10260</v>
      </c>
      <c r="V24" s="95" t="s">
        <v>10809</v>
      </c>
      <c r="W24" s="103" t="s">
        <v>10810</v>
      </c>
      <c r="X24" s="15" t="s">
        <v>749</v>
      </c>
      <c r="Y24" s="15" t="s">
        <v>657</v>
      </c>
      <c r="Z24" s="15" t="str">
        <f t="shared" si="1"/>
        <v>Non_friable</v>
      </c>
      <c r="AA24" s="15" t="s">
        <v>12</v>
      </c>
      <c r="AB24" s="15" t="str">
        <f t="shared" si="2"/>
        <v>Gasket__friction_products_and_adhesives</v>
      </c>
      <c r="AC24" s="15" t="s">
        <v>5589</v>
      </c>
      <c r="AD24" s="15" t="s">
        <v>10811</v>
      </c>
      <c r="AE24" s="15" t="s">
        <v>668</v>
      </c>
      <c r="AF24" s="15" t="s">
        <v>5675</v>
      </c>
      <c r="AG24" s="15" t="s">
        <v>672</v>
      </c>
      <c r="AH24" s="15" t="s">
        <v>654</v>
      </c>
      <c r="AI24" s="15"/>
      <c r="AJ24" s="15" t="s">
        <v>679</v>
      </c>
      <c r="AK24" s="95"/>
      <c r="AL24" s="95" t="s">
        <v>10812</v>
      </c>
      <c r="AM24" s="93"/>
      <c r="AN24" s="3"/>
      <c r="AP24" s="28"/>
      <c r="AQ24" s="29"/>
      <c r="AU24" s="22" t="s">
        <v>10868</v>
      </c>
    </row>
    <row r="25" spans="1:47" ht="26.85" customHeight="1" x14ac:dyDescent="0.6">
      <c r="A25" s="15" t="s">
        <v>127</v>
      </c>
      <c r="B25" s="15" t="s">
        <v>240</v>
      </c>
      <c r="C25" s="15" t="s">
        <v>10880</v>
      </c>
      <c r="D25" s="98" t="s">
        <v>10854</v>
      </c>
      <c r="E25" s="99" t="s">
        <v>10855</v>
      </c>
      <c r="F25" s="15" t="s">
        <v>5191</v>
      </c>
      <c r="G25" s="95" t="s">
        <v>10765</v>
      </c>
      <c r="H25" s="15" t="s">
        <v>6582</v>
      </c>
      <c r="I25" s="15">
        <f>IF($H25&lt;&gt;"",(VLOOKUP(H25,'Other Lists'!O:P,2,FALSE)),"")</f>
        <v>3714</v>
      </c>
      <c r="J25" s="15" t="s">
        <v>684</v>
      </c>
      <c r="K25" s="15"/>
      <c r="L25" s="15" t="s">
        <v>645</v>
      </c>
      <c r="M25" s="15" t="s">
        <v>678</v>
      </c>
      <c r="N25" s="40">
        <v>44081</v>
      </c>
      <c r="O25" s="15"/>
      <c r="P25" s="26"/>
      <c r="Q25" s="15">
        <v>1</v>
      </c>
      <c r="R25" s="15"/>
      <c r="S25" s="15"/>
      <c r="T25" s="15" t="s">
        <v>651</v>
      </c>
      <c r="U25" s="15" t="s">
        <v>10260</v>
      </c>
      <c r="V25" s="95" t="s">
        <v>10809</v>
      </c>
      <c r="W25" s="103" t="s">
        <v>10813</v>
      </c>
      <c r="X25" s="15" t="s">
        <v>818</v>
      </c>
      <c r="Y25" s="15" t="s">
        <v>657</v>
      </c>
      <c r="Z25" s="15" t="str">
        <f t="shared" si="1"/>
        <v>Non_friable</v>
      </c>
      <c r="AA25" s="15" t="s">
        <v>12</v>
      </c>
      <c r="AB25" s="15" t="str">
        <f t="shared" si="2"/>
        <v>Gasket__friction_products_and_adhesives</v>
      </c>
      <c r="AC25" s="15" t="s">
        <v>695</v>
      </c>
      <c r="AD25" s="15" t="s">
        <v>10814</v>
      </c>
      <c r="AE25" s="15" t="s">
        <v>670</v>
      </c>
      <c r="AF25" s="15" t="s">
        <v>5675</v>
      </c>
      <c r="AG25" s="15" t="s">
        <v>4957</v>
      </c>
      <c r="AH25" s="15" t="s">
        <v>4957</v>
      </c>
      <c r="AI25" s="15"/>
      <c r="AJ25" s="15" t="s">
        <v>679</v>
      </c>
      <c r="AK25" s="95"/>
      <c r="AL25" s="95"/>
      <c r="AM25" s="93"/>
      <c r="AN25" s="3"/>
      <c r="AP25" s="28"/>
      <c r="AQ25" s="29"/>
    </row>
    <row r="26" spans="1:47" ht="26.85" customHeight="1" x14ac:dyDescent="0.6">
      <c r="A26" s="15" t="s">
        <v>127</v>
      </c>
      <c r="B26" s="15" t="s">
        <v>240</v>
      </c>
      <c r="C26" s="15" t="s">
        <v>10880</v>
      </c>
      <c r="D26" s="98" t="s">
        <v>10854</v>
      </c>
      <c r="E26" s="99" t="s">
        <v>10855</v>
      </c>
      <c r="F26" s="15" t="s">
        <v>5191</v>
      </c>
      <c r="G26" s="95" t="s">
        <v>10765</v>
      </c>
      <c r="H26" s="15" t="s">
        <v>6582</v>
      </c>
      <c r="I26" s="15">
        <f>IF($H26&lt;&gt;"",(VLOOKUP(H26,'Other Lists'!O:P,2,FALSE)),"")</f>
        <v>3714</v>
      </c>
      <c r="J26" s="15" t="s">
        <v>684</v>
      </c>
      <c r="K26" s="15"/>
      <c r="L26" s="15" t="s">
        <v>645</v>
      </c>
      <c r="M26" s="15" t="s">
        <v>678</v>
      </c>
      <c r="N26" s="40">
        <v>44081</v>
      </c>
      <c r="O26" s="15"/>
      <c r="P26" s="26"/>
      <c r="Q26" s="15">
        <v>1</v>
      </c>
      <c r="R26" s="15"/>
      <c r="S26" s="15"/>
      <c r="T26" s="15" t="s">
        <v>651</v>
      </c>
      <c r="U26" s="15" t="s">
        <v>10235</v>
      </c>
      <c r="V26" s="95" t="s">
        <v>10815</v>
      </c>
      <c r="W26" s="95" t="s">
        <v>10777</v>
      </c>
      <c r="X26" s="15" t="s">
        <v>841</v>
      </c>
      <c r="Y26" s="15" t="s">
        <v>658</v>
      </c>
      <c r="Z26" s="15" t="str">
        <f t="shared" si="1"/>
        <v>Friable</v>
      </c>
      <c r="AA26" s="15" t="s">
        <v>661</v>
      </c>
      <c r="AB26" s="15" t="str">
        <f t="shared" si="2"/>
        <v>Insulation_products__f</v>
      </c>
      <c r="AC26" s="15" t="s">
        <v>5579</v>
      </c>
      <c r="AD26" s="15" t="s">
        <v>10778</v>
      </c>
      <c r="AE26" s="15" t="s">
        <v>669</v>
      </c>
      <c r="AF26" s="15" t="s">
        <v>5675</v>
      </c>
      <c r="AG26" s="15" t="s">
        <v>674</v>
      </c>
      <c r="AH26" s="15" t="s">
        <v>654</v>
      </c>
      <c r="AI26" s="15"/>
      <c r="AJ26" s="15" t="s">
        <v>679</v>
      </c>
      <c r="AK26" s="95"/>
      <c r="AL26" s="95" t="s">
        <v>10779</v>
      </c>
      <c r="AM26" s="93" t="s">
        <v>10836</v>
      </c>
      <c r="AN26" s="3"/>
      <c r="AP26" s="28"/>
      <c r="AQ26" s="29"/>
      <c r="AU26" s="22" t="s">
        <v>10869</v>
      </c>
    </row>
    <row r="27" spans="1:47" ht="26.85" customHeight="1" x14ac:dyDescent="0.6">
      <c r="A27" s="15" t="s">
        <v>127</v>
      </c>
      <c r="B27" s="15" t="s">
        <v>240</v>
      </c>
      <c r="C27" s="15" t="s">
        <v>10880</v>
      </c>
      <c r="D27" s="98" t="s">
        <v>10854</v>
      </c>
      <c r="E27" s="99" t="s">
        <v>10855</v>
      </c>
      <c r="F27" s="15" t="s">
        <v>5191</v>
      </c>
      <c r="G27" s="95" t="s">
        <v>10765</v>
      </c>
      <c r="H27" s="15" t="s">
        <v>6582</v>
      </c>
      <c r="I27" s="15">
        <f>IF($H27&lt;&gt;"",(VLOOKUP(H27,'Other Lists'!O:P,2,FALSE)),"")</f>
        <v>3714</v>
      </c>
      <c r="J27" s="15" t="s">
        <v>684</v>
      </c>
      <c r="K27" s="15"/>
      <c r="L27" s="15" t="s">
        <v>645</v>
      </c>
      <c r="M27" s="15" t="s">
        <v>678</v>
      </c>
      <c r="N27" s="40">
        <v>44081</v>
      </c>
      <c r="O27" s="15"/>
      <c r="P27" s="26"/>
      <c r="Q27" s="15">
        <v>1</v>
      </c>
      <c r="R27" s="15"/>
      <c r="S27" s="15"/>
      <c r="T27" s="15" t="s">
        <v>651</v>
      </c>
      <c r="U27" s="15" t="s">
        <v>10235</v>
      </c>
      <c r="V27" s="95" t="s">
        <v>10816</v>
      </c>
      <c r="W27" s="95" t="s">
        <v>10817</v>
      </c>
      <c r="X27" s="15" t="s">
        <v>544</v>
      </c>
      <c r="Y27" s="15" t="s">
        <v>657</v>
      </c>
      <c r="Z27" s="15" t="str">
        <f t="shared" si="1"/>
        <v>Non_friable</v>
      </c>
      <c r="AA27" s="15" t="s">
        <v>11</v>
      </c>
      <c r="AB27" s="15" t="str">
        <f t="shared" si="2"/>
        <v>Vinyl_products</v>
      </c>
      <c r="AC27" s="15" t="s">
        <v>10023</v>
      </c>
      <c r="AD27" s="15" t="s">
        <v>10818</v>
      </c>
      <c r="AE27" s="15" t="s">
        <v>670</v>
      </c>
      <c r="AF27" s="15" t="s">
        <v>5675</v>
      </c>
      <c r="AG27" s="15" t="s">
        <v>4957</v>
      </c>
      <c r="AH27" s="15" t="s">
        <v>4957</v>
      </c>
      <c r="AI27" s="15"/>
      <c r="AJ27" s="15" t="s">
        <v>679</v>
      </c>
      <c r="AK27" s="95"/>
      <c r="AL27" s="95"/>
      <c r="AM27" s="93" t="s">
        <v>10819</v>
      </c>
      <c r="AN27" s="3"/>
      <c r="AP27" s="28"/>
      <c r="AQ27" s="29"/>
    </row>
    <row r="28" spans="1:47" ht="26.85" customHeight="1" x14ac:dyDescent="0.6">
      <c r="A28" s="15" t="s">
        <v>127</v>
      </c>
      <c r="B28" s="15" t="s">
        <v>240</v>
      </c>
      <c r="C28" s="15" t="s">
        <v>10880</v>
      </c>
      <c r="D28" s="98" t="s">
        <v>10854</v>
      </c>
      <c r="E28" s="99" t="s">
        <v>10855</v>
      </c>
      <c r="F28" s="15" t="s">
        <v>5191</v>
      </c>
      <c r="G28" s="95" t="s">
        <v>10765</v>
      </c>
      <c r="H28" s="15" t="s">
        <v>6582</v>
      </c>
      <c r="I28" s="15">
        <f>IF($H28&lt;&gt;"",(VLOOKUP(H28,'Other Lists'!O:P,2,FALSE)),"")</f>
        <v>3714</v>
      </c>
      <c r="J28" s="15" t="s">
        <v>684</v>
      </c>
      <c r="K28" s="15"/>
      <c r="L28" s="15" t="s">
        <v>645</v>
      </c>
      <c r="M28" s="15" t="s">
        <v>678</v>
      </c>
      <c r="N28" s="40">
        <v>44081</v>
      </c>
      <c r="O28" s="15"/>
      <c r="P28" s="26"/>
      <c r="Q28" s="15">
        <v>1</v>
      </c>
      <c r="R28" s="15"/>
      <c r="S28" s="15"/>
      <c r="T28" s="15" t="s">
        <v>651</v>
      </c>
      <c r="U28" s="15" t="s">
        <v>10235</v>
      </c>
      <c r="V28" s="95" t="s">
        <v>10881</v>
      </c>
      <c r="W28" s="95" t="s">
        <v>10817</v>
      </c>
      <c r="X28" s="15" t="s">
        <v>545</v>
      </c>
      <c r="Y28" s="15" t="s">
        <v>657</v>
      </c>
      <c r="Z28" s="15" t="str">
        <f t="shared" si="1"/>
        <v>Non_friable</v>
      </c>
      <c r="AA28" s="15" t="s">
        <v>11</v>
      </c>
      <c r="AB28" s="15" t="str">
        <f t="shared" si="2"/>
        <v>Vinyl_products</v>
      </c>
      <c r="AC28" s="15" t="s">
        <v>10026</v>
      </c>
      <c r="AD28" s="15" t="s">
        <v>10820</v>
      </c>
      <c r="AE28" s="15" t="s">
        <v>670</v>
      </c>
      <c r="AF28" s="15" t="s">
        <v>5675</v>
      </c>
      <c r="AG28" s="15" t="s">
        <v>4957</v>
      </c>
      <c r="AH28" s="15" t="s">
        <v>4957</v>
      </c>
      <c r="AI28" s="15"/>
      <c r="AJ28" s="15" t="s">
        <v>679</v>
      </c>
      <c r="AK28" s="95"/>
      <c r="AL28" s="95"/>
      <c r="AM28" s="93" t="s">
        <v>10821</v>
      </c>
      <c r="AN28" s="3"/>
      <c r="AP28" s="28"/>
      <c r="AQ28" s="29"/>
    </row>
    <row r="29" spans="1:47" ht="26.85" customHeight="1" x14ac:dyDescent="0.6">
      <c r="A29" s="15" t="s">
        <v>127</v>
      </c>
      <c r="B29" s="15" t="s">
        <v>240</v>
      </c>
      <c r="C29" s="15" t="s">
        <v>10880</v>
      </c>
      <c r="D29" s="98" t="s">
        <v>10854</v>
      </c>
      <c r="E29" s="99" t="s">
        <v>10855</v>
      </c>
      <c r="F29" s="15" t="s">
        <v>5191</v>
      </c>
      <c r="G29" s="95" t="s">
        <v>10765</v>
      </c>
      <c r="H29" s="15" t="s">
        <v>6582</v>
      </c>
      <c r="I29" s="15">
        <f>IF($H29&lt;&gt;"",(VLOOKUP(H29,'Other Lists'!O:P,2,FALSE)),"")</f>
        <v>3714</v>
      </c>
      <c r="J29" s="15" t="s">
        <v>684</v>
      </c>
      <c r="K29" s="15"/>
      <c r="L29" s="15" t="s">
        <v>645</v>
      </c>
      <c r="M29" s="15" t="s">
        <v>678</v>
      </c>
      <c r="N29" s="40">
        <v>44081</v>
      </c>
      <c r="O29" s="15"/>
      <c r="P29" s="26"/>
      <c r="Q29" s="15">
        <v>1</v>
      </c>
      <c r="R29" s="15"/>
      <c r="S29" s="15"/>
      <c r="T29" s="15" t="s">
        <v>651</v>
      </c>
      <c r="U29" s="15" t="s">
        <v>10235</v>
      </c>
      <c r="V29" s="95" t="s">
        <v>10881</v>
      </c>
      <c r="W29" s="95" t="s">
        <v>10817</v>
      </c>
      <c r="X29" s="15" t="s">
        <v>545</v>
      </c>
      <c r="Y29" s="15" t="s">
        <v>657</v>
      </c>
      <c r="Z29" s="15" t="str">
        <f t="shared" si="1"/>
        <v>Non_friable</v>
      </c>
      <c r="AA29" s="15" t="s">
        <v>11</v>
      </c>
      <c r="AB29" s="15" t="str">
        <f t="shared" si="2"/>
        <v>Vinyl_products</v>
      </c>
      <c r="AC29" s="15" t="s">
        <v>10028</v>
      </c>
      <c r="AD29" s="15" t="s">
        <v>10822</v>
      </c>
      <c r="AE29" s="15" t="s">
        <v>670</v>
      </c>
      <c r="AF29" s="15" t="s">
        <v>5675</v>
      </c>
      <c r="AG29" s="15" t="s">
        <v>4957</v>
      </c>
      <c r="AH29" s="15" t="s">
        <v>4957</v>
      </c>
      <c r="AI29" s="15"/>
      <c r="AJ29" s="15" t="s">
        <v>679</v>
      </c>
      <c r="AK29" s="95"/>
      <c r="AL29" s="95"/>
      <c r="AM29" s="93"/>
      <c r="AN29" s="3"/>
      <c r="AP29" s="28"/>
      <c r="AQ29" s="29"/>
    </row>
    <row r="30" spans="1:47" ht="26.85" customHeight="1" x14ac:dyDescent="0.6">
      <c r="A30" s="15" t="s">
        <v>127</v>
      </c>
      <c r="B30" s="15" t="s">
        <v>240</v>
      </c>
      <c r="C30" s="15" t="s">
        <v>10880</v>
      </c>
      <c r="D30" s="98" t="s">
        <v>10854</v>
      </c>
      <c r="E30" s="99" t="s">
        <v>10855</v>
      </c>
      <c r="F30" s="15" t="s">
        <v>5191</v>
      </c>
      <c r="G30" s="95" t="s">
        <v>10765</v>
      </c>
      <c r="H30" s="15" t="s">
        <v>6582</v>
      </c>
      <c r="I30" s="15">
        <f>IF($H30&lt;&gt;"",(VLOOKUP(H30,'Other Lists'!O:P,2,FALSE)),"")</f>
        <v>3714</v>
      </c>
      <c r="J30" s="15" t="s">
        <v>684</v>
      </c>
      <c r="K30" s="15"/>
      <c r="L30" s="15" t="s">
        <v>645</v>
      </c>
      <c r="M30" s="15" t="s">
        <v>678</v>
      </c>
      <c r="N30" s="40">
        <v>44081</v>
      </c>
      <c r="O30" s="15"/>
      <c r="P30" s="26"/>
      <c r="Q30" s="15">
        <v>1</v>
      </c>
      <c r="R30" s="15"/>
      <c r="S30" s="15"/>
      <c r="T30" s="15" t="s">
        <v>651</v>
      </c>
      <c r="U30" s="15" t="s">
        <v>10235</v>
      </c>
      <c r="V30" s="95" t="s">
        <v>10881</v>
      </c>
      <c r="W30" s="95" t="s">
        <v>10817</v>
      </c>
      <c r="X30" s="15" t="s">
        <v>544</v>
      </c>
      <c r="Y30" s="15" t="s">
        <v>657</v>
      </c>
      <c r="Z30" s="15" t="str">
        <f t="shared" si="1"/>
        <v>Non_friable</v>
      </c>
      <c r="AA30" s="15" t="s">
        <v>11</v>
      </c>
      <c r="AB30" s="15" t="str">
        <f t="shared" si="2"/>
        <v>Vinyl_products</v>
      </c>
      <c r="AC30" s="15" t="s">
        <v>10025</v>
      </c>
      <c r="AD30" s="15" t="s">
        <v>10823</v>
      </c>
      <c r="AE30" s="15" t="s">
        <v>670</v>
      </c>
      <c r="AF30" s="15" t="s">
        <v>5675</v>
      </c>
      <c r="AG30" s="15" t="s">
        <v>4957</v>
      </c>
      <c r="AH30" s="15" t="s">
        <v>4957</v>
      </c>
      <c r="AI30" s="15"/>
      <c r="AJ30" s="15" t="s">
        <v>679</v>
      </c>
      <c r="AK30" s="95"/>
      <c r="AL30" s="95"/>
      <c r="AM30" s="93" t="s">
        <v>10824</v>
      </c>
      <c r="AN30" s="3"/>
      <c r="AP30" s="28"/>
      <c r="AQ30" s="29"/>
    </row>
    <row r="31" spans="1:47" ht="26.85" customHeight="1" x14ac:dyDescent="0.6">
      <c r="A31" s="15" t="s">
        <v>127</v>
      </c>
      <c r="B31" s="15" t="s">
        <v>240</v>
      </c>
      <c r="C31" s="15" t="s">
        <v>10880</v>
      </c>
      <c r="D31" s="98" t="s">
        <v>10854</v>
      </c>
      <c r="E31" s="99" t="s">
        <v>10855</v>
      </c>
      <c r="F31" s="15" t="s">
        <v>5191</v>
      </c>
      <c r="G31" s="95" t="s">
        <v>10765</v>
      </c>
      <c r="H31" s="15" t="s">
        <v>6582</v>
      </c>
      <c r="I31" s="15">
        <f>IF($H31&lt;&gt;"",(VLOOKUP(H31,'Other Lists'!O:P,2,FALSE)),"")</f>
        <v>3714</v>
      </c>
      <c r="J31" s="15" t="s">
        <v>684</v>
      </c>
      <c r="K31" s="15"/>
      <c r="L31" s="15" t="s">
        <v>645</v>
      </c>
      <c r="M31" s="15" t="s">
        <v>678</v>
      </c>
      <c r="N31" s="40">
        <v>44081</v>
      </c>
      <c r="O31" s="15"/>
      <c r="P31" s="26"/>
      <c r="Q31" s="15">
        <v>1</v>
      </c>
      <c r="R31" s="15"/>
      <c r="S31" s="15"/>
      <c r="T31" s="15" t="s">
        <v>651</v>
      </c>
      <c r="U31" s="15" t="s">
        <v>10235</v>
      </c>
      <c r="V31" s="95" t="s">
        <v>10825</v>
      </c>
      <c r="W31" s="95" t="s">
        <v>513</v>
      </c>
      <c r="X31" s="15" t="s">
        <v>513</v>
      </c>
      <c r="Y31" s="15" t="s">
        <v>657</v>
      </c>
      <c r="Z31" s="15" t="str">
        <f t="shared" si="1"/>
        <v>Non_friable</v>
      </c>
      <c r="AA31" s="15" t="s">
        <v>9</v>
      </c>
      <c r="AB31" s="15" t="str">
        <f t="shared" si="2"/>
        <v>Cement_products</v>
      </c>
      <c r="AC31" s="15" t="s">
        <v>5594</v>
      </c>
      <c r="AD31" s="15" t="s">
        <v>10778</v>
      </c>
      <c r="AE31" s="15" t="s">
        <v>669</v>
      </c>
      <c r="AF31" s="15" t="s">
        <v>5675</v>
      </c>
      <c r="AG31" s="15" t="s">
        <v>674</v>
      </c>
      <c r="AH31" s="15" t="s">
        <v>654</v>
      </c>
      <c r="AI31" s="15"/>
      <c r="AJ31" s="15" t="s">
        <v>679</v>
      </c>
      <c r="AK31" s="95"/>
      <c r="AL31" s="95" t="s">
        <v>10783</v>
      </c>
      <c r="AM31" s="93" t="s">
        <v>10781</v>
      </c>
      <c r="AN31" s="3"/>
      <c r="AP31" s="28"/>
      <c r="AQ31" s="29"/>
      <c r="AU31" s="22" t="s">
        <v>10870</v>
      </c>
    </row>
    <row r="32" spans="1:47" ht="26.85" customHeight="1" x14ac:dyDescent="0.6">
      <c r="A32" s="15" t="s">
        <v>127</v>
      </c>
      <c r="B32" s="15" t="s">
        <v>240</v>
      </c>
      <c r="C32" s="15" t="s">
        <v>10880</v>
      </c>
      <c r="D32" s="98" t="s">
        <v>10854</v>
      </c>
      <c r="E32" s="99" t="s">
        <v>10855</v>
      </c>
      <c r="F32" s="15" t="s">
        <v>5191</v>
      </c>
      <c r="G32" s="95" t="s">
        <v>10765</v>
      </c>
      <c r="H32" s="15" t="s">
        <v>6582</v>
      </c>
      <c r="I32" s="15">
        <f>IF($H32&lt;&gt;"",(VLOOKUP(H32,'Other Lists'!O:P,2,FALSE)),"")</f>
        <v>3714</v>
      </c>
      <c r="J32" s="15" t="s">
        <v>684</v>
      </c>
      <c r="K32" s="15"/>
      <c r="L32" s="15" t="s">
        <v>645</v>
      </c>
      <c r="M32" s="15" t="s">
        <v>678</v>
      </c>
      <c r="N32" s="40">
        <v>44081</v>
      </c>
      <c r="O32" s="15"/>
      <c r="P32" s="26"/>
      <c r="Q32" s="15">
        <v>1</v>
      </c>
      <c r="R32" s="15"/>
      <c r="S32" s="15"/>
      <c r="T32" s="15" t="s">
        <v>651</v>
      </c>
      <c r="U32" s="15" t="s">
        <v>10235</v>
      </c>
      <c r="V32" s="95" t="s">
        <v>10827</v>
      </c>
      <c r="W32" s="95" t="s">
        <v>10828</v>
      </c>
      <c r="X32" s="15" t="s">
        <v>763</v>
      </c>
      <c r="Y32" s="15" t="s">
        <v>657</v>
      </c>
      <c r="Z32" s="15" t="str">
        <f t="shared" si="1"/>
        <v>Non_friable</v>
      </c>
      <c r="AA32" s="15" t="s">
        <v>9</v>
      </c>
      <c r="AB32" s="15" t="str">
        <f t="shared" si="2"/>
        <v>Cement_products</v>
      </c>
      <c r="AC32" s="15" t="s">
        <v>5594</v>
      </c>
      <c r="AD32" s="15" t="s">
        <v>10826</v>
      </c>
      <c r="AE32" s="15" t="s">
        <v>671</v>
      </c>
      <c r="AF32" s="15" t="s">
        <v>5675</v>
      </c>
      <c r="AG32" s="15" t="s">
        <v>4958</v>
      </c>
      <c r="AH32" s="15" t="s">
        <v>4958</v>
      </c>
      <c r="AI32" s="15"/>
      <c r="AJ32" s="15" t="s">
        <v>679</v>
      </c>
      <c r="AK32" s="95"/>
      <c r="AL32" s="95"/>
      <c r="AM32" s="93"/>
      <c r="AN32" s="3"/>
      <c r="AP32" s="28"/>
      <c r="AQ32" s="29"/>
    </row>
    <row r="33" spans="1:47" ht="26.85" customHeight="1" x14ac:dyDescent="0.6">
      <c r="A33" s="15" t="s">
        <v>127</v>
      </c>
      <c r="B33" s="15" t="s">
        <v>240</v>
      </c>
      <c r="C33" s="15" t="s">
        <v>10880</v>
      </c>
      <c r="D33" s="98" t="s">
        <v>10854</v>
      </c>
      <c r="E33" s="99" t="s">
        <v>10855</v>
      </c>
      <c r="F33" s="15" t="s">
        <v>5191</v>
      </c>
      <c r="G33" s="95" t="s">
        <v>10765</v>
      </c>
      <c r="H33" s="15" t="s">
        <v>6582</v>
      </c>
      <c r="I33" s="15">
        <f>IF($H33&lt;&gt;"",(VLOOKUP(H33,'Other Lists'!O:P,2,FALSE)),"")</f>
        <v>3714</v>
      </c>
      <c r="J33" s="15" t="s">
        <v>684</v>
      </c>
      <c r="K33" s="15"/>
      <c r="L33" s="15" t="s">
        <v>645</v>
      </c>
      <c r="M33" s="15" t="s">
        <v>678</v>
      </c>
      <c r="N33" s="40">
        <v>44081</v>
      </c>
      <c r="O33" s="15"/>
      <c r="P33" s="26"/>
      <c r="Q33" s="15">
        <v>1</v>
      </c>
      <c r="R33" s="15"/>
      <c r="S33" s="15"/>
      <c r="T33" s="15" t="s">
        <v>651</v>
      </c>
      <c r="U33" s="15" t="s">
        <v>10235</v>
      </c>
      <c r="V33" s="95" t="s">
        <v>10829</v>
      </c>
      <c r="W33" s="95" t="s">
        <v>10830</v>
      </c>
      <c r="X33" s="15" t="s">
        <v>837</v>
      </c>
      <c r="Y33" s="15" t="s">
        <v>657</v>
      </c>
      <c r="Z33" s="15" t="str">
        <f t="shared" si="1"/>
        <v>Non_friable</v>
      </c>
      <c r="AA33" s="15" t="s">
        <v>10</v>
      </c>
      <c r="AB33" s="15" t="str">
        <f t="shared" si="2"/>
        <v>Bitumen_products</v>
      </c>
      <c r="AC33" s="15" t="s">
        <v>5549</v>
      </c>
      <c r="AD33" s="15" t="s">
        <v>10778</v>
      </c>
      <c r="AE33" s="15" t="s">
        <v>669</v>
      </c>
      <c r="AF33" s="15" t="s">
        <v>5675</v>
      </c>
      <c r="AG33" s="15" t="s">
        <v>674</v>
      </c>
      <c r="AH33" s="15" t="s">
        <v>654</v>
      </c>
      <c r="AI33" s="15"/>
      <c r="AJ33" s="15" t="s">
        <v>679</v>
      </c>
      <c r="AK33" s="95"/>
      <c r="AL33" s="95" t="s">
        <v>10783</v>
      </c>
      <c r="AM33" s="93"/>
      <c r="AN33" s="3"/>
      <c r="AP33" s="28"/>
      <c r="AQ33" s="29"/>
      <c r="AU33" s="22" t="s">
        <v>10871</v>
      </c>
    </row>
    <row r="34" spans="1:47" ht="26.85" customHeight="1" x14ac:dyDescent="0.6">
      <c r="A34" s="15" t="s">
        <v>127</v>
      </c>
      <c r="B34" s="15" t="s">
        <v>240</v>
      </c>
      <c r="C34" s="15" t="s">
        <v>10880</v>
      </c>
      <c r="D34" s="98" t="s">
        <v>10854</v>
      </c>
      <c r="E34" s="99" t="s">
        <v>10855</v>
      </c>
      <c r="F34" s="15" t="s">
        <v>5191</v>
      </c>
      <c r="G34" s="95" t="s">
        <v>10765</v>
      </c>
      <c r="H34" s="15" t="s">
        <v>6582</v>
      </c>
      <c r="I34" s="15">
        <f>IF($H34&lt;&gt;"",(VLOOKUP(H34,'Other Lists'!O:P,2,FALSE)),"")</f>
        <v>3714</v>
      </c>
      <c r="J34" s="15" t="s">
        <v>684</v>
      </c>
      <c r="K34" s="15"/>
      <c r="L34" s="15" t="s">
        <v>645</v>
      </c>
      <c r="M34" s="15" t="s">
        <v>678</v>
      </c>
      <c r="N34" s="40">
        <v>44081</v>
      </c>
      <c r="O34" s="15"/>
      <c r="P34" s="26"/>
      <c r="Q34" s="15">
        <v>1</v>
      </c>
      <c r="R34" s="15"/>
      <c r="S34" s="15"/>
      <c r="T34" s="15" t="s">
        <v>651</v>
      </c>
      <c r="U34" s="15" t="s">
        <v>10235</v>
      </c>
      <c r="V34" s="95" t="s">
        <v>10831</v>
      </c>
      <c r="W34" s="95" t="s">
        <v>10817</v>
      </c>
      <c r="X34" s="15" t="s">
        <v>545</v>
      </c>
      <c r="Y34" s="15" t="s">
        <v>657</v>
      </c>
      <c r="Z34" s="15" t="str">
        <f t="shared" si="1"/>
        <v>Non_friable</v>
      </c>
      <c r="AA34" s="15" t="s">
        <v>11</v>
      </c>
      <c r="AB34" s="15" t="str">
        <f t="shared" si="2"/>
        <v>Vinyl_products</v>
      </c>
      <c r="AC34" s="15" t="s">
        <v>10024</v>
      </c>
      <c r="AD34" s="15" t="s">
        <v>10832</v>
      </c>
      <c r="AE34" s="15" t="s">
        <v>670</v>
      </c>
      <c r="AF34" s="15" t="s">
        <v>5675</v>
      </c>
      <c r="AG34" s="15" t="s">
        <v>4957</v>
      </c>
      <c r="AH34" s="15" t="s">
        <v>4957</v>
      </c>
      <c r="AI34" s="15"/>
      <c r="AJ34" s="15" t="s">
        <v>679</v>
      </c>
      <c r="AK34" s="95"/>
      <c r="AL34" s="95"/>
      <c r="AM34" s="93"/>
      <c r="AN34" s="3"/>
      <c r="AP34" s="28"/>
      <c r="AQ34" s="29"/>
    </row>
    <row r="35" spans="1:47" ht="26.85" customHeight="1" x14ac:dyDescent="0.6">
      <c r="A35" s="15" t="s">
        <v>127</v>
      </c>
      <c r="B35" s="15" t="s">
        <v>240</v>
      </c>
      <c r="C35" s="15" t="s">
        <v>10880</v>
      </c>
      <c r="D35" s="98" t="s">
        <v>10854</v>
      </c>
      <c r="E35" s="99" t="s">
        <v>10855</v>
      </c>
      <c r="F35" s="15" t="s">
        <v>5191</v>
      </c>
      <c r="G35" s="95" t="s">
        <v>10765</v>
      </c>
      <c r="H35" s="15" t="s">
        <v>6582</v>
      </c>
      <c r="I35" s="15">
        <f>IF($H35&lt;&gt;"",(VLOOKUP(H35,'Other Lists'!O:P,2,FALSE)),"")</f>
        <v>3714</v>
      </c>
      <c r="J35" s="15" t="s">
        <v>684</v>
      </c>
      <c r="K35" s="15"/>
      <c r="L35" s="15" t="s">
        <v>645</v>
      </c>
      <c r="M35" s="15" t="s">
        <v>678</v>
      </c>
      <c r="N35" s="40">
        <v>44081</v>
      </c>
      <c r="O35" s="15"/>
      <c r="P35" s="26"/>
      <c r="Q35" s="15">
        <v>1</v>
      </c>
      <c r="R35" s="15"/>
      <c r="S35" s="15"/>
      <c r="T35" s="15" t="s">
        <v>651</v>
      </c>
      <c r="U35" s="15" t="s">
        <v>10235</v>
      </c>
      <c r="V35" s="95" t="s">
        <v>10852</v>
      </c>
      <c r="W35" s="95" t="s">
        <v>10777</v>
      </c>
      <c r="X35" s="15" t="s">
        <v>841</v>
      </c>
      <c r="Y35" s="15" t="s">
        <v>658</v>
      </c>
      <c r="Z35" s="15" t="str">
        <f t="shared" si="1"/>
        <v>Friable</v>
      </c>
      <c r="AA35" s="15" t="s">
        <v>661</v>
      </c>
      <c r="AB35" s="15" t="str">
        <f t="shared" si="2"/>
        <v>Insulation_products__f</v>
      </c>
      <c r="AC35" s="15" t="s">
        <v>5579</v>
      </c>
      <c r="AD35" s="15" t="s">
        <v>10778</v>
      </c>
      <c r="AE35" s="15" t="s">
        <v>669</v>
      </c>
      <c r="AF35" s="15" t="s">
        <v>5675</v>
      </c>
      <c r="AG35" s="15" t="s">
        <v>674</v>
      </c>
      <c r="AH35" s="15" t="s">
        <v>654</v>
      </c>
      <c r="AI35" s="15"/>
      <c r="AJ35" s="15" t="s">
        <v>679</v>
      </c>
      <c r="AK35" s="95"/>
      <c r="AL35" s="95" t="s">
        <v>10783</v>
      </c>
      <c r="AM35" s="93"/>
      <c r="AN35" s="3"/>
      <c r="AP35" s="28"/>
      <c r="AQ35" s="29"/>
      <c r="AU35" s="3" t="s">
        <v>10872</v>
      </c>
    </row>
    <row r="36" spans="1:47" ht="26.85" customHeight="1" x14ac:dyDescent="0.6">
      <c r="A36" s="15" t="s">
        <v>127</v>
      </c>
      <c r="B36" s="15" t="s">
        <v>240</v>
      </c>
      <c r="C36" s="15" t="s">
        <v>10880</v>
      </c>
      <c r="D36" s="98" t="s">
        <v>10854</v>
      </c>
      <c r="E36" s="99" t="s">
        <v>10855</v>
      </c>
      <c r="F36" s="15" t="s">
        <v>5191</v>
      </c>
      <c r="G36" s="95" t="s">
        <v>10765</v>
      </c>
      <c r="H36" s="15" t="s">
        <v>6582</v>
      </c>
      <c r="I36" s="15">
        <f>IF($H36&lt;&gt;"",(VLOOKUP(H36,'Other Lists'!O:P,2,FALSE)),"")</f>
        <v>3714</v>
      </c>
      <c r="J36" s="15" t="s">
        <v>684</v>
      </c>
      <c r="K36" s="15"/>
      <c r="L36" s="15" t="s">
        <v>645</v>
      </c>
      <c r="M36" s="15" t="s">
        <v>678</v>
      </c>
      <c r="N36" s="40">
        <v>44081</v>
      </c>
      <c r="O36" s="15"/>
      <c r="P36" s="26"/>
      <c r="Q36" s="15">
        <v>1</v>
      </c>
      <c r="R36" s="15"/>
      <c r="S36" s="15"/>
      <c r="T36" s="15" t="s">
        <v>651</v>
      </c>
      <c r="U36" s="15" t="s">
        <v>10235</v>
      </c>
      <c r="V36" s="95" t="s">
        <v>10833</v>
      </c>
      <c r="W36" s="95" t="s">
        <v>10817</v>
      </c>
      <c r="X36" s="15" t="s">
        <v>542</v>
      </c>
      <c r="Y36" s="15" t="s">
        <v>657</v>
      </c>
      <c r="Z36" s="15" t="str">
        <f t="shared" si="1"/>
        <v>Non_friable</v>
      </c>
      <c r="AA36" s="15" t="s">
        <v>11</v>
      </c>
      <c r="AB36" s="15" t="str">
        <f t="shared" si="2"/>
        <v>Vinyl_products</v>
      </c>
      <c r="AC36" s="15" t="s">
        <v>10026</v>
      </c>
      <c r="AD36" s="15" t="s">
        <v>10835</v>
      </c>
      <c r="AE36" s="15" t="s">
        <v>668</v>
      </c>
      <c r="AF36" s="15" t="s">
        <v>5675</v>
      </c>
      <c r="AG36" s="15" t="s">
        <v>674</v>
      </c>
      <c r="AH36" s="15" t="s">
        <v>654</v>
      </c>
      <c r="AI36" s="15"/>
      <c r="AJ36" s="15" t="s">
        <v>679</v>
      </c>
      <c r="AK36" s="95"/>
      <c r="AL36" s="95" t="s">
        <v>10775</v>
      </c>
      <c r="AM36" s="93" t="s">
        <v>10834</v>
      </c>
      <c r="AN36" s="3"/>
      <c r="AP36" s="28"/>
      <c r="AQ36" s="29"/>
      <c r="AU36" s="3" t="s">
        <v>10879</v>
      </c>
    </row>
    <row r="37" spans="1:47" ht="26.85" customHeight="1" x14ac:dyDescent="0.6">
      <c r="A37" s="15" t="s">
        <v>127</v>
      </c>
      <c r="B37" s="15" t="s">
        <v>240</v>
      </c>
      <c r="C37" s="15" t="s">
        <v>10880</v>
      </c>
      <c r="D37" s="98" t="s">
        <v>10854</v>
      </c>
      <c r="E37" s="99" t="s">
        <v>10855</v>
      </c>
      <c r="F37" s="15" t="s">
        <v>5191</v>
      </c>
      <c r="G37" s="95" t="s">
        <v>10765</v>
      </c>
      <c r="H37" s="15" t="s">
        <v>6582</v>
      </c>
      <c r="I37" s="15">
        <f>IF($H37&lt;&gt;"",(VLOOKUP(H37,'Other Lists'!O:P,2,FALSE)),"")</f>
        <v>3714</v>
      </c>
      <c r="J37" s="15" t="s">
        <v>684</v>
      </c>
      <c r="K37" s="15"/>
      <c r="L37" s="15" t="s">
        <v>645</v>
      </c>
      <c r="M37" s="15" t="s">
        <v>678</v>
      </c>
      <c r="N37" s="40">
        <v>44081</v>
      </c>
      <c r="O37" s="15"/>
      <c r="P37" s="26"/>
      <c r="Q37" s="15">
        <v>1</v>
      </c>
      <c r="R37" s="15"/>
      <c r="S37" s="15"/>
      <c r="T37" s="15" t="s">
        <v>651</v>
      </c>
      <c r="U37" s="15" t="s">
        <v>10235</v>
      </c>
      <c r="V37" s="95" t="s">
        <v>5213</v>
      </c>
      <c r="W37" s="95" t="s">
        <v>601</v>
      </c>
      <c r="X37" s="15" t="s">
        <v>702</v>
      </c>
      <c r="Y37" s="15" t="s">
        <v>658</v>
      </c>
      <c r="Z37" s="15" t="str">
        <f t="shared" si="1"/>
        <v>Friable</v>
      </c>
      <c r="AA37" s="15" t="s">
        <v>661</v>
      </c>
      <c r="AB37" s="15" t="str">
        <f t="shared" si="2"/>
        <v>Insulation_products__f</v>
      </c>
      <c r="AC37" s="15" t="s">
        <v>5604</v>
      </c>
      <c r="AD37" s="15" t="s">
        <v>10778</v>
      </c>
      <c r="AE37" s="15" t="s">
        <v>669</v>
      </c>
      <c r="AF37" s="15" t="s">
        <v>5675</v>
      </c>
      <c r="AG37" s="15" t="s">
        <v>674</v>
      </c>
      <c r="AH37" s="15" t="s">
        <v>654</v>
      </c>
      <c r="AI37" s="15"/>
      <c r="AJ37" s="15" t="s">
        <v>679</v>
      </c>
      <c r="AK37" s="95"/>
      <c r="AL37" s="95" t="s">
        <v>10783</v>
      </c>
      <c r="AM37" s="93" t="s">
        <v>10836</v>
      </c>
      <c r="AN37" s="3"/>
      <c r="AP37" s="28"/>
      <c r="AQ37" s="29"/>
      <c r="AU37" s="22" t="s">
        <v>10873</v>
      </c>
    </row>
    <row r="38" spans="1:47" ht="26.85" customHeight="1" x14ac:dyDescent="0.6">
      <c r="A38" s="15" t="s">
        <v>127</v>
      </c>
      <c r="B38" s="15" t="s">
        <v>240</v>
      </c>
      <c r="C38" s="15" t="s">
        <v>10880</v>
      </c>
      <c r="D38" s="98" t="s">
        <v>10854</v>
      </c>
      <c r="E38" s="99" t="s">
        <v>10855</v>
      </c>
      <c r="F38" s="15" t="s">
        <v>5191</v>
      </c>
      <c r="G38" s="95" t="s">
        <v>10765</v>
      </c>
      <c r="H38" s="15" t="s">
        <v>6582</v>
      </c>
      <c r="I38" s="15">
        <f>IF($H38&lt;&gt;"",(VLOOKUP(H38,'Other Lists'!O:P,2,FALSE)),"")</f>
        <v>3714</v>
      </c>
      <c r="J38" s="15" t="s">
        <v>684</v>
      </c>
      <c r="K38" s="15"/>
      <c r="L38" s="15" t="s">
        <v>645</v>
      </c>
      <c r="M38" s="15" t="s">
        <v>678</v>
      </c>
      <c r="N38" s="40">
        <v>44081</v>
      </c>
      <c r="O38" s="15"/>
      <c r="P38" s="26"/>
      <c r="Q38" s="15">
        <v>1</v>
      </c>
      <c r="R38" s="15"/>
      <c r="S38" s="15"/>
      <c r="T38" s="15" t="s">
        <v>651</v>
      </c>
      <c r="U38" s="15" t="s">
        <v>10235</v>
      </c>
      <c r="V38" s="95" t="s">
        <v>10837</v>
      </c>
      <c r="W38" s="95" t="s">
        <v>513</v>
      </c>
      <c r="X38" s="15" t="s">
        <v>513</v>
      </c>
      <c r="Y38" s="15" t="s">
        <v>657</v>
      </c>
      <c r="Z38" s="15" t="str">
        <f t="shared" si="1"/>
        <v>Non_friable</v>
      </c>
      <c r="AA38" s="15" t="s">
        <v>9</v>
      </c>
      <c r="AB38" s="15" t="str">
        <f t="shared" si="2"/>
        <v>Cement_products</v>
      </c>
      <c r="AC38" s="15" t="s">
        <v>5594</v>
      </c>
      <c r="AD38" s="15" t="s">
        <v>10778</v>
      </c>
      <c r="AE38" s="15" t="s">
        <v>669</v>
      </c>
      <c r="AF38" s="15" t="s">
        <v>5675</v>
      </c>
      <c r="AG38" s="15" t="s">
        <v>674</v>
      </c>
      <c r="AH38" s="15" t="s">
        <v>654</v>
      </c>
      <c r="AI38" s="15"/>
      <c r="AJ38" s="15" t="s">
        <v>679</v>
      </c>
      <c r="AK38" s="95"/>
      <c r="AL38" s="95" t="s">
        <v>10783</v>
      </c>
      <c r="AM38" s="93" t="s">
        <v>10768</v>
      </c>
      <c r="AN38" s="3"/>
      <c r="AP38" s="28"/>
      <c r="AQ38" s="29"/>
      <c r="AU38" s="22" t="s">
        <v>10874</v>
      </c>
    </row>
    <row r="39" spans="1:47" ht="26.85" customHeight="1" x14ac:dyDescent="0.6">
      <c r="A39" s="15" t="s">
        <v>127</v>
      </c>
      <c r="B39" s="15" t="s">
        <v>240</v>
      </c>
      <c r="C39" s="15" t="s">
        <v>10880</v>
      </c>
      <c r="D39" s="98" t="s">
        <v>10854</v>
      </c>
      <c r="E39" s="99" t="s">
        <v>10855</v>
      </c>
      <c r="F39" s="15" t="s">
        <v>5191</v>
      </c>
      <c r="G39" s="95" t="s">
        <v>10765</v>
      </c>
      <c r="H39" s="15" t="s">
        <v>6582</v>
      </c>
      <c r="I39" s="15">
        <f>IF($H39&lt;&gt;"",(VLOOKUP(H39,'Other Lists'!O:P,2,FALSE)),"")</f>
        <v>3714</v>
      </c>
      <c r="J39" s="15" t="s">
        <v>684</v>
      </c>
      <c r="K39" s="15"/>
      <c r="L39" s="15" t="s">
        <v>645</v>
      </c>
      <c r="M39" s="15" t="s">
        <v>678</v>
      </c>
      <c r="N39" s="40">
        <v>44081</v>
      </c>
      <c r="O39" s="15"/>
      <c r="P39" s="26"/>
      <c r="Q39" s="15">
        <v>1</v>
      </c>
      <c r="R39" s="15"/>
      <c r="S39" s="15"/>
      <c r="T39" s="15" t="s">
        <v>651</v>
      </c>
      <c r="U39" s="15" t="s">
        <v>10235</v>
      </c>
      <c r="V39" s="95" t="s">
        <v>10838</v>
      </c>
      <c r="W39" s="95" t="s">
        <v>513</v>
      </c>
      <c r="X39" s="15" t="s">
        <v>513</v>
      </c>
      <c r="Y39" s="15" t="s">
        <v>657</v>
      </c>
      <c r="Z39" s="15" t="str">
        <f t="shared" si="1"/>
        <v>Non_friable</v>
      </c>
      <c r="AA39" s="15" t="s">
        <v>9</v>
      </c>
      <c r="AB39" s="15" t="str">
        <f t="shared" si="2"/>
        <v>Cement_products</v>
      </c>
      <c r="AC39" s="15" t="s">
        <v>5594</v>
      </c>
      <c r="AD39" s="15" t="s">
        <v>10778</v>
      </c>
      <c r="AE39" s="15" t="s">
        <v>669</v>
      </c>
      <c r="AF39" s="15" t="s">
        <v>5675</v>
      </c>
      <c r="AG39" s="15" t="s">
        <v>674</v>
      </c>
      <c r="AH39" s="15" t="s">
        <v>654</v>
      </c>
      <c r="AI39" s="15"/>
      <c r="AJ39" s="15" t="s">
        <v>679</v>
      </c>
      <c r="AK39" s="95"/>
      <c r="AL39" s="95" t="s">
        <v>10783</v>
      </c>
      <c r="AM39" s="93" t="s">
        <v>10768</v>
      </c>
      <c r="AN39" s="3"/>
      <c r="AP39" s="28"/>
      <c r="AQ39" s="29"/>
      <c r="AU39" s="22" t="s">
        <v>10875</v>
      </c>
    </row>
    <row r="40" spans="1:47" ht="26.85" customHeight="1" x14ac:dyDescent="0.6">
      <c r="A40" s="15" t="s">
        <v>127</v>
      </c>
      <c r="B40" s="15" t="s">
        <v>240</v>
      </c>
      <c r="C40" s="15" t="s">
        <v>10880</v>
      </c>
      <c r="D40" s="98" t="s">
        <v>10854</v>
      </c>
      <c r="E40" s="99" t="s">
        <v>10855</v>
      </c>
      <c r="F40" s="15" t="s">
        <v>5191</v>
      </c>
      <c r="G40" s="95" t="s">
        <v>10765</v>
      </c>
      <c r="H40" s="15" t="s">
        <v>6582</v>
      </c>
      <c r="I40" s="15">
        <f>IF($H40&lt;&gt;"",(VLOOKUP(H40,'Other Lists'!O:P,2,FALSE)),"")</f>
        <v>3714</v>
      </c>
      <c r="J40" s="15" t="s">
        <v>684</v>
      </c>
      <c r="K40" s="15"/>
      <c r="L40" s="15" t="s">
        <v>645</v>
      </c>
      <c r="M40" s="15" t="s">
        <v>678</v>
      </c>
      <c r="N40" s="40">
        <v>44081</v>
      </c>
      <c r="O40" s="15"/>
      <c r="P40" s="26"/>
      <c r="Q40" s="15">
        <v>1</v>
      </c>
      <c r="R40" s="15"/>
      <c r="S40" s="15"/>
      <c r="T40" s="15" t="s">
        <v>651</v>
      </c>
      <c r="U40" s="15" t="s">
        <v>10235</v>
      </c>
      <c r="V40" s="95" t="s">
        <v>10839</v>
      </c>
      <c r="W40" s="95" t="s">
        <v>10840</v>
      </c>
      <c r="X40" s="15" t="s">
        <v>607</v>
      </c>
      <c r="Y40" s="15" t="s">
        <v>658</v>
      </c>
      <c r="Z40" s="15" t="str">
        <f t="shared" si="1"/>
        <v>Friable</v>
      </c>
      <c r="AA40" s="15" t="s">
        <v>662</v>
      </c>
      <c r="AB40" s="15" t="str">
        <f t="shared" si="2"/>
        <v>Vinyl_products__f</v>
      </c>
      <c r="AC40" s="15" t="s">
        <v>10670</v>
      </c>
      <c r="AD40" s="15" t="s">
        <v>10841</v>
      </c>
      <c r="AE40" s="15" t="s">
        <v>668</v>
      </c>
      <c r="AF40" s="15" t="s">
        <v>5675</v>
      </c>
      <c r="AG40" s="15" t="s">
        <v>674</v>
      </c>
      <c r="AH40" s="15" t="s">
        <v>654</v>
      </c>
      <c r="AI40" s="15"/>
      <c r="AJ40" s="15" t="s">
        <v>679</v>
      </c>
      <c r="AK40" s="95"/>
      <c r="AL40" s="95" t="s">
        <v>10775</v>
      </c>
      <c r="AM40" s="93"/>
      <c r="AN40" s="3"/>
      <c r="AP40" s="28"/>
      <c r="AQ40" s="29"/>
      <c r="AU40" s="22" t="s">
        <v>10876</v>
      </c>
    </row>
    <row r="41" spans="1:47" ht="26.85" customHeight="1" x14ac:dyDescent="0.6">
      <c r="A41" s="15" t="s">
        <v>127</v>
      </c>
      <c r="B41" s="15" t="s">
        <v>240</v>
      </c>
      <c r="C41" s="15" t="s">
        <v>10880</v>
      </c>
      <c r="D41" s="98" t="s">
        <v>10854</v>
      </c>
      <c r="E41" s="99" t="s">
        <v>10855</v>
      </c>
      <c r="F41" s="15" t="s">
        <v>5191</v>
      </c>
      <c r="G41" s="95" t="s">
        <v>10765</v>
      </c>
      <c r="H41" s="15" t="s">
        <v>6582</v>
      </c>
      <c r="I41" s="15">
        <f>IF($H41&lt;&gt;"",(VLOOKUP(H41,'Other Lists'!O:P,2,FALSE)),"")</f>
        <v>3714</v>
      </c>
      <c r="J41" s="15" t="s">
        <v>684</v>
      </c>
      <c r="K41" s="15"/>
      <c r="L41" s="15" t="s">
        <v>645</v>
      </c>
      <c r="M41" s="15" t="s">
        <v>678</v>
      </c>
      <c r="N41" s="40">
        <v>44081</v>
      </c>
      <c r="O41" s="15"/>
      <c r="P41" s="26"/>
      <c r="Q41" s="15">
        <v>1</v>
      </c>
      <c r="R41" s="15"/>
      <c r="S41" s="15"/>
      <c r="T41" s="15" t="s">
        <v>651</v>
      </c>
      <c r="U41" s="15" t="s">
        <v>10235</v>
      </c>
      <c r="V41" s="95" t="s">
        <v>10842</v>
      </c>
      <c r="W41" s="95" t="s">
        <v>10817</v>
      </c>
      <c r="X41" s="15" t="s">
        <v>545</v>
      </c>
      <c r="Y41" s="15" t="s">
        <v>657</v>
      </c>
      <c r="Z41" s="15" t="str">
        <f t="shared" si="1"/>
        <v>Non_friable</v>
      </c>
      <c r="AA41" s="15" t="s">
        <v>11</v>
      </c>
      <c r="AB41" s="15" t="str">
        <f t="shared" si="2"/>
        <v>Vinyl_products</v>
      </c>
      <c r="AC41" s="15" t="s">
        <v>10024</v>
      </c>
      <c r="AD41" s="15" t="s">
        <v>10843</v>
      </c>
      <c r="AE41" s="15" t="s">
        <v>671</v>
      </c>
      <c r="AF41" s="15" t="s">
        <v>5675</v>
      </c>
      <c r="AG41" s="15" t="s">
        <v>4958</v>
      </c>
      <c r="AH41" s="15" t="s">
        <v>4958</v>
      </c>
      <c r="AI41" s="15"/>
      <c r="AJ41" s="15" t="s">
        <v>679</v>
      </c>
      <c r="AK41" s="95"/>
      <c r="AL41" s="95"/>
      <c r="AM41" s="93"/>
      <c r="AN41" s="3"/>
      <c r="AP41" s="28"/>
      <c r="AQ41" s="29"/>
    </row>
    <row r="42" spans="1:47" ht="26.85" customHeight="1" x14ac:dyDescent="0.6">
      <c r="A42" s="15" t="s">
        <v>127</v>
      </c>
      <c r="B42" s="15" t="s">
        <v>240</v>
      </c>
      <c r="C42" s="15" t="s">
        <v>10880</v>
      </c>
      <c r="D42" s="98" t="s">
        <v>10854</v>
      </c>
      <c r="E42" s="99" t="s">
        <v>10855</v>
      </c>
      <c r="F42" s="15" t="s">
        <v>5191</v>
      </c>
      <c r="G42" s="95" t="s">
        <v>10765</v>
      </c>
      <c r="H42" s="15" t="s">
        <v>6582</v>
      </c>
      <c r="I42" s="15">
        <f>IF($H42&lt;&gt;"",(VLOOKUP(H42,'Other Lists'!O:P,2,FALSE)),"")</f>
        <v>3714</v>
      </c>
      <c r="J42" s="15" t="s">
        <v>684</v>
      </c>
      <c r="K42" s="15"/>
      <c r="L42" s="15" t="s">
        <v>645</v>
      </c>
      <c r="M42" s="15" t="s">
        <v>678</v>
      </c>
      <c r="N42" s="40">
        <v>44081</v>
      </c>
      <c r="O42" s="15"/>
      <c r="P42" s="26"/>
      <c r="Q42" s="15">
        <v>1</v>
      </c>
      <c r="R42" s="15"/>
      <c r="S42" s="15"/>
      <c r="T42" s="15" t="s">
        <v>651</v>
      </c>
      <c r="U42" s="15" t="s">
        <v>10235</v>
      </c>
      <c r="V42" s="95" t="s">
        <v>10842</v>
      </c>
      <c r="W42" s="95" t="s">
        <v>10808</v>
      </c>
      <c r="X42" s="15" t="s">
        <v>875</v>
      </c>
      <c r="Y42" s="15" t="s">
        <v>657</v>
      </c>
      <c r="Z42" s="15" t="str">
        <f t="shared" si="1"/>
        <v>Non_friable</v>
      </c>
      <c r="AA42" s="15" t="s">
        <v>9</v>
      </c>
      <c r="AB42" s="15" t="str">
        <f t="shared" si="2"/>
        <v>Cement_products</v>
      </c>
      <c r="AC42" s="15" t="s">
        <v>5594</v>
      </c>
      <c r="AD42" s="15" t="s">
        <v>10778</v>
      </c>
      <c r="AE42" s="15" t="s">
        <v>669</v>
      </c>
      <c r="AF42" s="15" t="s">
        <v>5675</v>
      </c>
      <c r="AG42" s="15" t="s">
        <v>627</v>
      </c>
      <c r="AH42" s="15" t="s">
        <v>654</v>
      </c>
      <c r="AI42" s="15"/>
      <c r="AJ42" s="15" t="s">
        <v>679</v>
      </c>
      <c r="AK42" s="95"/>
      <c r="AL42" s="95" t="s">
        <v>10844</v>
      </c>
      <c r="AM42" s="93"/>
      <c r="AN42" s="3"/>
      <c r="AP42" s="28"/>
      <c r="AQ42" s="29"/>
      <c r="AU42" s="22" t="s">
        <v>10877</v>
      </c>
    </row>
    <row r="43" spans="1:47" ht="26.85" customHeight="1" x14ac:dyDescent="0.6">
      <c r="A43" s="15" t="s">
        <v>127</v>
      </c>
      <c r="B43" s="15" t="s">
        <v>240</v>
      </c>
      <c r="C43" s="15" t="s">
        <v>10880</v>
      </c>
      <c r="D43" s="98" t="s">
        <v>10854</v>
      </c>
      <c r="E43" s="99" t="s">
        <v>10855</v>
      </c>
      <c r="F43" s="15" t="s">
        <v>5191</v>
      </c>
      <c r="G43" s="95" t="s">
        <v>10765</v>
      </c>
      <c r="H43" s="15" t="s">
        <v>6582</v>
      </c>
      <c r="I43" s="15">
        <f>IF($H43&lt;&gt;"",(VLOOKUP(H43,'Other Lists'!O:P,2,FALSE)),"")</f>
        <v>3714</v>
      </c>
      <c r="J43" s="15" t="s">
        <v>684</v>
      </c>
      <c r="K43" s="15"/>
      <c r="L43" s="15" t="s">
        <v>645</v>
      </c>
      <c r="M43" s="15" t="s">
        <v>678</v>
      </c>
      <c r="N43" s="40">
        <v>44081</v>
      </c>
      <c r="O43" s="15"/>
      <c r="P43" s="26"/>
      <c r="Q43" s="15">
        <v>1</v>
      </c>
      <c r="R43" s="15"/>
      <c r="S43" s="15"/>
      <c r="T43" s="15" t="s">
        <v>651</v>
      </c>
      <c r="U43" s="15" t="s">
        <v>10235</v>
      </c>
      <c r="V43" s="95" t="s">
        <v>10845</v>
      </c>
      <c r="W43" s="95" t="s">
        <v>10846</v>
      </c>
      <c r="X43" s="15" t="s">
        <v>841</v>
      </c>
      <c r="Y43" s="15" t="s">
        <v>658</v>
      </c>
      <c r="Z43" s="15" t="str">
        <f t="shared" si="1"/>
        <v>Friable</v>
      </c>
      <c r="AA43" s="15" t="s">
        <v>661</v>
      </c>
      <c r="AB43" s="15" t="str">
        <f t="shared" si="2"/>
        <v>Insulation_products__f</v>
      </c>
      <c r="AC43" s="15" t="s">
        <v>5579</v>
      </c>
      <c r="AD43" s="15" t="s">
        <v>10778</v>
      </c>
      <c r="AE43" s="15" t="s">
        <v>669</v>
      </c>
      <c r="AF43" s="15" t="s">
        <v>5675</v>
      </c>
      <c r="AG43" s="15" t="s">
        <v>674</v>
      </c>
      <c r="AH43" s="15" t="s">
        <v>654</v>
      </c>
      <c r="AI43" s="15"/>
      <c r="AJ43" s="15" t="s">
        <v>679</v>
      </c>
      <c r="AK43" s="95"/>
      <c r="AL43" s="95" t="s">
        <v>10779</v>
      </c>
      <c r="AM43" s="93" t="s">
        <v>10836</v>
      </c>
      <c r="AN43" s="3"/>
      <c r="AP43" s="28"/>
      <c r="AQ43" s="29"/>
      <c r="AU43" s="22" t="s">
        <v>10878</v>
      </c>
    </row>
    <row r="44" spans="1:47" ht="26.85" customHeight="1" x14ac:dyDescent="0.6">
      <c r="A44" s="15" t="s">
        <v>127</v>
      </c>
      <c r="B44" s="15" t="s">
        <v>240</v>
      </c>
      <c r="C44" s="15" t="s">
        <v>10880</v>
      </c>
      <c r="D44" s="98" t="s">
        <v>10854</v>
      </c>
      <c r="E44" s="99" t="s">
        <v>10855</v>
      </c>
      <c r="F44" s="15" t="s">
        <v>5191</v>
      </c>
      <c r="G44" s="95" t="s">
        <v>10765</v>
      </c>
      <c r="H44" s="15" t="s">
        <v>6582</v>
      </c>
      <c r="I44" s="15">
        <f>IF($H44&lt;&gt;"",(VLOOKUP(H44,'Other Lists'!O:P,2,FALSE)),"")</f>
        <v>3714</v>
      </c>
      <c r="J44" s="15" t="s">
        <v>684</v>
      </c>
      <c r="K44" s="15"/>
      <c r="L44" s="15" t="s">
        <v>645</v>
      </c>
      <c r="M44" s="15" t="s">
        <v>678</v>
      </c>
      <c r="N44" s="40">
        <v>44081</v>
      </c>
      <c r="O44" s="15"/>
      <c r="P44" s="26"/>
      <c r="Q44" s="15">
        <v>1</v>
      </c>
      <c r="R44" s="15"/>
      <c r="S44" s="15"/>
      <c r="T44" s="15" t="s">
        <v>651</v>
      </c>
      <c r="U44" s="15" t="s">
        <v>10235</v>
      </c>
      <c r="V44" s="95" t="s">
        <v>5242</v>
      </c>
      <c r="W44" s="95" t="s">
        <v>10847</v>
      </c>
      <c r="X44" s="15" t="s">
        <v>856</v>
      </c>
      <c r="Y44" s="15" t="s">
        <v>657</v>
      </c>
      <c r="Z44" s="15" t="str">
        <f t="shared" si="1"/>
        <v>Non_friable</v>
      </c>
      <c r="AA44" s="15" t="s">
        <v>9</v>
      </c>
      <c r="AB44" s="15" t="str">
        <f t="shared" si="2"/>
        <v>Cement_products</v>
      </c>
      <c r="AC44" s="15" t="s">
        <v>5594</v>
      </c>
      <c r="AD44" s="15" t="s">
        <v>10848</v>
      </c>
      <c r="AE44" s="15" t="s">
        <v>670</v>
      </c>
      <c r="AF44" s="15" t="s">
        <v>5675</v>
      </c>
      <c r="AG44" s="15" t="s">
        <v>4957</v>
      </c>
      <c r="AH44" s="15" t="s">
        <v>4957</v>
      </c>
      <c r="AI44" s="15"/>
      <c r="AJ44" s="15" t="s">
        <v>679</v>
      </c>
      <c r="AK44" s="95"/>
      <c r="AL44" s="95"/>
      <c r="AM44" s="93" t="s">
        <v>10768</v>
      </c>
      <c r="AN44" s="3"/>
      <c r="AP44" s="28"/>
      <c r="AQ44" s="29"/>
    </row>
    <row r="45" spans="1:47" ht="26.85" customHeight="1" x14ac:dyDescent="0.6">
      <c r="A45" s="15" t="s">
        <v>127</v>
      </c>
      <c r="B45" s="15" t="s">
        <v>240</v>
      </c>
      <c r="C45" s="15" t="s">
        <v>10880</v>
      </c>
      <c r="D45" s="98" t="s">
        <v>10854</v>
      </c>
      <c r="E45" s="99" t="s">
        <v>10855</v>
      </c>
      <c r="F45" s="15" t="s">
        <v>5191</v>
      </c>
      <c r="G45" s="95" t="s">
        <v>10765</v>
      </c>
      <c r="H45" s="15" t="s">
        <v>6582</v>
      </c>
      <c r="I45" s="15">
        <f>IF($H45&lt;&gt;"",(VLOOKUP(H45,'Other Lists'!O:P,2,FALSE)),"")</f>
        <v>3714</v>
      </c>
      <c r="J45" s="15" t="s">
        <v>684</v>
      </c>
      <c r="K45" s="15"/>
      <c r="L45" s="15" t="s">
        <v>645</v>
      </c>
      <c r="M45" s="15" t="s">
        <v>678</v>
      </c>
      <c r="N45" s="40">
        <v>44081</v>
      </c>
      <c r="O45" s="15"/>
      <c r="P45" s="26"/>
      <c r="Q45" s="15">
        <v>1</v>
      </c>
      <c r="R45" s="15"/>
      <c r="S45" s="15"/>
      <c r="T45" s="15" t="s">
        <v>651</v>
      </c>
      <c r="U45" s="15" t="s">
        <v>10235</v>
      </c>
      <c r="V45" s="95" t="s">
        <v>5242</v>
      </c>
      <c r="W45" s="95" t="s">
        <v>10828</v>
      </c>
      <c r="X45" s="15" t="s">
        <v>763</v>
      </c>
      <c r="Y45" s="15" t="s">
        <v>657</v>
      </c>
      <c r="Z45" s="15" t="str">
        <f t="shared" si="1"/>
        <v>Non_friable</v>
      </c>
      <c r="AA45" s="15" t="s">
        <v>9</v>
      </c>
      <c r="AB45" s="15" t="str">
        <f t="shared" si="2"/>
        <v>Cement_products</v>
      </c>
      <c r="AC45" s="15" t="s">
        <v>5594</v>
      </c>
      <c r="AD45" s="15" t="s">
        <v>10826</v>
      </c>
      <c r="AE45" s="15" t="s">
        <v>671</v>
      </c>
      <c r="AF45" s="15" t="s">
        <v>5675</v>
      </c>
      <c r="AG45" s="15" t="s">
        <v>4958</v>
      </c>
      <c r="AH45" s="15" t="s">
        <v>4958</v>
      </c>
      <c r="AI45" s="15"/>
      <c r="AJ45" s="15" t="s">
        <v>679</v>
      </c>
      <c r="AK45" s="95"/>
      <c r="AL45" s="95"/>
      <c r="AM45" s="93"/>
      <c r="AN45" s="3"/>
      <c r="AP45" s="28"/>
      <c r="AQ45" s="29"/>
    </row>
    <row r="46" spans="1:47" ht="26.85" customHeight="1" x14ac:dyDescent="0.6">
      <c r="A46" s="15" t="s">
        <v>127</v>
      </c>
      <c r="B46" s="15" t="s">
        <v>240</v>
      </c>
      <c r="C46" s="15" t="s">
        <v>10880</v>
      </c>
      <c r="D46" s="98" t="s">
        <v>10854</v>
      </c>
      <c r="E46" s="99" t="s">
        <v>10855</v>
      </c>
      <c r="F46" s="15" t="s">
        <v>5191</v>
      </c>
      <c r="G46" s="95" t="s">
        <v>10765</v>
      </c>
      <c r="H46" s="15" t="s">
        <v>6582</v>
      </c>
      <c r="I46" s="15">
        <f>IF($H46&lt;&gt;"",(VLOOKUP(H46,'Other Lists'!O:P,2,FALSE)),"")</f>
        <v>3714</v>
      </c>
      <c r="J46" s="15" t="s">
        <v>684</v>
      </c>
      <c r="K46" s="15"/>
      <c r="L46" s="15" t="s">
        <v>645</v>
      </c>
      <c r="M46" s="15" t="s">
        <v>678</v>
      </c>
      <c r="N46" s="40">
        <v>44081</v>
      </c>
      <c r="O46" s="15"/>
      <c r="P46" s="26"/>
      <c r="Q46" s="15">
        <v>1</v>
      </c>
      <c r="R46" s="15"/>
      <c r="S46" s="15"/>
      <c r="T46" s="15" t="s">
        <v>651</v>
      </c>
      <c r="U46" s="15" t="s">
        <v>10235</v>
      </c>
      <c r="V46" s="95" t="s">
        <v>5242</v>
      </c>
      <c r="W46" s="95" t="s">
        <v>10849</v>
      </c>
      <c r="X46" s="15" t="s">
        <v>560</v>
      </c>
      <c r="Y46" s="15" t="s">
        <v>657</v>
      </c>
      <c r="Z46" s="15" t="str">
        <f t="shared" si="1"/>
        <v>Non_friable</v>
      </c>
      <c r="AA46" s="15" t="s">
        <v>9</v>
      </c>
      <c r="AB46" s="15" t="str">
        <f t="shared" si="2"/>
        <v>Cement_products</v>
      </c>
      <c r="AC46" s="15" t="s">
        <v>5594</v>
      </c>
      <c r="AD46" s="15" t="s">
        <v>10826</v>
      </c>
      <c r="AE46" s="15" t="s">
        <v>671</v>
      </c>
      <c r="AF46" s="15" t="s">
        <v>5675</v>
      </c>
      <c r="AG46" s="15" t="s">
        <v>4958</v>
      </c>
      <c r="AH46" s="15" t="s">
        <v>4958</v>
      </c>
      <c r="AI46" s="15"/>
      <c r="AJ46" s="15" t="s">
        <v>679</v>
      </c>
      <c r="AK46" s="95"/>
      <c r="AL46" s="95"/>
      <c r="AM46" s="93"/>
      <c r="AN46" s="3"/>
      <c r="AP46" s="28"/>
      <c r="AQ46" s="29"/>
    </row>
    <row r="47" spans="1:47" ht="26.85" customHeight="1" x14ac:dyDescent="0.45">
      <c r="A47" s="15"/>
      <c r="B47" s="15"/>
      <c r="C47" s="15"/>
      <c r="D47" s="95"/>
      <c r="E47" s="95"/>
      <c r="F47" s="15"/>
      <c r="G47" s="95"/>
      <c r="H47" s="15"/>
      <c r="I47" s="15" t="str">
        <f>IF($H47&lt;&gt;"",(VLOOKUP(H47,'Other Lists'!O:P,2,FALSE)),"")</f>
        <v/>
      </c>
      <c r="J47" s="15"/>
      <c r="K47" s="15"/>
      <c r="L47" s="15"/>
      <c r="M47" s="15"/>
      <c r="N47" s="40"/>
      <c r="O47" s="15"/>
      <c r="P47" s="26"/>
      <c r="Q47" s="15"/>
      <c r="R47" s="15"/>
      <c r="S47" s="15"/>
      <c r="T47" s="15"/>
      <c r="U47" s="15"/>
      <c r="V47" s="95"/>
      <c r="W47" s="95"/>
      <c r="X47" s="15"/>
      <c r="Y47" s="15"/>
      <c r="Z47" s="15" t="str">
        <f t="shared" si="1"/>
        <v/>
      </c>
      <c r="AA47" s="15"/>
      <c r="AB47" s="15" t="str">
        <f t="shared" si="2"/>
        <v/>
      </c>
      <c r="AC47" s="15"/>
      <c r="AD47" s="15"/>
      <c r="AE47" s="15"/>
      <c r="AF47" s="15"/>
      <c r="AG47" s="15"/>
      <c r="AH47" s="15"/>
      <c r="AI47" s="15"/>
      <c r="AJ47" s="15"/>
      <c r="AK47" s="95"/>
      <c r="AL47" s="95"/>
      <c r="AM47" s="93"/>
      <c r="AN47" s="3"/>
      <c r="AP47" s="28"/>
      <c r="AQ47" s="29"/>
    </row>
    <row r="48" spans="1:47" ht="26.85" customHeight="1" x14ac:dyDescent="0.45">
      <c r="A48" s="15"/>
      <c r="B48" s="15"/>
      <c r="C48" s="15"/>
      <c r="D48" s="95"/>
      <c r="E48" s="95"/>
      <c r="F48" s="15"/>
      <c r="G48" s="95"/>
      <c r="H48" s="15"/>
      <c r="I48" s="15" t="str">
        <f>IF($H48&lt;&gt;"",(VLOOKUP(H48,'Other Lists'!O:P,2,FALSE)),"")</f>
        <v/>
      </c>
      <c r="J48" s="15"/>
      <c r="K48" s="15"/>
      <c r="L48" s="15"/>
      <c r="M48" s="15"/>
      <c r="N48" s="40"/>
      <c r="O48" s="15"/>
      <c r="P48" s="26"/>
      <c r="Q48" s="15"/>
      <c r="R48" s="15"/>
      <c r="S48" s="15"/>
      <c r="T48" s="15"/>
      <c r="U48" s="15"/>
      <c r="V48" s="95"/>
      <c r="W48" s="95"/>
      <c r="X48" s="15"/>
      <c r="Y48" s="15"/>
      <c r="Z48" s="15" t="str">
        <f t="shared" si="1"/>
        <v/>
      </c>
      <c r="AA48" s="15"/>
      <c r="AB48" s="15" t="str">
        <f t="shared" si="2"/>
        <v/>
      </c>
      <c r="AC48" s="15"/>
      <c r="AD48" s="15"/>
      <c r="AE48" s="15"/>
      <c r="AF48" s="15"/>
      <c r="AG48" s="15"/>
      <c r="AH48" s="15"/>
      <c r="AI48" s="15"/>
      <c r="AJ48" s="15"/>
      <c r="AK48" s="95"/>
      <c r="AL48" s="95"/>
      <c r="AM48" s="93"/>
      <c r="AN48" s="3"/>
      <c r="AP48" s="28"/>
      <c r="AQ48" s="29"/>
    </row>
    <row r="49" spans="1:43" ht="26.85" customHeight="1" x14ac:dyDescent="0.45">
      <c r="A49" s="15"/>
      <c r="B49" s="15"/>
      <c r="C49" s="15"/>
      <c r="D49" s="95"/>
      <c r="E49" s="95"/>
      <c r="F49" s="15"/>
      <c r="G49" s="95"/>
      <c r="H49" s="15"/>
      <c r="I49" s="15" t="str">
        <f>IF($H49&lt;&gt;"",(VLOOKUP(H49,'Other Lists'!O:P,2,FALSE)),"")</f>
        <v/>
      </c>
      <c r="J49" s="15"/>
      <c r="K49" s="15"/>
      <c r="L49" s="15"/>
      <c r="M49" s="15"/>
      <c r="N49" s="40"/>
      <c r="O49" s="15"/>
      <c r="P49" s="26"/>
      <c r="Q49" s="15"/>
      <c r="R49" s="15"/>
      <c r="S49" s="15"/>
      <c r="T49" s="15"/>
      <c r="U49" s="15"/>
      <c r="V49" s="95"/>
      <c r="W49" s="95"/>
      <c r="X49" s="15"/>
      <c r="Y49" s="15"/>
      <c r="Z49" s="15" t="str">
        <f t="shared" si="1"/>
        <v/>
      </c>
      <c r="AA49" s="15"/>
      <c r="AB49" s="15" t="str">
        <f t="shared" si="2"/>
        <v/>
      </c>
      <c r="AC49" s="15"/>
      <c r="AD49" s="15"/>
      <c r="AE49" s="15"/>
      <c r="AF49" s="15"/>
      <c r="AG49" s="15"/>
      <c r="AH49" s="15"/>
      <c r="AI49" s="15"/>
      <c r="AJ49" s="15"/>
      <c r="AK49" s="95"/>
      <c r="AL49" s="95"/>
      <c r="AM49" s="93"/>
      <c r="AN49" s="3"/>
      <c r="AP49" s="28"/>
      <c r="AQ49" s="29"/>
    </row>
    <row r="50" spans="1:43" ht="26.85" customHeight="1" x14ac:dyDescent="0.45">
      <c r="A50" s="15"/>
      <c r="B50" s="15"/>
      <c r="C50" s="15"/>
      <c r="D50" s="95"/>
      <c r="E50" s="95"/>
      <c r="F50" s="15"/>
      <c r="G50" s="95"/>
      <c r="H50" s="15"/>
      <c r="I50" s="15" t="str">
        <f>IF($H50&lt;&gt;"",(VLOOKUP(H50,'Other Lists'!O:P,2,FALSE)),"")</f>
        <v/>
      </c>
      <c r="J50" s="15"/>
      <c r="K50" s="15"/>
      <c r="L50" s="15"/>
      <c r="M50" s="15"/>
      <c r="N50" s="40"/>
      <c r="O50" s="15"/>
      <c r="P50" s="26"/>
      <c r="Q50" s="15"/>
      <c r="R50" s="15"/>
      <c r="S50" s="15"/>
      <c r="T50" s="15"/>
      <c r="U50" s="15"/>
      <c r="V50" s="95"/>
      <c r="W50" s="95"/>
      <c r="X50" s="15"/>
      <c r="Y50" s="15"/>
      <c r="Z50" s="15" t="str">
        <f t="shared" si="1"/>
        <v/>
      </c>
      <c r="AA50" s="15"/>
      <c r="AB50" s="15" t="str">
        <f t="shared" si="2"/>
        <v/>
      </c>
      <c r="AC50" s="15"/>
      <c r="AD50" s="15"/>
      <c r="AE50" s="15"/>
      <c r="AF50" s="15"/>
      <c r="AG50" s="15"/>
      <c r="AH50" s="15"/>
      <c r="AI50" s="15"/>
      <c r="AJ50" s="15"/>
      <c r="AK50" s="95"/>
      <c r="AL50" s="95"/>
      <c r="AM50" s="93"/>
      <c r="AN50" s="3"/>
      <c r="AP50" s="28"/>
      <c r="AQ50" s="29"/>
    </row>
    <row r="51" spans="1:43" ht="26.85" customHeight="1" x14ac:dyDescent="0.45">
      <c r="A51" s="15"/>
      <c r="B51" s="15"/>
      <c r="C51" s="15"/>
      <c r="D51" s="95"/>
      <c r="E51" s="95"/>
      <c r="F51" s="15"/>
      <c r="G51" s="95"/>
      <c r="H51" s="15"/>
      <c r="I51" s="15" t="str">
        <f>IF($H51&lt;&gt;"",(VLOOKUP(H51,'Other Lists'!O:P,2,FALSE)),"")</f>
        <v/>
      </c>
      <c r="J51" s="15"/>
      <c r="K51" s="15"/>
      <c r="L51" s="15"/>
      <c r="M51" s="15"/>
      <c r="N51" s="40"/>
      <c r="O51" s="15"/>
      <c r="P51" s="26"/>
      <c r="Q51" s="15"/>
      <c r="R51" s="15"/>
      <c r="S51" s="15"/>
      <c r="T51" s="15"/>
      <c r="U51" s="15"/>
      <c r="V51" s="95"/>
      <c r="W51" s="95"/>
      <c r="X51" s="15"/>
      <c r="Y51" s="15"/>
      <c r="Z51" s="15" t="str">
        <f t="shared" si="1"/>
        <v/>
      </c>
      <c r="AA51" s="15"/>
      <c r="AB51" s="15" t="str">
        <f t="shared" si="2"/>
        <v/>
      </c>
      <c r="AC51" s="15"/>
      <c r="AD51" s="15"/>
      <c r="AE51" s="15"/>
      <c r="AF51" s="15"/>
      <c r="AG51" s="15"/>
      <c r="AH51" s="15"/>
      <c r="AI51" s="15"/>
      <c r="AJ51" s="15"/>
      <c r="AK51" s="95"/>
      <c r="AL51" s="95"/>
      <c r="AM51" s="93"/>
      <c r="AN51" s="3"/>
      <c r="AP51" s="28"/>
      <c r="AQ51" s="29"/>
    </row>
    <row r="52" spans="1:43" ht="26.85" customHeight="1" x14ac:dyDescent="0.45">
      <c r="A52" s="15"/>
      <c r="B52" s="15"/>
      <c r="C52" s="15"/>
      <c r="D52" s="95"/>
      <c r="E52" s="95"/>
      <c r="F52" s="15"/>
      <c r="G52" s="95"/>
      <c r="H52" s="15"/>
      <c r="I52" s="15" t="str">
        <f>IF($H52&lt;&gt;"",(VLOOKUP(H52,'Other Lists'!O:P,2,FALSE)),"")</f>
        <v/>
      </c>
      <c r="J52" s="15"/>
      <c r="K52" s="15"/>
      <c r="L52" s="15"/>
      <c r="M52" s="15"/>
      <c r="N52" s="40"/>
      <c r="O52" s="15"/>
      <c r="P52" s="26"/>
      <c r="Q52" s="15"/>
      <c r="R52" s="15"/>
      <c r="S52" s="15"/>
      <c r="T52" s="15"/>
      <c r="U52" s="15"/>
      <c r="V52" s="95"/>
      <c r="W52" s="95"/>
      <c r="X52" s="15"/>
      <c r="Y52" s="15"/>
      <c r="Z52" s="15" t="str">
        <f t="shared" si="1"/>
        <v/>
      </c>
      <c r="AA52" s="15"/>
      <c r="AB52" s="15" t="str">
        <f t="shared" si="2"/>
        <v/>
      </c>
      <c r="AC52" s="15"/>
      <c r="AD52" s="15"/>
      <c r="AE52" s="15"/>
      <c r="AF52" s="15"/>
      <c r="AG52" s="15"/>
      <c r="AH52" s="15"/>
      <c r="AI52" s="15"/>
      <c r="AJ52" s="15"/>
      <c r="AK52" s="95"/>
      <c r="AL52" s="95"/>
      <c r="AM52" s="93"/>
      <c r="AN52" s="3"/>
      <c r="AP52" s="28"/>
      <c r="AQ52" s="29"/>
    </row>
    <row r="53" spans="1:43" ht="26.85" customHeight="1" x14ac:dyDescent="0.45">
      <c r="A53" s="15"/>
      <c r="B53" s="15"/>
      <c r="C53" s="15"/>
      <c r="D53" s="95"/>
      <c r="E53" s="95"/>
      <c r="F53" s="15"/>
      <c r="G53" s="95"/>
      <c r="H53" s="15"/>
      <c r="I53" s="15" t="str">
        <f>IF($H53&lt;&gt;"",(VLOOKUP(H53,'Other Lists'!O:P,2,FALSE)),"")</f>
        <v/>
      </c>
      <c r="J53" s="15"/>
      <c r="K53" s="15"/>
      <c r="L53" s="15"/>
      <c r="M53" s="15"/>
      <c r="N53" s="40"/>
      <c r="O53" s="15"/>
      <c r="P53" s="26"/>
      <c r="Q53" s="15"/>
      <c r="R53" s="15"/>
      <c r="S53" s="15"/>
      <c r="T53" s="15"/>
      <c r="U53" s="15"/>
      <c r="V53" s="95"/>
      <c r="W53" s="95"/>
      <c r="X53" s="15"/>
      <c r="Y53" s="15"/>
      <c r="Z53" s="15" t="str">
        <f t="shared" ref="Z53:Z116" si="3">(SUBSTITUTE(SUBSTITUTE(SUBSTITUTE(SUBSTITUTE(SUBSTITUTE(SUBSTITUTE($Y53,",","_")," ","_"),"/","_"),"(","_"),")",""),"-","_"))</f>
        <v/>
      </c>
      <c r="AA53" s="15"/>
      <c r="AB53" s="15" t="str">
        <f t="shared" ref="AB53:AB116" si="4">(SUBSTITUTE(SUBSTITUTE(SUBSTITUTE(SUBSTITUTE(SUBSTITUTE(SUBSTITUTE($AA53,",","_")," ","_"),"/","_"),"(","_"),")",""),"_","_"))</f>
        <v/>
      </c>
      <c r="AC53" s="15"/>
      <c r="AD53" s="15"/>
      <c r="AE53" s="15"/>
      <c r="AF53" s="15"/>
      <c r="AG53" s="15"/>
      <c r="AH53" s="15"/>
      <c r="AI53" s="15"/>
      <c r="AJ53" s="15"/>
      <c r="AK53" s="95"/>
      <c r="AL53" s="95"/>
      <c r="AM53" s="93"/>
      <c r="AN53" s="3"/>
      <c r="AP53" s="28"/>
      <c r="AQ53" s="29"/>
    </row>
    <row r="54" spans="1:43" ht="26.85" customHeight="1" x14ac:dyDescent="0.45">
      <c r="A54" s="15"/>
      <c r="B54" s="15"/>
      <c r="C54" s="15"/>
      <c r="D54" s="95"/>
      <c r="E54" s="95"/>
      <c r="F54" s="15"/>
      <c r="G54" s="95"/>
      <c r="H54" s="15"/>
      <c r="I54" s="15" t="str">
        <f>IF($H54&lt;&gt;"",(VLOOKUP(H54,'Other Lists'!O:P,2,FALSE)),"")</f>
        <v/>
      </c>
      <c r="J54" s="15"/>
      <c r="K54" s="15"/>
      <c r="L54" s="15"/>
      <c r="M54" s="15"/>
      <c r="N54" s="40"/>
      <c r="O54" s="15"/>
      <c r="P54" s="26"/>
      <c r="Q54" s="15"/>
      <c r="R54" s="15"/>
      <c r="S54" s="15"/>
      <c r="T54" s="15"/>
      <c r="U54" s="15"/>
      <c r="V54" s="95"/>
      <c r="W54" s="95"/>
      <c r="X54" s="15"/>
      <c r="Y54" s="15"/>
      <c r="Z54" s="15" t="str">
        <f t="shared" si="1"/>
        <v/>
      </c>
      <c r="AA54" s="15"/>
      <c r="AB54" s="15" t="str">
        <f t="shared" si="4"/>
        <v/>
      </c>
      <c r="AC54" s="15"/>
      <c r="AD54" s="15"/>
      <c r="AE54" s="15"/>
      <c r="AF54" s="15"/>
      <c r="AG54" s="15"/>
      <c r="AH54" s="15"/>
      <c r="AI54" s="15"/>
      <c r="AJ54" s="15"/>
      <c r="AK54" s="95"/>
      <c r="AL54" s="95"/>
      <c r="AM54" s="93"/>
      <c r="AN54" s="3"/>
      <c r="AP54" s="28"/>
      <c r="AQ54" s="29"/>
    </row>
    <row r="55" spans="1:43" ht="26.85" customHeight="1" x14ac:dyDescent="0.45">
      <c r="A55" s="15"/>
      <c r="B55" s="15"/>
      <c r="C55" s="15"/>
      <c r="D55" s="95"/>
      <c r="E55" s="95"/>
      <c r="F55" s="15"/>
      <c r="G55" s="95"/>
      <c r="H55" s="15"/>
      <c r="I55" s="15" t="str">
        <f>IF($H55&lt;&gt;"",(VLOOKUP(H55,'Other Lists'!O:P,2,FALSE)),"")</f>
        <v/>
      </c>
      <c r="J55" s="15"/>
      <c r="K55" s="15"/>
      <c r="L55" s="15"/>
      <c r="M55" s="15"/>
      <c r="N55" s="40"/>
      <c r="O55" s="15"/>
      <c r="P55" s="26"/>
      <c r="Q55" s="15"/>
      <c r="R55" s="15"/>
      <c r="S55" s="15"/>
      <c r="T55" s="15"/>
      <c r="U55" s="15"/>
      <c r="V55" s="95"/>
      <c r="W55" s="95"/>
      <c r="X55" s="15"/>
      <c r="Y55" s="15"/>
      <c r="Z55" s="15" t="str">
        <f t="shared" si="3"/>
        <v/>
      </c>
      <c r="AA55" s="15"/>
      <c r="AB55" s="15" t="str">
        <f t="shared" si="4"/>
        <v/>
      </c>
      <c r="AC55" s="15"/>
      <c r="AD55" s="15"/>
      <c r="AE55" s="15"/>
      <c r="AF55" s="15"/>
      <c r="AG55" s="15"/>
      <c r="AH55" s="15"/>
      <c r="AI55" s="15"/>
      <c r="AJ55" s="15"/>
      <c r="AK55" s="95"/>
      <c r="AL55" s="95"/>
      <c r="AM55" s="93"/>
      <c r="AN55" s="3"/>
      <c r="AP55" s="28"/>
      <c r="AQ55" s="29"/>
    </row>
    <row r="56" spans="1:43" ht="26.85" customHeight="1" x14ac:dyDescent="0.45">
      <c r="A56" s="15"/>
      <c r="B56" s="15"/>
      <c r="C56" s="15"/>
      <c r="D56" s="95"/>
      <c r="E56" s="95"/>
      <c r="F56" s="15"/>
      <c r="G56" s="95"/>
      <c r="H56" s="15"/>
      <c r="I56" s="15" t="str">
        <f>IF($H56&lt;&gt;"",(VLOOKUP(H56,'Other Lists'!O:P,2,FALSE)),"")</f>
        <v/>
      </c>
      <c r="J56" s="15"/>
      <c r="K56" s="15"/>
      <c r="L56" s="15"/>
      <c r="M56" s="15"/>
      <c r="N56" s="40"/>
      <c r="O56" s="15"/>
      <c r="P56" s="26"/>
      <c r="Q56" s="15"/>
      <c r="R56" s="15"/>
      <c r="S56" s="15"/>
      <c r="T56" s="15"/>
      <c r="U56" s="15"/>
      <c r="V56" s="95"/>
      <c r="W56" s="95"/>
      <c r="X56" s="15"/>
      <c r="Y56" s="15"/>
      <c r="Z56" s="15" t="str">
        <f t="shared" si="1"/>
        <v/>
      </c>
      <c r="AA56" s="15"/>
      <c r="AB56" s="15" t="str">
        <f t="shared" si="4"/>
        <v/>
      </c>
      <c r="AC56" s="15"/>
      <c r="AD56" s="15"/>
      <c r="AE56" s="15"/>
      <c r="AF56" s="15"/>
      <c r="AG56" s="15"/>
      <c r="AH56" s="15"/>
      <c r="AI56" s="15"/>
      <c r="AJ56" s="15"/>
      <c r="AK56" s="95"/>
      <c r="AL56" s="95"/>
      <c r="AM56" s="93"/>
      <c r="AN56" s="3"/>
      <c r="AP56" s="28"/>
      <c r="AQ56" s="29"/>
    </row>
    <row r="57" spans="1:43" ht="26.85" customHeight="1" x14ac:dyDescent="0.45">
      <c r="A57" s="15"/>
      <c r="B57" s="15"/>
      <c r="C57" s="15"/>
      <c r="D57" s="95"/>
      <c r="E57" s="95"/>
      <c r="F57" s="15"/>
      <c r="G57" s="95"/>
      <c r="H57" s="15"/>
      <c r="I57" s="15" t="str">
        <f>IF($H57&lt;&gt;"",(VLOOKUP(H57,'Other Lists'!O:P,2,FALSE)),"")</f>
        <v/>
      </c>
      <c r="J57" s="15"/>
      <c r="K57" s="15"/>
      <c r="L57" s="15"/>
      <c r="M57" s="15"/>
      <c r="N57" s="40"/>
      <c r="O57" s="15"/>
      <c r="P57" s="26"/>
      <c r="Q57" s="15"/>
      <c r="R57" s="15"/>
      <c r="S57" s="15"/>
      <c r="T57" s="15"/>
      <c r="U57" s="15"/>
      <c r="V57" s="95"/>
      <c r="W57" s="95"/>
      <c r="X57" s="15"/>
      <c r="Y57" s="15"/>
      <c r="Z57" s="15" t="str">
        <f t="shared" si="1"/>
        <v/>
      </c>
      <c r="AA57" s="15"/>
      <c r="AB57" s="15" t="str">
        <f t="shared" si="4"/>
        <v/>
      </c>
      <c r="AC57" s="15"/>
      <c r="AD57" s="15"/>
      <c r="AE57" s="15"/>
      <c r="AF57" s="15"/>
      <c r="AG57" s="15"/>
      <c r="AH57" s="15"/>
      <c r="AI57" s="15"/>
      <c r="AJ57" s="15"/>
      <c r="AK57" s="95"/>
      <c r="AL57" s="95"/>
      <c r="AM57" s="93"/>
      <c r="AN57" s="3"/>
      <c r="AP57" s="28"/>
      <c r="AQ57" s="29"/>
    </row>
    <row r="58" spans="1:43" ht="26.85" customHeight="1" x14ac:dyDescent="0.45">
      <c r="A58" s="15"/>
      <c r="B58" s="15"/>
      <c r="C58" s="15"/>
      <c r="D58" s="95"/>
      <c r="E58" s="95"/>
      <c r="F58" s="15"/>
      <c r="G58" s="95"/>
      <c r="H58" s="15"/>
      <c r="I58" s="15" t="str">
        <f>IF($H58&lt;&gt;"",(VLOOKUP(H58,'Other Lists'!O:P,2,FALSE)),"")</f>
        <v/>
      </c>
      <c r="J58" s="15"/>
      <c r="K58" s="15"/>
      <c r="L58" s="15"/>
      <c r="M58" s="15"/>
      <c r="N58" s="40"/>
      <c r="O58" s="15"/>
      <c r="P58" s="26"/>
      <c r="Q58" s="15"/>
      <c r="R58" s="15"/>
      <c r="S58" s="15"/>
      <c r="T58" s="15"/>
      <c r="U58" s="15"/>
      <c r="V58" s="95"/>
      <c r="W58" s="95"/>
      <c r="X58" s="15"/>
      <c r="Y58" s="15"/>
      <c r="Z58" s="15" t="str">
        <f t="shared" si="3"/>
        <v/>
      </c>
      <c r="AA58" s="15"/>
      <c r="AB58" s="15" t="str">
        <f t="shared" si="4"/>
        <v/>
      </c>
      <c r="AC58" s="15"/>
      <c r="AD58" s="15"/>
      <c r="AE58" s="15"/>
      <c r="AF58" s="15"/>
      <c r="AG58" s="15"/>
      <c r="AH58" s="15"/>
      <c r="AI58" s="15"/>
      <c r="AJ58" s="15"/>
      <c r="AK58" s="95"/>
      <c r="AL58" s="95"/>
      <c r="AM58" s="93"/>
      <c r="AN58" s="3"/>
      <c r="AP58" s="28"/>
      <c r="AQ58" s="29"/>
    </row>
    <row r="59" spans="1:43" ht="26.85" customHeight="1" x14ac:dyDescent="0.45">
      <c r="A59" s="15"/>
      <c r="B59" s="15"/>
      <c r="C59" s="15"/>
      <c r="D59" s="95"/>
      <c r="E59" s="95"/>
      <c r="F59" s="15"/>
      <c r="G59" s="95"/>
      <c r="H59" s="15"/>
      <c r="I59" s="15" t="str">
        <f>IF($H59&lt;&gt;"",(VLOOKUP(H59,'Other Lists'!O:P,2,FALSE)),"")</f>
        <v/>
      </c>
      <c r="J59" s="15"/>
      <c r="K59" s="15"/>
      <c r="L59" s="15"/>
      <c r="M59" s="15"/>
      <c r="N59" s="40"/>
      <c r="O59" s="15"/>
      <c r="P59" s="26"/>
      <c r="Q59" s="15"/>
      <c r="R59" s="15"/>
      <c r="S59" s="15"/>
      <c r="T59" s="15"/>
      <c r="U59" s="15"/>
      <c r="V59" s="95"/>
      <c r="W59" s="95"/>
      <c r="X59" s="15"/>
      <c r="Y59" s="15"/>
      <c r="Z59" s="15" t="str">
        <f t="shared" si="3"/>
        <v/>
      </c>
      <c r="AA59" s="15"/>
      <c r="AB59" s="15" t="str">
        <f t="shared" si="4"/>
        <v/>
      </c>
      <c r="AC59" s="15"/>
      <c r="AD59" s="15"/>
      <c r="AE59" s="15"/>
      <c r="AF59" s="15"/>
      <c r="AG59" s="15"/>
      <c r="AH59" s="15"/>
      <c r="AI59" s="15"/>
      <c r="AJ59" s="15"/>
      <c r="AK59" s="95"/>
      <c r="AL59" s="95"/>
      <c r="AM59" s="93"/>
      <c r="AN59" s="3"/>
      <c r="AP59" s="28"/>
      <c r="AQ59" s="29"/>
    </row>
    <row r="60" spans="1:43" ht="26.85" customHeight="1" x14ac:dyDescent="0.45">
      <c r="A60" s="15"/>
      <c r="B60" s="15"/>
      <c r="C60" s="15"/>
      <c r="D60" s="95"/>
      <c r="E60" s="95"/>
      <c r="F60" s="15"/>
      <c r="G60" s="95"/>
      <c r="H60" s="15"/>
      <c r="I60" s="15" t="str">
        <f>IF($H60&lt;&gt;"",(VLOOKUP(H60,'Other Lists'!O:P,2,FALSE)),"")</f>
        <v/>
      </c>
      <c r="J60" s="15"/>
      <c r="K60" s="15"/>
      <c r="L60" s="15"/>
      <c r="M60" s="15"/>
      <c r="N60" s="40"/>
      <c r="O60" s="15"/>
      <c r="P60" s="26"/>
      <c r="Q60" s="15"/>
      <c r="R60" s="15"/>
      <c r="S60" s="15"/>
      <c r="T60" s="15"/>
      <c r="U60" s="15"/>
      <c r="V60" s="95"/>
      <c r="W60" s="95"/>
      <c r="X60" s="15"/>
      <c r="Y60" s="15"/>
      <c r="Z60" s="15" t="str">
        <f t="shared" si="3"/>
        <v/>
      </c>
      <c r="AA60" s="15"/>
      <c r="AB60" s="15" t="str">
        <f t="shared" si="4"/>
        <v/>
      </c>
      <c r="AC60" s="15"/>
      <c r="AD60" s="15"/>
      <c r="AE60" s="15"/>
      <c r="AF60" s="15"/>
      <c r="AG60" s="15"/>
      <c r="AH60" s="15"/>
      <c r="AI60" s="15"/>
      <c r="AJ60" s="15"/>
      <c r="AK60" s="95"/>
      <c r="AL60" s="95"/>
      <c r="AM60" s="93"/>
      <c r="AN60" s="3"/>
      <c r="AP60" s="28"/>
      <c r="AQ60" s="29"/>
    </row>
    <row r="61" spans="1:43" ht="26.85" customHeight="1" x14ac:dyDescent="0.45">
      <c r="A61" s="15"/>
      <c r="B61" s="15"/>
      <c r="C61" s="15"/>
      <c r="D61" s="95"/>
      <c r="E61" s="95"/>
      <c r="F61" s="15"/>
      <c r="G61" s="95"/>
      <c r="H61" s="15"/>
      <c r="I61" s="15" t="str">
        <f>IF($H61&lt;&gt;"",(VLOOKUP(H61,'Other Lists'!O:P,2,FALSE)),"")</f>
        <v/>
      </c>
      <c r="J61" s="15"/>
      <c r="K61" s="15"/>
      <c r="L61" s="15"/>
      <c r="M61" s="15"/>
      <c r="N61" s="40"/>
      <c r="O61" s="15"/>
      <c r="P61" s="26"/>
      <c r="Q61" s="15"/>
      <c r="R61" s="15"/>
      <c r="S61" s="15"/>
      <c r="T61" s="15"/>
      <c r="U61" s="15"/>
      <c r="V61" s="95"/>
      <c r="W61" s="95"/>
      <c r="X61" s="15"/>
      <c r="Y61" s="15"/>
      <c r="Z61" s="15" t="str">
        <f t="shared" si="3"/>
        <v/>
      </c>
      <c r="AA61" s="15"/>
      <c r="AB61" s="15" t="str">
        <f t="shared" si="4"/>
        <v/>
      </c>
      <c r="AC61" s="15"/>
      <c r="AD61" s="15"/>
      <c r="AE61" s="15"/>
      <c r="AF61" s="15"/>
      <c r="AG61" s="15"/>
      <c r="AH61" s="15"/>
      <c r="AI61" s="15"/>
      <c r="AJ61" s="15"/>
      <c r="AK61" s="95"/>
      <c r="AL61" s="95"/>
      <c r="AM61" s="93"/>
      <c r="AN61" s="3"/>
      <c r="AP61" s="28"/>
      <c r="AQ61" s="29"/>
    </row>
    <row r="62" spans="1:43" ht="26.85" customHeight="1" x14ac:dyDescent="0.45">
      <c r="A62" s="15"/>
      <c r="B62" s="15"/>
      <c r="C62" s="15"/>
      <c r="D62" s="95"/>
      <c r="E62" s="95"/>
      <c r="F62" s="15"/>
      <c r="G62" s="95"/>
      <c r="H62" s="15"/>
      <c r="I62" s="15" t="str">
        <f>IF($H62&lt;&gt;"",(VLOOKUP(H62,'Other Lists'!O:P,2,FALSE)),"")</f>
        <v/>
      </c>
      <c r="J62" s="15"/>
      <c r="K62" s="15"/>
      <c r="L62" s="15"/>
      <c r="M62" s="15"/>
      <c r="N62" s="40"/>
      <c r="O62" s="15"/>
      <c r="P62" s="26"/>
      <c r="Q62" s="15"/>
      <c r="R62" s="15"/>
      <c r="S62" s="15"/>
      <c r="T62" s="15"/>
      <c r="U62" s="15"/>
      <c r="V62" s="95"/>
      <c r="W62" s="95"/>
      <c r="X62" s="15"/>
      <c r="Y62" s="15"/>
      <c r="Z62" s="15" t="str">
        <f t="shared" si="3"/>
        <v/>
      </c>
      <c r="AA62" s="15"/>
      <c r="AB62" s="15" t="str">
        <f t="shared" si="4"/>
        <v/>
      </c>
      <c r="AC62" s="15"/>
      <c r="AD62" s="15"/>
      <c r="AE62" s="15"/>
      <c r="AF62" s="15"/>
      <c r="AG62" s="15"/>
      <c r="AH62" s="15"/>
      <c r="AI62" s="15"/>
      <c r="AJ62" s="15"/>
      <c r="AK62" s="95"/>
      <c r="AL62" s="95"/>
      <c r="AM62" s="93"/>
      <c r="AN62" s="3"/>
      <c r="AP62" s="28"/>
      <c r="AQ62" s="29"/>
    </row>
    <row r="63" spans="1:43" ht="26.85" customHeight="1" x14ac:dyDescent="0.45">
      <c r="A63" s="15"/>
      <c r="B63" s="15"/>
      <c r="C63" s="15"/>
      <c r="D63" s="95"/>
      <c r="E63" s="95"/>
      <c r="F63" s="15"/>
      <c r="G63" s="95"/>
      <c r="H63" s="15"/>
      <c r="I63" s="15" t="str">
        <f>IF($H63&lt;&gt;"",(VLOOKUP(H63,'Other Lists'!O:P,2,FALSE)),"")</f>
        <v/>
      </c>
      <c r="J63" s="15"/>
      <c r="K63" s="15"/>
      <c r="L63" s="15"/>
      <c r="M63" s="15"/>
      <c r="N63" s="40"/>
      <c r="O63" s="15"/>
      <c r="P63" s="26"/>
      <c r="Q63" s="15"/>
      <c r="R63" s="15"/>
      <c r="S63" s="15"/>
      <c r="T63" s="15"/>
      <c r="U63" s="15"/>
      <c r="V63" s="95"/>
      <c r="W63" s="95"/>
      <c r="X63" s="15"/>
      <c r="Y63" s="15"/>
      <c r="Z63" s="15" t="str">
        <f t="shared" si="3"/>
        <v/>
      </c>
      <c r="AA63" s="15"/>
      <c r="AB63" s="15" t="str">
        <f t="shared" si="4"/>
        <v/>
      </c>
      <c r="AC63" s="15"/>
      <c r="AD63" s="15"/>
      <c r="AE63" s="15"/>
      <c r="AF63" s="15"/>
      <c r="AG63" s="15"/>
      <c r="AH63" s="15"/>
      <c r="AI63" s="15"/>
      <c r="AJ63" s="15"/>
      <c r="AK63" s="95"/>
      <c r="AL63" s="95"/>
      <c r="AM63" s="93"/>
      <c r="AN63" s="3"/>
      <c r="AP63" s="28"/>
      <c r="AQ63" s="29"/>
    </row>
    <row r="64" spans="1:43" ht="26.85" customHeight="1" x14ac:dyDescent="0.45">
      <c r="A64" s="15"/>
      <c r="B64" s="15"/>
      <c r="C64" s="15"/>
      <c r="D64" s="95"/>
      <c r="E64" s="95"/>
      <c r="F64" s="15"/>
      <c r="G64" s="95"/>
      <c r="H64" s="15"/>
      <c r="I64" s="15" t="str">
        <f>IF($H64&lt;&gt;"",(VLOOKUP(H64,'Other Lists'!O:P,2,FALSE)),"")</f>
        <v/>
      </c>
      <c r="J64" s="15"/>
      <c r="K64" s="15"/>
      <c r="L64" s="15"/>
      <c r="M64" s="15"/>
      <c r="N64" s="40"/>
      <c r="O64" s="15"/>
      <c r="P64" s="26"/>
      <c r="Q64" s="15"/>
      <c r="R64" s="15"/>
      <c r="S64" s="15"/>
      <c r="T64" s="15"/>
      <c r="U64" s="15"/>
      <c r="V64" s="95"/>
      <c r="W64" s="95"/>
      <c r="X64" s="15"/>
      <c r="Y64" s="15"/>
      <c r="Z64" s="15" t="str">
        <f t="shared" si="3"/>
        <v/>
      </c>
      <c r="AA64" s="15"/>
      <c r="AB64" s="15" t="str">
        <f t="shared" si="4"/>
        <v/>
      </c>
      <c r="AC64" s="15"/>
      <c r="AD64" s="15"/>
      <c r="AE64" s="15"/>
      <c r="AF64" s="15"/>
      <c r="AG64" s="15"/>
      <c r="AH64" s="15"/>
      <c r="AI64" s="15"/>
      <c r="AJ64" s="15"/>
      <c r="AK64" s="95"/>
      <c r="AL64" s="95"/>
      <c r="AM64" s="93"/>
      <c r="AN64" s="3"/>
      <c r="AP64" s="28"/>
      <c r="AQ64" s="29"/>
    </row>
    <row r="65" spans="1:43" ht="26.85" customHeight="1" x14ac:dyDescent="0.45">
      <c r="A65" s="15"/>
      <c r="B65" s="15"/>
      <c r="C65" s="15"/>
      <c r="D65" s="95"/>
      <c r="E65" s="95"/>
      <c r="F65" s="15"/>
      <c r="G65" s="95"/>
      <c r="H65" s="15"/>
      <c r="I65" s="15" t="str">
        <f>IF($H65&lt;&gt;"",(VLOOKUP(H65,'Other Lists'!O:P,2,FALSE)),"")</f>
        <v/>
      </c>
      <c r="J65" s="15"/>
      <c r="K65" s="15"/>
      <c r="L65" s="15"/>
      <c r="M65" s="15"/>
      <c r="N65" s="40"/>
      <c r="O65" s="15"/>
      <c r="P65" s="26"/>
      <c r="Q65" s="15"/>
      <c r="R65" s="15"/>
      <c r="S65" s="15"/>
      <c r="T65" s="15"/>
      <c r="U65" s="15"/>
      <c r="V65" s="95"/>
      <c r="W65" s="95"/>
      <c r="X65" s="15"/>
      <c r="Y65" s="15"/>
      <c r="Z65" s="15" t="str">
        <f t="shared" si="3"/>
        <v/>
      </c>
      <c r="AA65" s="15"/>
      <c r="AB65" s="15" t="str">
        <f t="shared" si="4"/>
        <v/>
      </c>
      <c r="AC65" s="15"/>
      <c r="AD65" s="15"/>
      <c r="AE65" s="15"/>
      <c r="AF65" s="15"/>
      <c r="AG65" s="15"/>
      <c r="AH65" s="15"/>
      <c r="AI65" s="15"/>
      <c r="AJ65" s="15"/>
      <c r="AK65" s="95"/>
      <c r="AL65" s="95"/>
      <c r="AM65" s="93"/>
      <c r="AN65" s="3"/>
      <c r="AP65" s="28"/>
      <c r="AQ65" s="29"/>
    </row>
    <row r="66" spans="1:43" ht="26.85" customHeight="1" x14ac:dyDescent="0.45">
      <c r="A66" s="15"/>
      <c r="B66" s="15"/>
      <c r="C66" s="15"/>
      <c r="D66" s="95"/>
      <c r="E66" s="95"/>
      <c r="F66" s="15"/>
      <c r="G66" s="95"/>
      <c r="H66" s="15"/>
      <c r="I66" s="15" t="str">
        <f>IF($H66&lt;&gt;"",(VLOOKUP(H66,'Other Lists'!O:P,2,FALSE)),"")</f>
        <v/>
      </c>
      <c r="J66" s="15"/>
      <c r="K66" s="15"/>
      <c r="L66" s="15"/>
      <c r="M66" s="15"/>
      <c r="N66" s="40"/>
      <c r="O66" s="15"/>
      <c r="P66" s="26"/>
      <c r="Q66" s="15"/>
      <c r="R66" s="15"/>
      <c r="S66" s="15"/>
      <c r="T66" s="15"/>
      <c r="U66" s="15"/>
      <c r="V66" s="95"/>
      <c r="W66" s="95"/>
      <c r="X66" s="15"/>
      <c r="Y66" s="15"/>
      <c r="Z66" s="15" t="str">
        <f t="shared" si="3"/>
        <v/>
      </c>
      <c r="AA66" s="15"/>
      <c r="AB66" s="15" t="str">
        <f t="shared" si="4"/>
        <v/>
      </c>
      <c r="AC66" s="15"/>
      <c r="AD66" s="15"/>
      <c r="AE66" s="15"/>
      <c r="AF66" s="15"/>
      <c r="AG66" s="15"/>
      <c r="AH66" s="15"/>
      <c r="AI66" s="15"/>
      <c r="AJ66" s="15"/>
      <c r="AK66" s="95"/>
      <c r="AL66" s="95"/>
      <c r="AM66" s="93"/>
      <c r="AN66" s="3"/>
      <c r="AP66" s="28"/>
      <c r="AQ66" s="29"/>
    </row>
    <row r="67" spans="1:43" ht="26.85" customHeight="1" x14ac:dyDescent="0.45">
      <c r="A67" s="15"/>
      <c r="B67" s="15"/>
      <c r="C67" s="15"/>
      <c r="D67" s="95"/>
      <c r="E67" s="95"/>
      <c r="F67" s="15"/>
      <c r="G67" s="95"/>
      <c r="H67" s="15"/>
      <c r="I67" s="15" t="str">
        <f>IF($H67&lt;&gt;"",(VLOOKUP(H67,'Other Lists'!O:P,2,FALSE)),"")</f>
        <v/>
      </c>
      <c r="J67" s="15"/>
      <c r="K67" s="15"/>
      <c r="L67" s="15"/>
      <c r="M67" s="15"/>
      <c r="N67" s="40"/>
      <c r="O67" s="15"/>
      <c r="P67" s="26"/>
      <c r="Q67" s="15"/>
      <c r="R67" s="15"/>
      <c r="S67" s="15"/>
      <c r="T67" s="15"/>
      <c r="U67" s="15"/>
      <c r="V67" s="95"/>
      <c r="W67" s="95"/>
      <c r="X67" s="15"/>
      <c r="Y67" s="15"/>
      <c r="Z67" s="15" t="str">
        <f t="shared" si="3"/>
        <v/>
      </c>
      <c r="AA67" s="15"/>
      <c r="AB67" s="15" t="str">
        <f t="shared" si="4"/>
        <v/>
      </c>
      <c r="AC67" s="15"/>
      <c r="AD67" s="15"/>
      <c r="AE67" s="15"/>
      <c r="AF67" s="15"/>
      <c r="AG67" s="15"/>
      <c r="AH67" s="15"/>
      <c r="AI67" s="15"/>
      <c r="AJ67" s="15"/>
      <c r="AK67" s="95"/>
      <c r="AL67" s="95"/>
      <c r="AM67" s="93"/>
      <c r="AN67" s="3"/>
      <c r="AP67" s="28"/>
      <c r="AQ67" s="29"/>
    </row>
    <row r="68" spans="1:43" ht="26.85" customHeight="1" x14ac:dyDescent="0.45">
      <c r="A68" s="15"/>
      <c r="B68" s="15"/>
      <c r="C68" s="15"/>
      <c r="D68" s="95"/>
      <c r="E68" s="95"/>
      <c r="F68" s="15"/>
      <c r="G68" s="95"/>
      <c r="H68" s="15"/>
      <c r="I68" s="15" t="str">
        <f>IF($H68&lt;&gt;"",(VLOOKUP(H68,'Other Lists'!O:P,2,FALSE)),"")</f>
        <v/>
      </c>
      <c r="J68" s="15"/>
      <c r="K68" s="15"/>
      <c r="L68" s="15"/>
      <c r="M68" s="15"/>
      <c r="N68" s="40"/>
      <c r="O68" s="15"/>
      <c r="P68" s="26"/>
      <c r="Q68" s="15"/>
      <c r="R68" s="15"/>
      <c r="S68" s="15"/>
      <c r="T68" s="15"/>
      <c r="U68" s="15"/>
      <c r="V68" s="95"/>
      <c r="W68" s="95"/>
      <c r="X68" s="15"/>
      <c r="Y68" s="15"/>
      <c r="Z68" s="15" t="str">
        <f t="shared" si="3"/>
        <v/>
      </c>
      <c r="AA68" s="15"/>
      <c r="AB68" s="15" t="str">
        <f t="shared" si="4"/>
        <v/>
      </c>
      <c r="AC68" s="15"/>
      <c r="AD68" s="15"/>
      <c r="AE68" s="15"/>
      <c r="AF68" s="15"/>
      <c r="AG68" s="15"/>
      <c r="AH68" s="15"/>
      <c r="AI68" s="15"/>
      <c r="AJ68" s="15"/>
      <c r="AK68" s="95"/>
      <c r="AL68" s="95"/>
      <c r="AM68" s="93"/>
      <c r="AN68" s="3"/>
      <c r="AP68" s="28"/>
      <c r="AQ68" s="29"/>
    </row>
    <row r="69" spans="1:43" ht="26.85" customHeight="1" x14ac:dyDescent="0.45">
      <c r="A69" s="15"/>
      <c r="B69" s="15"/>
      <c r="C69" s="15"/>
      <c r="D69" s="95"/>
      <c r="E69" s="95"/>
      <c r="F69" s="15"/>
      <c r="G69" s="95"/>
      <c r="H69" s="15"/>
      <c r="I69" s="15" t="str">
        <f>IF($H69&lt;&gt;"",(VLOOKUP(H69,'Other Lists'!O:P,2,FALSE)),"")</f>
        <v/>
      </c>
      <c r="J69" s="15"/>
      <c r="K69" s="15"/>
      <c r="L69" s="15"/>
      <c r="M69" s="15"/>
      <c r="N69" s="40"/>
      <c r="O69" s="15"/>
      <c r="P69" s="26"/>
      <c r="Q69" s="15"/>
      <c r="R69" s="15"/>
      <c r="S69" s="15"/>
      <c r="T69" s="15"/>
      <c r="U69" s="15"/>
      <c r="V69" s="95"/>
      <c r="W69" s="95"/>
      <c r="X69" s="15"/>
      <c r="Y69" s="15"/>
      <c r="Z69" s="15" t="str">
        <f t="shared" si="3"/>
        <v/>
      </c>
      <c r="AA69" s="15"/>
      <c r="AB69" s="15" t="str">
        <f t="shared" si="4"/>
        <v/>
      </c>
      <c r="AC69" s="15"/>
      <c r="AD69" s="15"/>
      <c r="AE69" s="15"/>
      <c r="AF69" s="15"/>
      <c r="AG69" s="15"/>
      <c r="AH69" s="15"/>
      <c r="AI69" s="15"/>
      <c r="AJ69" s="15"/>
      <c r="AK69" s="95"/>
      <c r="AL69" s="95"/>
      <c r="AM69" s="93"/>
      <c r="AN69" s="3"/>
      <c r="AP69" s="28"/>
      <c r="AQ69" s="29"/>
    </row>
    <row r="70" spans="1:43" ht="26.85" customHeight="1" x14ac:dyDescent="0.45">
      <c r="A70" s="15"/>
      <c r="B70" s="15"/>
      <c r="C70" s="15"/>
      <c r="D70" s="95"/>
      <c r="E70" s="95"/>
      <c r="F70" s="15"/>
      <c r="G70" s="95"/>
      <c r="H70" s="15"/>
      <c r="I70" s="15" t="str">
        <f>IF($H70&lt;&gt;"",(VLOOKUP(H70,'Other Lists'!O:P,2,FALSE)),"")</f>
        <v/>
      </c>
      <c r="J70" s="15"/>
      <c r="K70" s="15"/>
      <c r="L70" s="15"/>
      <c r="M70" s="15"/>
      <c r="N70" s="40"/>
      <c r="O70" s="15"/>
      <c r="P70" s="26"/>
      <c r="Q70" s="15"/>
      <c r="R70" s="15"/>
      <c r="S70" s="15"/>
      <c r="T70" s="15"/>
      <c r="U70" s="15"/>
      <c r="V70" s="95"/>
      <c r="W70" s="95"/>
      <c r="X70" s="15"/>
      <c r="Y70" s="15"/>
      <c r="Z70" s="15" t="str">
        <f t="shared" si="3"/>
        <v/>
      </c>
      <c r="AA70" s="15"/>
      <c r="AB70" s="15" t="str">
        <f t="shared" si="4"/>
        <v/>
      </c>
      <c r="AC70" s="15"/>
      <c r="AD70" s="15"/>
      <c r="AE70" s="15"/>
      <c r="AF70" s="15"/>
      <c r="AG70" s="15"/>
      <c r="AH70" s="15"/>
      <c r="AI70" s="15"/>
      <c r="AJ70" s="15"/>
      <c r="AK70" s="95"/>
      <c r="AL70" s="95"/>
      <c r="AM70" s="93"/>
      <c r="AN70" s="3"/>
      <c r="AP70" s="28"/>
      <c r="AQ70" s="29"/>
    </row>
    <row r="71" spans="1:43" ht="26.85" customHeight="1" x14ac:dyDescent="0.45">
      <c r="A71" s="15"/>
      <c r="B71" s="15"/>
      <c r="C71" s="15"/>
      <c r="D71" s="95"/>
      <c r="E71" s="95"/>
      <c r="F71" s="15"/>
      <c r="G71" s="95"/>
      <c r="H71" s="15"/>
      <c r="I71" s="15" t="str">
        <f>IF($H71&lt;&gt;"",(VLOOKUP(H71,'Other Lists'!O:P,2,FALSE)),"")</f>
        <v/>
      </c>
      <c r="J71" s="15"/>
      <c r="K71" s="15"/>
      <c r="L71" s="15"/>
      <c r="M71" s="15"/>
      <c r="N71" s="40"/>
      <c r="O71" s="15"/>
      <c r="P71" s="26"/>
      <c r="Q71" s="15"/>
      <c r="R71" s="15"/>
      <c r="S71" s="15"/>
      <c r="T71" s="15"/>
      <c r="U71" s="15"/>
      <c r="V71" s="95"/>
      <c r="W71" s="95"/>
      <c r="X71" s="15"/>
      <c r="Y71" s="15"/>
      <c r="Z71" s="15" t="str">
        <f t="shared" si="3"/>
        <v/>
      </c>
      <c r="AA71" s="15"/>
      <c r="AB71" s="15" t="str">
        <f t="shared" si="4"/>
        <v/>
      </c>
      <c r="AC71" s="15"/>
      <c r="AD71" s="15"/>
      <c r="AE71" s="15"/>
      <c r="AF71" s="15"/>
      <c r="AG71" s="15"/>
      <c r="AH71" s="15"/>
      <c r="AI71" s="15"/>
      <c r="AJ71" s="15"/>
      <c r="AK71" s="95"/>
      <c r="AL71" s="95"/>
      <c r="AM71" s="93"/>
      <c r="AN71" s="3"/>
      <c r="AP71" s="28"/>
      <c r="AQ71" s="29"/>
    </row>
    <row r="72" spans="1:43" ht="26.85" customHeight="1" x14ac:dyDescent="0.45">
      <c r="A72" s="15"/>
      <c r="B72" s="15"/>
      <c r="C72" s="15"/>
      <c r="D72" s="95"/>
      <c r="E72" s="95"/>
      <c r="F72" s="15"/>
      <c r="G72" s="95"/>
      <c r="H72" s="15"/>
      <c r="I72" s="15" t="str">
        <f>IF($H72&lt;&gt;"",(VLOOKUP(H72,'Other Lists'!O:P,2,FALSE)),"")</f>
        <v/>
      </c>
      <c r="J72" s="15"/>
      <c r="K72" s="15"/>
      <c r="L72" s="15"/>
      <c r="M72" s="15"/>
      <c r="N72" s="40"/>
      <c r="O72" s="15"/>
      <c r="P72" s="26"/>
      <c r="Q72" s="15"/>
      <c r="R72" s="15"/>
      <c r="S72" s="15"/>
      <c r="T72" s="15"/>
      <c r="U72" s="15"/>
      <c r="V72" s="95"/>
      <c r="W72" s="95"/>
      <c r="X72" s="15"/>
      <c r="Y72" s="15"/>
      <c r="Z72" s="15" t="str">
        <f t="shared" si="3"/>
        <v/>
      </c>
      <c r="AA72" s="15"/>
      <c r="AB72" s="15" t="str">
        <f t="shared" si="4"/>
        <v/>
      </c>
      <c r="AC72" s="15"/>
      <c r="AD72" s="15"/>
      <c r="AE72" s="15"/>
      <c r="AF72" s="15"/>
      <c r="AG72" s="15"/>
      <c r="AH72" s="15"/>
      <c r="AI72" s="15"/>
      <c r="AJ72" s="15"/>
      <c r="AK72" s="95"/>
      <c r="AL72" s="95"/>
      <c r="AM72" s="93"/>
      <c r="AN72" s="3"/>
      <c r="AP72" s="28"/>
      <c r="AQ72" s="29"/>
    </row>
    <row r="73" spans="1:43" ht="26.85" customHeight="1" x14ac:dyDescent="0.45">
      <c r="A73" s="15"/>
      <c r="B73" s="15"/>
      <c r="C73" s="15"/>
      <c r="D73" s="95"/>
      <c r="E73" s="95"/>
      <c r="F73" s="15"/>
      <c r="G73" s="95"/>
      <c r="H73" s="15"/>
      <c r="I73" s="15" t="str">
        <f>IF($H73&lt;&gt;"",(VLOOKUP(H73,'Other Lists'!O:P,2,FALSE)),"")</f>
        <v/>
      </c>
      <c r="J73" s="15"/>
      <c r="K73" s="15"/>
      <c r="L73" s="15"/>
      <c r="M73" s="15"/>
      <c r="N73" s="40"/>
      <c r="O73" s="15"/>
      <c r="P73" s="26"/>
      <c r="Q73" s="15"/>
      <c r="R73" s="15"/>
      <c r="S73" s="15"/>
      <c r="T73" s="15"/>
      <c r="U73" s="15"/>
      <c r="V73" s="95"/>
      <c r="W73" s="95"/>
      <c r="X73" s="15"/>
      <c r="Y73" s="15"/>
      <c r="Z73" s="15" t="str">
        <f t="shared" si="3"/>
        <v/>
      </c>
      <c r="AA73" s="15"/>
      <c r="AB73" s="15" t="str">
        <f t="shared" si="4"/>
        <v/>
      </c>
      <c r="AC73" s="15"/>
      <c r="AD73" s="15"/>
      <c r="AE73" s="15"/>
      <c r="AF73" s="15"/>
      <c r="AG73" s="15"/>
      <c r="AH73" s="15"/>
      <c r="AI73" s="15"/>
      <c r="AJ73" s="15"/>
      <c r="AK73" s="95"/>
      <c r="AL73" s="95"/>
      <c r="AM73" s="93"/>
      <c r="AN73" s="3"/>
      <c r="AP73" s="28"/>
      <c r="AQ73" s="29"/>
    </row>
    <row r="74" spans="1:43" ht="26.85" customHeight="1" x14ac:dyDescent="0.45">
      <c r="A74" s="15"/>
      <c r="B74" s="15"/>
      <c r="C74" s="15"/>
      <c r="D74" s="95"/>
      <c r="E74" s="95"/>
      <c r="F74" s="15"/>
      <c r="G74" s="95"/>
      <c r="H74" s="15"/>
      <c r="I74" s="15" t="str">
        <f>IF($H74&lt;&gt;"",(VLOOKUP(H74,'Other Lists'!O:P,2,FALSE)),"")</f>
        <v/>
      </c>
      <c r="J74" s="15"/>
      <c r="K74" s="15"/>
      <c r="L74" s="15"/>
      <c r="M74" s="15"/>
      <c r="N74" s="40"/>
      <c r="O74" s="15"/>
      <c r="P74" s="26"/>
      <c r="Q74" s="15"/>
      <c r="R74" s="15"/>
      <c r="S74" s="15"/>
      <c r="T74" s="15"/>
      <c r="U74" s="15"/>
      <c r="V74" s="95"/>
      <c r="W74" s="95"/>
      <c r="X74" s="15"/>
      <c r="Y74" s="15"/>
      <c r="Z74" s="15" t="str">
        <f t="shared" si="3"/>
        <v/>
      </c>
      <c r="AA74" s="15"/>
      <c r="AB74" s="15" t="str">
        <f t="shared" si="4"/>
        <v/>
      </c>
      <c r="AC74" s="15"/>
      <c r="AD74" s="15"/>
      <c r="AE74" s="15"/>
      <c r="AF74" s="15"/>
      <c r="AG74" s="15"/>
      <c r="AH74" s="15"/>
      <c r="AI74" s="15"/>
      <c r="AJ74" s="15"/>
      <c r="AK74" s="95"/>
      <c r="AL74" s="95"/>
      <c r="AM74" s="93"/>
      <c r="AN74" s="3"/>
      <c r="AP74" s="28"/>
      <c r="AQ74" s="29"/>
    </row>
    <row r="75" spans="1:43" ht="26.85" customHeight="1" x14ac:dyDescent="0.45">
      <c r="A75" s="15"/>
      <c r="B75" s="15"/>
      <c r="C75" s="15"/>
      <c r="D75" s="95"/>
      <c r="E75" s="95"/>
      <c r="F75" s="15"/>
      <c r="G75" s="95"/>
      <c r="H75" s="15"/>
      <c r="I75" s="15" t="str">
        <f>IF($H75&lt;&gt;"",(VLOOKUP(H75,'Other Lists'!O:P,2,FALSE)),"")</f>
        <v/>
      </c>
      <c r="J75" s="15"/>
      <c r="K75" s="15"/>
      <c r="L75" s="15"/>
      <c r="M75" s="15"/>
      <c r="N75" s="40"/>
      <c r="O75" s="15"/>
      <c r="P75" s="26"/>
      <c r="Q75" s="15"/>
      <c r="R75" s="15"/>
      <c r="S75" s="15"/>
      <c r="T75" s="15"/>
      <c r="U75" s="15"/>
      <c r="V75" s="95"/>
      <c r="W75" s="95"/>
      <c r="X75" s="15"/>
      <c r="Y75" s="15"/>
      <c r="Z75" s="15" t="str">
        <f t="shared" si="3"/>
        <v/>
      </c>
      <c r="AA75" s="15"/>
      <c r="AB75" s="15" t="str">
        <f t="shared" si="4"/>
        <v/>
      </c>
      <c r="AC75" s="15"/>
      <c r="AD75" s="15"/>
      <c r="AE75" s="15"/>
      <c r="AF75" s="15"/>
      <c r="AG75" s="15"/>
      <c r="AH75" s="15"/>
      <c r="AI75" s="15"/>
      <c r="AJ75" s="15"/>
      <c r="AK75" s="95"/>
      <c r="AL75" s="95"/>
      <c r="AM75" s="93"/>
      <c r="AN75" s="3"/>
      <c r="AP75" s="28"/>
      <c r="AQ75" s="29"/>
    </row>
    <row r="76" spans="1:43" ht="26.85" customHeight="1" x14ac:dyDescent="0.45">
      <c r="A76" s="15"/>
      <c r="B76" s="15"/>
      <c r="C76" s="15"/>
      <c r="D76" s="95"/>
      <c r="E76" s="95"/>
      <c r="F76" s="15"/>
      <c r="G76" s="95"/>
      <c r="H76" s="15"/>
      <c r="I76" s="15" t="str">
        <f>IF($H76&lt;&gt;"",(VLOOKUP(H76,'Other Lists'!O:P,2,FALSE)),"")</f>
        <v/>
      </c>
      <c r="J76" s="15"/>
      <c r="K76" s="15"/>
      <c r="L76" s="15"/>
      <c r="M76" s="15"/>
      <c r="N76" s="40"/>
      <c r="O76" s="15"/>
      <c r="P76" s="26"/>
      <c r="Q76" s="15"/>
      <c r="R76" s="15"/>
      <c r="S76" s="15"/>
      <c r="T76" s="15"/>
      <c r="U76" s="15"/>
      <c r="V76" s="95"/>
      <c r="W76" s="95"/>
      <c r="X76" s="15"/>
      <c r="Y76" s="15"/>
      <c r="Z76" s="15" t="str">
        <f t="shared" si="3"/>
        <v/>
      </c>
      <c r="AA76" s="15"/>
      <c r="AB76" s="15" t="str">
        <f t="shared" si="4"/>
        <v/>
      </c>
      <c r="AC76" s="15"/>
      <c r="AD76" s="15"/>
      <c r="AE76" s="15"/>
      <c r="AF76" s="15"/>
      <c r="AG76" s="15"/>
      <c r="AH76" s="15"/>
      <c r="AI76" s="15"/>
      <c r="AJ76" s="15"/>
      <c r="AK76" s="95"/>
      <c r="AL76" s="95"/>
      <c r="AM76" s="93"/>
      <c r="AN76" s="3"/>
      <c r="AP76" s="28"/>
      <c r="AQ76" s="29"/>
    </row>
    <row r="77" spans="1:43" ht="26.85" customHeight="1" x14ac:dyDescent="0.45">
      <c r="A77" s="15"/>
      <c r="B77" s="15"/>
      <c r="C77" s="15"/>
      <c r="D77" s="95"/>
      <c r="E77" s="95"/>
      <c r="F77" s="15"/>
      <c r="G77" s="95"/>
      <c r="H77" s="15"/>
      <c r="I77" s="15" t="str">
        <f>IF($H77&lt;&gt;"",(VLOOKUP(H77,'Other Lists'!O:P,2,FALSE)),"")</f>
        <v/>
      </c>
      <c r="J77" s="15"/>
      <c r="K77" s="15"/>
      <c r="L77" s="15"/>
      <c r="M77" s="15"/>
      <c r="N77" s="40"/>
      <c r="O77" s="15"/>
      <c r="P77" s="26"/>
      <c r="Q77" s="15"/>
      <c r="R77" s="15"/>
      <c r="S77" s="15"/>
      <c r="T77" s="15"/>
      <c r="U77" s="15"/>
      <c r="V77" s="95"/>
      <c r="W77" s="95"/>
      <c r="X77" s="15"/>
      <c r="Y77" s="15"/>
      <c r="Z77" s="15" t="str">
        <f t="shared" si="3"/>
        <v/>
      </c>
      <c r="AA77" s="15"/>
      <c r="AB77" s="15" t="str">
        <f t="shared" si="4"/>
        <v/>
      </c>
      <c r="AC77" s="15"/>
      <c r="AD77" s="15"/>
      <c r="AE77" s="15"/>
      <c r="AF77" s="15"/>
      <c r="AG77" s="15"/>
      <c r="AH77" s="15"/>
      <c r="AI77" s="15"/>
      <c r="AJ77" s="15"/>
      <c r="AK77" s="95"/>
      <c r="AL77" s="95"/>
      <c r="AM77" s="93"/>
      <c r="AN77" s="3"/>
      <c r="AP77" s="28"/>
      <c r="AQ77" s="29"/>
    </row>
    <row r="78" spans="1:43" ht="26.85" customHeight="1" x14ac:dyDescent="0.45">
      <c r="A78" s="15"/>
      <c r="B78" s="15"/>
      <c r="C78" s="15"/>
      <c r="D78" s="95"/>
      <c r="E78" s="95"/>
      <c r="F78" s="15"/>
      <c r="G78" s="95"/>
      <c r="H78" s="15"/>
      <c r="I78" s="15" t="str">
        <f>IF($H78&lt;&gt;"",(VLOOKUP(H78,'Other Lists'!O:P,2,FALSE)),"")</f>
        <v/>
      </c>
      <c r="J78" s="15"/>
      <c r="K78" s="15"/>
      <c r="L78" s="15"/>
      <c r="M78" s="15"/>
      <c r="N78" s="40"/>
      <c r="O78" s="15"/>
      <c r="P78" s="26"/>
      <c r="Q78" s="15"/>
      <c r="R78" s="15"/>
      <c r="S78" s="15"/>
      <c r="T78" s="15"/>
      <c r="U78" s="15"/>
      <c r="V78" s="95"/>
      <c r="W78" s="95"/>
      <c r="X78" s="15"/>
      <c r="Y78" s="15"/>
      <c r="Z78" s="15" t="str">
        <f t="shared" si="3"/>
        <v/>
      </c>
      <c r="AA78" s="15"/>
      <c r="AB78" s="15" t="str">
        <f t="shared" si="4"/>
        <v/>
      </c>
      <c r="AC78" s="15"/>
      <c r="AD78" s="15"/>
      <c r="AE78" s="15"/>
      <c r="AF78" s="15"/>
      <c r="AG78" s="15"/>
      <c r="AH78" s="15"/>
      <c r="AI78" s="15"/>
      <c r="AJ78" s="15"/>
      <c r="AK78" s="95"/>
      <c r="AL78" s="95"/>
      <c r="AM78" s="93"/>
      <c r="AN78" s="3"/>
      <c r="AP78" s="28"/>
      <c r="AQ78" s="29"/>
    </row>
    <row r="79" spans="1:43" ht="26.85" customHeight="1" x14ac:dyDescent="0.45">
      <c r="A79" s="15"/>
      <c r="B79" s="15"/>
      <c r="C79" s="15"/>
      <c r="D79" s="95"/>
      <c r="E79" s="95"/>
      <c r="F79" s="15"/>
      <c r="G79" s="95"/>
      <c r="H79" s="15"/>
      <c r="I79" s="15" t="str">
        <f>IF($H79&lt;&gt;"",(VLOOKUP(H79,'Other Lists'!O:P,2,FALSE)),"")</f>
        <v/>
      </c>
      <c r="J79" s="15"/>
      <c r="K79" s="15"/>
      <c r="L79" s="15"/>
      <c r="M79" s="15"/>
      <c r="N79" s="40"/>
      <c r="O79" s="15"/>
      <c r="P79" s="26"/>
      <c r="Q79" s="15"/>
      <c r="R79" s="15"/>
      <c r="S79" s="15"/>
      <c r="T79" s="15"/>
      <c r="U79" s="15"/>
      <c r="V79" s="95"/>
      <c r="W79" s="95"/>
      <c r="X79" s="15"/>
      <c r="Y79" s="15"/>
      <c r="Z79" s="15" t="str">
        <f t="shared" si="3"/>
        <v/>
      </c>
      <c r="AA79" s="15"/>
      <c r="AB79" s="15" t="str">
        <f t="shared" si="4"/>
        <v/>
      </c>
      <c r="AC79" s="15"/>
      <c r="AD79" s="15"/>
      <c r="AE79" s="15"/>
      <c r="AF79" s="15"/>
      <c r="AG79" s="15"/>
      <c r="AH79" s="15"/>
      <c r="AI79" s="15"/>
      <c r="AJ79" s="15"/>
      <c r="AK79" s="95"/>
      <c r="AL79" s="95"/>
      <c r="AM79" s="93"/>
      <c r="AN79" s="3"/>
      <c r="AP79" s="28"/>
      <c r="AQ79" s="29"/>
    </row>
    <row r="80" spans="1:43" ht="26.85" customHeight="1" x14ac:dyDescent="0.45">
      <c r="A80" s="15"/>
      <c r="B80" s="15"/>
      <c r="C80" s="15"/>
      <c r="D80" s="95"/>
      <c r="E80" s="95"/>
      <c r="F80" s="15"/>
      <c r="G80" s="95"/>
      <c r="H80" s="15"/>
      <c r="I80" s="15" t="str">
        <f>IF($H80&lt;&gt;"",(VLOOKUP(H80,'Other Lists'!O:P,2,FALSE)),"")</f>
        <v/>
      </c>
      <c r="J80" s="15"/>
      <c r="K80" s="15"/>
      <c r="L80" s="15"/>
      <c r="M80" s="15"/>
      <c r="N80" s="40"/>
      <c r="O80" s="15"/>
      <c r="P80" s="26"/>
      <c r="Q80" s="15"/>
      <c r="R80" s="15"/>
      <c r="S80" s="15"/>
      <c r="T80" s="15"/>
      <c r="U80" s="15"/>
      <c r="V80" s="95"/>
      <c r="W80" s="95"/>
      <c r="X80" s="15"/>
      <c r="Y80" s="15"/>
      <c r="Z80" s="15" t="str">
        <f t="shared" si="3"/>
        <v/>
      </c>
      <c r="AA80" s="15"/>
      <c r="AB80" s="15" t="str">
        <f t="shared" si="4"/>
        <v/>
      </c>
      <c r="AC80" s="15"/>
      <c r="AD80" s="15"/>
      <c r="AE80" s="15"/>
      <c r="AF80" s="15"/>
      <c r="AG80" s="15"/>
      <c r="AH80" s="15"/>
      <c r="AI80" s="15"/>
      <c r="AJ80" s="15"/>
      <c r="AK80" s="95"/>
      <c r="AL80" s="95"/>
      <c r="AM80" s="93"/>
      <c r="AN80" s="3"/>
      <c r="AP80" s="28"/>
      <c r="AQ80" s="29"/>
    </row>
    <row r="81" spans="1:43" ht="26.85" customHeight="1" x14ac:dyDescent="0.45">
      <c r="A81" s="15"/>
      <c r="B81" s="15"/>
      <c r="C81" s="15"/>
      <c r="D81" s="95"/>
      <c r="E81" s="95"/>
      <c r="F81" s="15"/>
      <c r="G81" s="95"/>
      <c r="H81" s="15"/>
      <c r="I81" s="15" t="str">
        <f>IF($H81&lt;&gt;"",(VLOOKUP(H81,'Other Lists'!O:P,2,FALSE)),"")</f>
        <v/>
      </c>
      <c r="J81" s="15"/>
      <c r="K81" s="15"/>
      <c r="L81" s="15"/>
      <c r="M81" s="15"/>
      <c r="N81" s="40"/>
      <c r="O81" s="15"/>
      <c r="P81" s="26"/>
      <c r="Q81" s="15"/>
      <c r="R81" s="15"/>
      <c r="S81" s="15"/>
      <c r="T81" s="15"/>
      <c r="U81" s="15"/>
      <c r="V81" s="95"/>
      <c r="W81" s="95"/>
      <c r="X81" s="15"/>
      <c r="Y81" s="15"/>
      <c r="Z81" s="15" t="str">
        <f t="shared" si="3"/>
        <v/>
      </c>
      <c r="AA81" s="15"/>
      <c r="AB81" s="15" t="str">
        <f t="shared" si="4"/>
        <v/>
      </c>
      <c r="AC81" s="15"/>
      <c r="AD81" s="15"/>
      <c r="AE81" s="15"/>
      <c r="AF81" s="15"/>
      <c r="AG81" s="15"/>
      <c r="AH81" s="15"/>
      <c r="AI81" s="15"/>
      <c r="AJ81" s="15"/>
      <c r="AK81" s="95"/>
      <c r="AL81" s="95"/>
      <c r="AM81" s="93"/>
      <c r="AN81" s="3"/>
      <c r="AP81" s="28"/>
      <c r="AQ81" s="29"/>
    </row>
    <row r="82" spans="1:43" ht="26.85" customHeight="1" x14ac:dyDescent="0.45">
      <c r="A82" s="15"/>
      <c r="B82" s="15"/>
      <c r="C82" s="15"/>
      <c r="D82" s="95"/>
      <c r="E82" s="95"/>
      <c r="F82" s="15"/>
      <c r="G82" s="95"/>
      <c r="H82" s="15"/>
      <c r="I82" s="15" t="str">
        <f>IF($H82&lt;&gt;"",(VLOOKUP(H82,'Other Lists'!O:P,2,FALSE)),"")</f>
        <v/>
      </c>
      <c r="J82" s="15"/>
      <c r="K82" s="15"/>
      <c r="L82" s="15"/>
      <c r="M82" s="15"/>
      <c r="N82" s="40"/>
      <c r="O82" s="15"/>
      <c r="P82" s="26"/>
      <c r="Q82" s="15"/>
      <c r="R82" s="15"/>
      <c r="S82" s="15"/>
      <c r="T82" s="15"/>
      <c r="U82" s="15"/>
      <c r="V82" s="95"/>
      <c r="W82" s="95"/>
      <c r="X82" s="15"/>
      <c r="Y82" s="15"/>
      <c r="Z82" s="15" t="str">
        <f t="shared" si="3"/>
        <v/>
      </c>
      <c r="AA82" s="15"/>
      <c r="AB82" s="15" t="str">
        <f t="shared" si="4"/>
        <v/>
      </c>
      <c r="AC82" s="15"/>
      <c r="AD82" s="15"/>
      <c r="AE82" s="15"/>
      <c r="AF82" s="15"/>
      <c r="AG82" s="15"/>
      <c r="AH82" s="15"/>
      <c r="AI82" s="15"/>
      <c r="AJ82" s="15"/>
      <c r="AK82" s="95"/>
      <c r="AL82" s="95"/>
      <c r="AM82" s="93"/>
      <c r="AN82" s="3"/>
      <c r="AP82" s="28"/>
      <c r="AQ82" s="29"/>
    </row>
    <row r="83" spans="1:43" ht="26.85" customHeight="1" x14ac:dyDescent="0.45">
      <c r="A83" s="15"/>
      <c r="B83" s="15"/>
      <c r="C83" s="15"/>
      <c r="D83" s="95"/>
      <c r="E83" s="95"/>
      <c r="F83" s="15"/>
      <c r="G83" s="95"/>
      <c r="H83" s="15"/>
      <c r="I83" s="15" t="str">
        <f>IF($H83&lt;&gt;"",(VLOOKUP(H83,'Other Lists'!O:P,2,FALSE)),"")</f>
        <v/>
      </c>
      <c r="J83" s="15"/>
      <c r="K83" s="15"/>
      <c r="L83" s="15"/>
      <c r="M83" s="15"/>
      <c r="N83" s="40"/>
      <c r="O83" s="15"/>
      <c r="P83" s="26"/>
      <c r="Q83" s="15"/>
      <c r="R83" s="15"/>
      <c r="S83" s="15"/>
      <c r="T83" s="15"/>
      <c r="U83" s="15"/>
      <c r="V83" s="95"/>
      <c r="W83" s="95"/>
      <c r="X83" s="15"/>
      <c r="Y83" s="15"/>
      <c r="Z83" s="15" t="str">
        <f t="shared" si="3"/>
        <v/>
      </c>
      <c r="AA83" s="15"/>
      <c r="AB83" s="15" t="str">
        <f t="shared" si="4"/>
        <v/>
      </c>
      <c r="AC83" s="15"/>
      <c r="AD83" s="15"/>
      <c r="AE83" s="15"/>
      <c r="AF83" s="15"/>
      <c r="AG83" s="15"/>
      <c r="AH83" s="15"/>
      <c r="AI83" s="15"/>
      <c r="AJ83" s="15"/>
      <c r="AK83" s="95"/>
      <c r="AL83" s="95"/>
      <c r="AM83" s="93"/>
      <c r="AN83" s="3"/>
      <c r="AP83" s="28"/>
      <c r="AQ83" s="29"/>
    </row>
    <row r="84" spans="1:43" ht="26.85" customHeight="1" x14ac:dyDescent="0.45">
      <c r="A84" s="15"/>
      <c r="B84" s="15"/>
      <c r="C84" s="15"/>
      <c r="D84" s="95"/>
      <c r="E84" s="95"/>
      <c r="F84" s="15"/>
      <c r="G84" s="95"/>
      <c r="H84" s="15"/>
      <c r="I84" s="15" t="str">
        <f>IF($H84&lt;&gt;"",(VLOOKUP(H84,'Other Lists'!O:P,2,FALSE)),"")</f>
        <v/>
      </c>
      <c r="J84" s="15"/>
      <c r="K84" s="15"/>
      <c r="L84" s="15"/>
      <c r="M84" s="15"/>
      <c r="N84" s="40"/>
      <c r="O84" s="15"/>
      <c r="P84" s="26"/>
      <c r="Q84" s="15"/>
      <c r="R84" s="15"/>
      <c r="S84" s="15"/>
      <c r="T84" s="15"/>
      <c r="U84" s="15"/>
      <c r="V84" s="95"/>
      <c r="W84" s="95"/>
      <c r="X84" s="15"/>
      <c r="Y84" s="15"/>
      <c r="Z84" s="15" t="str">
        <f t="shared" si="3"/>
        <v/>
      </c>
      <c r="AA84" s="15"/>
      <c r="AB84" s="15" t="str">
        <f t="shared" si="4"/>
        <v/>
      </c>
      <c r="AC84" s="15"/>
      <c r="AD84" s="15"/>
      <c r="AE84" s="15"/>
      <c r="AF84" s="15"/>
      <c r="AG84" s="15"/>
      <c r="AH84" s="15"/>
      <c r="AI84" s="15"/>
      <c r="AJ84" s="15"/>
      <c r="AK84" s="95"/>
      <c r="AL84" s="95"/>
      <c r="AM84" s="93"/>
      <c r="AN84" s="3"/>
      <c r="AP84" s="28"/>
      <c r="AQ84" s="29"/>
    </row>
    <row r="85" spans="1:43" ht="26.85" customHeight="1" x14ac:dyDescent="0.45">
      <c r="A85" s="15"/>
      <c r="B85" s="15"/>
      <c r="C85" s="15"/>
      <c r="D85" s="95"/>
      <c r="E85" s="95"/>
      <c r="F85" s="15"/>
      <c r="G85" s="95"/>
      <c r="H85" s="15"/>
      <c r="I85" s="15" t="str">
        <f>IF($H85&lt;&gt;"",(VLOOKUP(H85,'Other Lists'!O:P,2,FALSE)),"")</f>
        <v/>
      </c>
      <c r="J85" s="15"/>
      <c r="K85" s="15"/>
      <c r="L85" s="15"/>
      <c r="M85" s="15"/>
      <c r="N85" s="40"/>
      <c r="O85" s="15"/>
      <c r="P85" s="26"/>
      <c r="Q85" s="15"/>
      <c r="R85" s="15"/>
      <c r="S85" s="15"/>
      <c r="T85" s="15"/>
      <c r="U85" s="15"/>
      <c r="V85" s="95"/>
      <c r="W85" s="95"/>
      <c r="X85" s="15"/>
      <c r="Y85" s="15"/>
      <c r="Z85" s="15" t="str">
        <f t="shared" si="3"/>
        <v/>
      </c>
      <c r="AA85" s="15"/>
      <c r="AB85" s="15" t="str">
        <f t="shared" si="4"/>
        <v/>
      </c>
      <c r="AC85" s="15"/>
      <c r="AD85" s="15"/>
      <c r="AE85" s="15"/>
      <c r="AF85" s="15"/>
      <c r="AG85" s="15"/>
      <c r="AH85" s="15"/>
      <c r="AI85" s="15"/>
      <c r="AJ85" s="15"/>
      <c r="AK85" s="95"/>
      <c r="AL85" s="95"/>
      <c r="AM85" s="93"/>
      <c r="AN85" s="3"/>
      <c r="AP85" s="28"/>
      <c r="AQ85" s="29"/>
    </row>
    <row r="86" spans="1:43" ht="26.85" customHeight="1" x14ac:dyDescent="0.45">
      <c r="A86" s="15"/>
      <c r="B86" s="15"/>
      <c r="C86" s="15"/>
      <c r="D86" s="95"/>
      <c r="E86" s="95"/>
      <c r="F86" s="15"/>
      <c r="G86" s="95"/>
      <c r="H86" s="15"/>
      <c r="I86" s="15" t="str">
        <f>IF($H86&lt;&gt;"",(VLOOKUP(H86,'Other Lists'!O:P,2,FALSE)),"")</f>
        <v/>
      </c>
      <c r="J86" s="15"/>
      <c r="K86" s="15"/>
      <c r="L86" s="15"/>
      <c r="M86" s="15"/>
      <c r="N86" s="40"/>
      <c r="O86" s="15"/>
      <c r="P86" s="26"/>
      <c r="Q86" s="15"/>
      <c r="R86" s="15"/>
      <c r="S86" s="15"/>
      <c r="T86" s="15"/>
      <c r="U86" s="15"/>
      <c r="V86" s="95"/>
      <c r="W86" s="95"/>
      <c r="X86" s="15"/>
      <c r="Y86" s="15"/>
      <c r="Z86" s="15" t="str">
        <f t="shared" si="3"/>
        <v/>
      </c>
      <c r="AA86" s="15"/>
      <c r="AB86" s="15" t="str">
        <f t="shared" si="4"/>
        <v/>
      </c>
      <c r="AC86" s="15"/>
      <c r="AD86" s="15"/>
      <c r="AE86" s="15"/>
      <c r="AF86" s="15"/>
      <c r="AG86" s="15"/>
      <c r="AH86" s="15"/>
      <c r="AI86" s="15"/>
      <c r="AJ86" s="15"/>
      <c r="AK86" s="95"/>
      <c r="AL86" s="95"/>
      <c r="AM86" s="93"/>
      <c r="AN86" s="3"/>
      <c r="AP86" s="28"/>
      <c r="AQ86" s="29"/>
    </row>
    <row r="87" spans="1:43" ht="26.85" customHeight="1" x14ac:dyDescent="0.45">
      <c r="A87" s="15"/>
      <c r="B87" s="15"/>
      <c r="C87" s="15"/>
      <c r="D87" s="95"/>
      <c r="E87" s="95"/>
      <c r="F87" s="15"/>
      <c r="G87" s="95"/>
      <c r="H87" s="15"/>
      <c r="I87" s="15" t="str">
        <f>IF($H87&lt;&gt;"",(VLOOKUP(H87,'Other Lists'!O:P,2,FALSE)),"")</f>
        <v/>
      </c>
      <c r="J87" s="15"/>
      <c r="K87" s="15"/>
      <c r="L87" s="15"/>
      <c r="M87" s="15"/>
      <c r="N87" s="40"/>
      <c r="O87" s="15"/>
      <c r="P87" s="26"/>
      <c r="Q87" s="15"/>
      <c r="R87" s="15"/>
      <c r="S87" s="15"/>
      <c r="T87" s="15"/>
      <c r="U87" s="15"/>
      <c r="V87" s="95"/>
      <c r="W87" s="95"/>
      <c r="X87" s="15"/>
      <c r="Y87" s="15"/>
      <c r="Z87" s="15" t="str">
        <f t="shared" si="3"/>
        <v/>
      </c>
      <c r="AA87" s="15"/>
      <c r="AB87" s="15" t="str">
        <f t="shared" si="4"/>
        <v/>
      </c>
      <c r="AC87" s="15"/>
      <c r="AD87" s="15"/>
      <c r="AE87" s="15"/>
      <c r="AF87" s="15"/>
      <c r="AG87" s="15"/>
      <c r="AH87" s="15"/>
      <c r="AI87" s="15"/>
      <c r="AJ87" s="15"/>
      <c r="AK87" s="95"/>
      <c r="AL87" s="95"/>
      <c r="AM87" s="93"/>
      <c r="AN87" s="3"/>
      <c r="AP87" s="28"/>
      <c r="AQ87" s="29"/>
    </row>
    <row r="88" spans="1:43" ht="26.85" customHeight="1" x14ac:dyDescent="0.45">
      <c r="A88" s="15"/>
      <c r="B88" s="15"/>
      <c r="C88" s="15"/>
      <c r="D88" s="95"/>
      <c r="E88" s="95"/>
      <c r="F88" s="15"/>
      <c r="G88" s="95"/>
      <c r="H88" s="15"/>
      <c r="I88" s="15" t="str">
        <f>IF($H88&lt;&gt;"",(VLOOKUP(H88,'Other Lists'!O:P,2,FALSE)),"")</f>
        <v/>
      </c>
      <c r="J88" s="15"/>
      <c r="K88" s="15"/>
      <c r="L88" s="15"/>
      <c r="M88" s="15"/>
      <c r="N88" s="40"/>
      <c r="O88" s="15"/>
      <c r="P88" s="26"/>
      <c r="Q88" s="15"/>
      <c r="R88" s="15"/>
      <c r="S88" s="15"/>
      <c r="T88" s="15"/>
      <c r="U88" s="15"/>
      <c r="V88" s="95"/>
      <c r="W88" s="95"/>
      <c r="X88" s="15"/>
      <c r="Y88" s="15"/>
      <c r="Z88" s="15" t="str">
        <f t="shared" si="3"/>
        <v/>
      </c>
      <c r="AA88" s="15"/>
      <c r="AB88" s="15" t="str">
        <f t="shared" si="4"/>
        <v/>
      </c>
      <c r="AC88" s="15"/>
      <c r="AD88" s="15"/>
      <c r="AE88" s="15"/>
      <c r="AF88" s="15"/>
      <c r="AG88" s="15"/>
      <c r="AH88" s="15"/>
      <c r="AI88" s="15"/>
      <c r="AJ88" s="15"/>
      <c r="AK88" s="95"/>
      <c r="AL88" s="95"/>
      <c r="AM88" s="93"/>
      <c r="AN88" s="3"/>
      <c r="AP88" s="28"/>
      <c r="AQ88" s="29"/>
    </row>
    <row r="89" spans="1:43" ht="26.85" customHeight="1" x14ac:dyDescent="0.45">
      <c r="A89" s="15"/>
      <c r="B89" s="15"/>
      <c r="C89" s="15"/>
      <c r="D89" s="95"/>
      <c r="E89" s="95"/>
      <c r="F89" s="15"/>
      <c r="G89" s="95"/>
      <c r="H89" s="15"/>
      <c r="I89" s="15" t="str">
        <f>IF($H89&lt;&gt;"",(VLOOKUP(H89,'Other Lists'!O:P,2,FALSE)),"")</f>
        <v/>
      </c>
      <c r="J89" s="15"/>
      <c r="K89" s="15"/>
      <c r="L89" s="15"/>
      <c r="M89" s="15"/>
      <c r="N89" s="40"/>
      <c r="O89" s="15"/>
      <c r="P89" s="26"/>
      <c r="Q89" s="15"/>
      <c r="R89" s="15"/>
      <c r="S89" s="15"/>
      <c r="T89" s="15"/>
      <c r="U89" s="15"/>
      <c r="V89" s="95"/>
      <c r="W89" s="95"/>
      <c r="X89" s="15"/>
      <c r="Y89" s="15"/>
      <c r="Z89" s="15" t="str">
        <f t="shared" si="3"/>
        <v/>
      </c>
      <c r="AA89" s="15"/>
      <c r="AB89" s="15" t="str">
        <f t="shared" si="4"/>
        <v/>
      </c>
      <c r="AC89" s="15"/>
      <c r="AD89" s="15"/>
      <c r="AE89" s="15"/>
      <c r="AF89" s="15"/>
      <c r="AG89" s="15"/>
      <c r="AH89" s="15"/>
      <c r="AI89" s="15"/>
      <c r="AJ89" s="15"/>
      <c r="AK89" s="95"/>
      <c r="AL89" s="95"/>
      <c r="AM89" s="93"/>
      <c r="AN89" s="3"/>
      <c r="AP89" s="28"/>
      <c r="AQ89" s="29"/>
    </row>
    <row r="90" spans="1:43" ht="26.85" customHeight="1" x14ac:dyDescent="0.45">
      <c r="A90" s="15"/>
      <c r="B90" s="15"/>
      <c r="C90" s="15"/>
      <c r="D90" s="95"/>
      <c r="E90" s="95"/>
      <c r="F90" s="15"/>
      <c r="G90" s="95"/>
      <c r="H90" s="15"/>
      <c r="I90" s="15" t="str">
        <f>IF($H90&lt;&gt;"",(VLOOKUP(H90,'Other Lists'!O:P,2,FALSE)),"")</f>
        <v/>
      </c>
      <c r="J90" s="15"/>
      <c r="K90" s="15"/>
      <c r="L90" s="15"/>
      <c r="M90" s="15"/>
      <c r="N90" s="40"/>
      <c r="O90" s="15"/>
      <c r="P90" s="26"/>
      <c r="Q90" s="15"/>
      <c r="R90" s="15"/>
      <c r="S90" s="15"/>
      <c r="T90" s="15"/>
      <c r="U90" s="15"/>
      <c r="V90" s="95"/>
      <c r="W90" s="95"/>
      <c r="X90" s="15"/>
      <c r="Y90" s="15"/>
      <c r="Z90" s="15" t="str">
        <f t="shared" si="3"/>
        <v/>
      </c>
      <c r="AA90" s="15"/>
      <c r="AB90" s="15" t="str">
        <f t="shared" si="4"/>
        <v/>
      </c>
      <c r="AC90" s="15"/>
      <c r="AD90" s="15"/>
      <c r="AE90" s="15"/>
      <c r="AF90" s="15"/>
      <c r="AG90" s="15"/>
      <c r="AH90" s="15"/>
      <c r="AI90" s="15"/>
      <c r="AJ90" s="15"/>
      <c r="AK90" s="95"/>
      <c r="AL90" s="95"/>
      <c r="AM90" s="93"/>
      <c r="AN90" s="3"/>
      <c r="AP90" s="28"/>
      <c r="AQ90" s="29"/>
    </row>
    <row r="91" spans="1:43" ht="26.85" customHeight="1" x14ac:dyDescent="0.45">
      <c r="A91" s="15"/>
      <c r="B91" s="15"/>
      <c r="C91" s="15"/>
      <c r="D91" s="95"/>
      <c r="E91" s="95"/>
      <c r="F91" s="15"/>
      <c r="G91" s="95"/>
      <c r="H91" s="15"/>
      <c r="I91" s="15" t="str">
        <f>IF($H91&lt;&gt;"",(VLOOKUP(H91,'Other Lists'!O:P,2,FALSE)),"")</f>
        <v/>
      </c>
      <c r="J91" s="15"/>
      <c r="K91" s="15"/>
      <c r="L91" s="15"/>
      <c r="M91" s="15"/>
      <c r="N91" s="40"/>
      <c r="O91" s="15"/>
      <c r="P91" s="26"/>
      <c r="Q91" s="15"/>
      <c r="R91" s="15"/>
      <c r="S91" s="15"/>
      <c r="T91" s="15"/>
      <c r="U91" s="15"/>
      <c r="V91" s="95"/>
      <c r="W91" s="95"/>
      <c r="X91" s="15"/>
      <c r="Y91" s="15"/>
      <c r="Z91" s="15" t="str">
        <f t="shared" si="3"/>
        <v/>
      </c>
      <c r="AA91" s="15"/>
      <c r="AB91" s="15" t="str">
        <f t="shared" si="4"/>
        <v/>
      </c>
      <c r="AC91" s="15"/>
      <c r="AD91" s="15"/>
      <c r="AE91" s="15"/>
      <c r="AF91" s="15"/>
      <c r="AG91" s="15"/>
      <c r="AH91" s="15"/>
      <c r="AI91" s="15"/>
      <c r="AJ91" s="15"/>
      <c r="AK91" s="95"/>
      <c r="AL91" s="95"/>
      <c r="AM91" s="93"/>
      <c r="AN91" s="3"/>
      <c r="AP91" s="28"/>
      <c r="AQ91" s="29"/>
    </row>
    <row r="92" spans="1:43" ht="26.85" customHeight="1" x14ac:dyDescent="0.45">
      <c r="A92" s="15"/>
      <c r="B92" s="15"/>
      <c r="C92" s="15"/>
      <c r="D92" s="95"/>
      <c r="E92" s="95"/>
      <c r="F92" s="15"/>
      <c r="G92" s="95"/>
      <c r="H92" s="15"/>
      <c r="I92" s="15" t="str">
        <f>IF($H92&lt;&gt;"",(VLOOKUP(H92,'Other Lists'!O:P,2,FALSE)),"")</f>
        <v/>
      </c>
      <c r="J92" s="15"/>
      <c r="K92" s="15"/>
      <c r="L92" s="15"/>
      <c r="M92" s="15"/>
      <c r="N92" s="40"/>
      <c r="O92" s="15"/>
      <c r="P92" s="26"/>
      <c r="Q92" s="15"/>
      <c r="R92" s="15"/>
      <c r="S92" s="15"/>
      <c r="T92" s="15"/>
      <c r="U92" s="15"/>
      <c r="V92" s="95"/>
      <c r="W92" s="95"/>
      <c r="X92" s="15"/>
      <c r="Y92" s="15"/>
      <c r="Z92" s="15" t="str">
        <f t="shared" si="3"/>
        <v/>
      </c>
      <c r="AA92" s="15"/>
      <c r="AB92" s="15" t="str">
        <f t="shared" si="4"/>
        <v/>
      </c>
      <c r="AC92" s="15"/>
      <c r="AD92" s="15"/>
      <c r="AE92" s="15"/>
      <c r="AF92" s="15"/>
      <c r="AG92" s="15"/>
      <c r="AH92" s="15"/>
      <c r="AI92" s="15"/>
      <c r="AJ92" s="15"/>
      <c r="AK92" s="95"/>
      <c r="AL92" s="95"/>
      <c r="AM92" s="93"/>
      <c r="AN92" s="3"/>
      <c r="AP92" s="28"/>
      <c r="AQ92" s="29"/>
    </row>
    <row r="93" spans="1:43" ht="26.85" customHeight="1" x14ac:dyDescent="0.45">
      <c r="A93" s="15"/>
      <c r="B93" s="15"/>
      <c r="C93" s="15"/>
      <c r="D93" s="95"/>
      <c r="E93" s="95"/>
      <c r="F93" s="15"/>
      <c r="G93" s="95"/>
      <c r="H93" s="15"/>
      <c r="I93" s="15" t="str">
        <f>IF($H93&lt;&gt;"",(VLOOKUP(H93,'Other Lists'!O:P,2,FALSE)),"")</f>
        <v/>
      </c>
      <c r="J93" s="15"/>
      <c r="K93" s="15"/>
      <c r="L93" s="15"/>
      <c r="M93" s="15"/>
      <c r="N93" s="40"/>
      <c r="O93" s="15"/>
      <c r="P93" s="26"/>
      <c r="Q93" s="15"/>
      <c r="R93" s="15"/>
      <c r="S93" s="15"/>
      <c r="T93" s="15"/>
      <c r="U93" s="15"/>
      <c r="V93" s="95"/>
      <c r="W93" s="95"/>
      <c r="X93" s="15"/>
      <c r="Y93" s="15"/>
      <c r="Z93" s="15" t="str">
        <f t="shared" si="3"/>
        <v/>
      </c>
      <c r="AA93" s="15"/>
      <c r="AB93" s="15" t="str">
        <f t="shared" si="4"/>
        <v/>
      </c>
      <c r="AC93" s="15"/>
      <c r="AD93" s="15"/>
      <c r="AE93" s="15"/>
      <c r="AF93" s="15"/>
      <c r="AG93" s="15"/>
      <c r="AH93" s="15"/>
      <c r="AI93" s="15"/>
      <c r="AJ93" s="15"/>
      <c r="AK93" s="95"/>
      <c r="AL93" s="95"/>
      <c r="AM93" s="93"/>
      <c r="AN93" s="3"/>
      <c r="AP93" s="28"/>
      <c r="AQ93" s="29"/>
    </row>
    <row r="94" spans="1:43" ht="26.85" customHeight="1" x14ac:dyDescent="0.45">
      <c r="A94" s="15"/>
      <c r="B94" s="15"/>
      <c r="C94" s="15"/>
      <c r="D94" s="95"/>
      <c r="E94" s="95"/>
      <c r="F94" s="15"/>
      <c r="G94" s="95"/>
      <c r="H94" s="15"/>
      <c r="I94" s="15" t="str">
        <f>IF($H94&lt;&gt;"",(VLOOKUP(H94,'Other Lists'!O:P,2,FALSE)),"")</f>
        <v/>
      </c>
      <c r="J94" s="15"/>
      <c r="K94" s="15"/>
      <c r="L94" s="15"/>
      <c r="M94" s="15"/>
      <c r="N94" s="40"/>
      <c r="O94" s="15"/>
      <c r="P94" s="26"/>
      <c r="Q94" s="15"/>
      <c r="R94" s="15"/>
      <c r="S94" s="15"/>
      <c r="T94" s="15"/>
      <c r="U94" s="15"/>
      <c r="V94" s="95"/>
      <c r="W94" s="95"/>
      <c r="X94" s="15"/>
      <c r="Y94" s="15"/>
      <c r="Z94" s="15" t="str">
        <f t="shared" si="3"/>
        <v/>
      </c>
      <c r="AA94" s="15"/>
      <c r="AB94" s="15" t="str">
        <f t="shared" si="4"/>
        <v/>
      </c>
      <c r="AC94" s="15"/>
      <c r="AD94" s="15"/>
      <c r="AE94" s="15"/>
      <c r="AF94" s="15"/>
      <c r="AG94" s="15"/>
      <c r="AH94" s="15"/>
      <c r="AI94" s="15"/>
      <c r="AJ94" s="15"/>
      <c r="AK94" s="95"/>
      <c r="AL94" s="95"/>
      <c r="AM94" s="93"/>
      <c r="AN94" s="3"/>
      <c r="AP94" s="28"/>
      <c r="AQ94" s="29"/>
    </row>
    <row r="95" spans="1:43" ht="26.85" customHeight="1" x14ac:dyDescent="0.45">
      <c r="A95" s="15"/>
      <c r="B95" s="15"/>
      <c r="C95" s="15"/>
      <c r="D95" s="95"/>
      <c r="E95" s="95"/>
      <c r="F95" s="15"/>
      <c r="G95" s="95"/>
      <c r="H95" s="15"/>
      <c r="I95" s="15" t="str">
        <f>IF($H95&lt;&gt;"",(VLOOKUP(H95,'Other Lists'!O:P,2,FALSE)),"")</f>
        <v/>
      </c>
      <c r="J95" s="15"/>
      <c r="K95" s="15"/>
      <c r="L95" s="15"/>
      <c r="M95" s="15"/>
      <c r="N95" s="40"/>
      <c r="O95" s="15"/>
      <c r="P95" s="26"/>
      <c r="Q95" s="15"/>
      <c r="R95" s="15"/>
      <c r="S95" s="15"/>
      <c r="T95" s="15"/>
      <c r="U95" s="15"/>
      <c r="V95" s="95"/>
      <c r="W95" s="95"/>
      <c r="X95" s="15"/>
      <c r="Y95" s="15"/>
      <c r="Z95" s="15" t="str">
        <f t="shared" si="3"/>
        <v/>
      </c>
      <c r="AA95" s="15"/>
      <c r="AB95" s="15" t="str">
        <f t="shared" si="4"/>
        <v/>
      </c>
      <c r="AC95" s="15"/>
      <c r="AD95" s="15"/>
      <c r="AE95" s="15"/>
      <c r="AF95" s="15"/>
      <c r="AG95" s="15"/>
      <c r="AH95" s="15"/>
      <c r="AI95" s="15"/>
      <c r="AJ95" s="15"/>
      <c r="AK95" s="95"/>
      <c r="AL95" s="95"/>
      <c r="AM95" s="93"/>
      <c r="AN95" s="3"/>
      <c r="AP95" s="28"/>
      <c r="AQ95" s="29"/>
    </row>
    <row r="96" spans="1:43" ht="26.85" customHeight="1" x14ac:dyDescent="0.45">
      <c r="A96" s="15"/>
      <c r="B96" s="15"/>
      <c r="C96" s="15"/>
      <c r="D96" s="95"/>
      <c r="E96" s="95"/>
      <c r="F96" s="15"/>
      <c r="G96" s="95"/>
      <c r="H96" s="15"/>
      <c r="I96" s="15" t="str">
        <f>IF($H96&lt;&gt;"",(VLOOKUP(H96,'Other Lists'!O:P,2,FALSE)),"")</f>
        <v/>
      </c>
      <c r="J96" s="15"/>
      <c r="K96" s="15"/>
      <c r="L96" s="15"/>
      <c r="M96" s="15"/>
      <c r="N96" s="40"/>
      <c r="O96" s="15"/>
      <c r="P96" s="26"/>
      <c r="Q96" s="15"/>
      <c r="R96" s="15"/>
      <c r="S96" s="15"/>
      <c r="T96" s="15"/>
      <c r="U96" s="15"/>
      <c r="V96" s="95"/>
      <c r="W96" s="95"/>
      <c r="X96" s="15"/>
      <c r="Y96" s="15"/>
      <c r="Z96" s="15" t="str">
        <f t="shared" si="3"/>
        <v/>
      </c>
      <c r="AA96" s="15"/>
      <c r="AB96" s="15" t="str">
        <f t="shared" si="4"/>
        <v/>
      </c>
      <c r="AC96" s="15"/>
      <c r="AD96" s="15"/>
      <c r="AE96" s="15"/>
      <c r="AF96" s="15"/>
      <c r="AG96" s="15"/>
      <c r="AH96" s="15"/>
      <c r="AI96" s="15"/>
      <c r="AJ96" s="15"/>
      <c r="AK96" s="95"/>
      <c r="AL96" s="95"/>
      <c r="AM96" s="93"/>
      <c r="AN96" s="3"/>
      <c r="AP96" s="28"/>
      <c r="AQ96" s="29"/>
    </row>
    <row r="97" spans="1:43" ht="26.85" customHeight="1" x14ac:dyDescent="0.45">
      <c r="A97" s="15"/>
      <c r="B97" s="15"/>
      <c r="C97" s="15"/>
      <c r="D97" s="95"/>
      <c r="E97" s="95"/>
      <c r="F97" s="15"/>
      <c r="G97" s="95"/>
      <c r="H97" s="15"/>
      <c r="I97" s="15" t="str">
        <f>IF($H97&lt;&gt;"",(VLOOKUP(H97,'Other Lists'!O:P,2,FALSE)),"")</f>
        <v/>
      </c>
      <c r="J97" s="15"/>
      <c r="K97" s="15"/>
      <c r="L97" s="15"/>
      <c r="M97" s="15"/>
      <c r="N97" s="40"/>
      <c r="O97" s="15"/>
      <c r="P97" s="26"/>
      <c r="Q97" s="15"/>
      <c r="R97" s="15"/>
      <c r="S97" s="15"/>
      <c r="T97" s="15"/>
      <c r="U97" s="15"/>
      <c r="V97" s="95"/>
      <c r="W97" s="95"/>
      <c r="X97" s="15"/>
      <c r="Y97" s="15"/>
      <c r="Z97" s="15" t="str">
        <f t="shared" si="3"/>
        <v/>
      </c>
      <c r="AA97" s="15"/>
      <c r="AB97" s="15" t="str">
        <f t="shared" si="4"/>
        <v/>
      </c>
      <c r="AC97" s="15"/>
      <c r="AD97" s="15"/>
      <c r="AE97" s="15"/>
      <c r="AF97" s="15"/>
      <c r="AG97" s="15"/>
      <c r="AH97" s="15"/>
      <c r="AI97" s="15"/>
      <c r="AJ97" s="15"/>
      <c r="AK97" s="95"/>
      <c r="AL97" s="95"/>
      <c r="AM97" s="93"/>
      <c r="AN97" s="3"/>
      <c r="AP97" s="28"/>
      <c r="AQ97" s="29"/>
    </row>
    <row r="98" spans="1:43" ht="26.85" customHeight="1" x14ac:dyDescent="0.45">
      <c r="A98" s="15"/>
      <c r="B98" s="15"/>
      <c r="C98" s="15"/>
      <c r="D98" s="95"/>
      <c r="E98" s="95"/>
      <c r="F98" s="15"/>
      <c r="G98" s="95"/>
      <c r="H98" s="15"/>
      <c r="I98" s="15" t="str">
        <f>IF($H98&lt;&gt;"",(VLOOKUP(H98,'Other Lists'!O:P,2,FALSE)),"")</f>
        <v/>
      </c>
      <c r="J98" s="15"/>
      <c r="K98" s="15"/>
      <c r="L98" s="15"/>
      <c r="M98" s="15"/>
      <c r="N98" s="40"/>
      <c r="O98" s="15"/>
      <c r="P98" s="26"/>
      <c r="Q98" s="15"/>
      <c r="R98" s="15"/>
      <c r="S98" s="15"/>
      <c r="T98" s="15"/>
      <c r="U98" s="15"/>
      <c r="V98" s="95"/>
      <c r="W98" s="95"/>
      <c r="X98" s="15"/>
      <c r="Y98" s="15"/>
      <c r="Z98" s="15" t="str">
        <f t="shared" si="3"/>
        <v/>
      </c>
      <c r="AA98" s="15"/>
      <c r="AB98" s="15" t="str">
        <f t="shared" si="4"/>
        <v/>
      </c>
      <c r="AC98" s="15"/>
      <c r="AD98" s="15"/>
      <c r="AE98" s="15"/>
      <c r="AF98" s="15"/>
      <c r="AG98" s="15"/>
      <c r="AH98" s="15"/>
      <c r="AI98" s="15"/>
      <c r="AJ98" s="15"/>
      <c r="AK98" s="95"/>
      <c r="AL98" s="95"/>
      <c r="AM98" s="93"/>
      <c r="AN98" s="3"/>
      <c r="AP98" s="28"/>
      <c r="AQ98" s="29"/>
    </row>
    <row r="99" spans="1:43" ht="26.85" customHeight="1" x14ac:dyDescent="0.45">
      <c r="A99" s="15"/>
      <c r="B99" s="15"/>
      <c r="C99" s="15"/>
      <c r="D99" s="95"/>
      <c r="E99" s="95"/>
      <c r="F99" s="15"/>
      <c r="G99" s="95"/>
      <c r="H99" s="15"/>
      <c r="I99" s="15" t="str">
        <f>IF($H99&lt;&gt;"",(VLOOKUP(H99,'Other Lists'!O:P,2,FALSE)),"")</f>
        <v/>
      </c>
      <c r="J99" s="15"/>
      <c r="K99" s="15"/>
      <c r="L99" s="15"/>
      <c r="M99" s="15"/>
      <c r="N99" s="40"/>
      <c r="O99" s="15"/>
      <c r="P99" s="26"/>
      <c r="Q99" s="15"/>
      <c r="R99" s="15"/>
      <c r="S99" s="15"/>
      <c r="T99" s="15"/>
      <c r="U99" s="15"/>
      <c r="V99" s="95"/>
      <c r="W99" s="95"/>
      <c r="X99" s="15"/>
      <c r="Y99" s="15"/>
      <c r="Z99" s="15" t="str">
        <f t="shared" si="3"/>
        <v/>
      </c>
      <c r="AA99" s="15"/>
      <c r="AB99" s="15" t="str">
        <f t="shared" si="4"/>
        <v/>
      </c>
      <c r="AC99" s="15"/>
      <c r="AD99" s="15"/>
      <c r="AE99" s="15"/>
      <c r="AF99" s="15"/>
      <c r="AG99" s="15"/>
      <c r="AH99" s="15"/>
      <c r="AI99" s="15"/>
      <c r="AJ99" s="15"/>
      <c r="AK99" s="95"/>
      <c r="AL99" s="95"/>
      <c r="AM99" s="93"/>
      <c r="AN99" s="3"/>
      <c r="AP99" s="28"/>
      <c r="AQ99" s="29"/>
    </row>
    <row r="100" spans="1:43" ht="26.85" customHeight="1" x14ac:dyDescent="0.45">
      <c r="A100" s="15"/>
      <c r="B100" s="15"/>
      <c r="C100" s="15"/>
      <c r="D100" s="95"/>
      <c r="E100" s="95"/>
      <c r="F100" s="15"/>
      <c r="G100" s="95"/>
      <c r="H100" s="15"/>
      <c r="I100" s="15" t="str">
        <f>IF($H100&lt;&gt;"",(VLOOKUP(H100,'Other Lists'!O:P,2,FALSE)),"")</f>
        <v/>
      </c>
      <c r="J100" s="15"/>
      <c r="K100" s="15"/>
      <c r="L100" s="15"/>
      <c r="M100" s="15"/>
      <c r="N100" s="40"/>
      <c r="O100" s="15"/>
      <c r="P100" s="26"/>
      <c r="Q100" s="15"/>
      <c r="R100" s="15"/>
      <c r="S100" s="15"/>
      <c r="T100" s="15"/>
      <c r="U100" s="15"/>
      <c r="V100" s="95"/>
      <c r="W100" s="95"/>
      <c r="X100" s="15"/>
      <c r="Y100" s="15"/>
      <c r="Z100" s="15" t="str">
        <f t="shared" si="3"/>
        <v/>
      </c>
      <c r="AA100" s="15"/>
      <c r="AB100" s="15" t="str">
        <f t="shared" si="4"/>
        <v/>
      </c>
      <c r="AC100" s="15"/>
      <c r="AD100" s="15"/>
      <c r="AE100" s="15"/>
      <c r="AF100" s="15"/>
      <c r="AG100" s="15"/>
      <c r="AH100" s="15"/>
      <c r="AI100" s="15"/>
      <c r="AJ100" s="15"/>
      <c r="AK100" s="95"/>
      <c r="AL100" s="95"/>
      <c r="AM100" s="93"/>
      <c r="AN100" s="3"/>
      <c r="AP100" s="28"/>
      <c r="AQ100" s="29"/>
    </row>
    <row r="101" spans="1:43" ht="26.85" customHeight="1" x14ac:dyDescent="0.45">
      <c r="A101" s="15"/>
      <c r="B101" s="15"/>
      <c r="C101" s="15"/>
      <c r="D101" s="95"/>
      <c r="E101" s="95"/>
      <c r="F101" s="15"/>
      <c r="G101" s="95"/>
      <c r="H101" s="15"/>
      <c r="I101" s="15" t="str">
        <f>IF($H101&lt;&gt;"",(VLOOKUP(H101,'Other Lists'!O:P,2,FALSE)),"")</f>
        <v/>
      </c>
      <c r="J101" s="15"/>
      <c r="K101" s="15"/>
      <c r="L101" s="15"/>
      <c r="M101" s="15"/>
      <c r="N101" s="40"/>
      <c r="O101" s="15"/>
      <c r="P101" s="26"/>
      <c r="Q101" s="15"/>
      <c r="R101" s="15"/>
      <c r="S101" s="15"/>
      <c r="T101" s="15"/>
      <c r="U101" s="15"/>
      <c r="V101" s="95"/>
      <c r="W101" s="95"/>
      <c r="X101" s="15"/>
      <c r="Y101" s="15"/>
      <c r="Z101" s="15" t="str">
        <f t="shared" si="3"/>
        <v/>
      </c>
      <c r="AA101" s="15"/>
      <c r="AB101" s="15" t="str">
        <f t="shared" si="4"/>
        <v/>
      </c>
      <c r="AC101" s="15"/>
      <c r="AD101" s="15"/>
      <c r="AE101" s="15"/>
      <c r="AF101" s="15"/>
      <c r="AG101" s="15"/>
      <c r="AH101" s="15"/>
      <c r="AI101" s="15"/>
      <c r="AJ101" s="15"/>
      <c r="AK101" s="95"/>
      <c r="AL101" s="95"/>
      <c r="AM101" s="93"/>
      <c r="AN101" s="3"/>
      <c r="AP101" s="28"/>
      <c r="AQ101" s="29"/>
    </row>
    <row r="102" spans="1:43" ht="26.85" customHeight="1" x14ac:dyDescent="0.45">
      <c r="A102" s="15"/>
      <c r="B102" s="15"/>
      <c r="C102" s="15"/>
      <c r="D102" s="95"/>
      <c r="E102" s="95"/>
      <c r="F102" s="15"/>
      <c r="G102" s="95"/>
      <c r="H102" s="15"/>
      <c r="I102" s="15" t="str">
        <f>IF($H102&lt;&gt;"",(VLOOKUP(H102,'Other Lists'!O:P,2,FALSE)),"")</f>
        <v/>
      </c>
      <c r="J102" s="15"/>
      <c r="K102" s="15"/>
      <c r="L102" s="15"/>
      <c r="M102" s="15"/>
      <c r="N102" s="40"/>
      <c r="O102" s="15"/>
      <c r="P102" s="26"/>
      <c r="Q102" s="15"/>
      <c r="R102" s="15"/>
      <c r="S102" s="15"/>
      <c r="T102" s="15"/>
      <c r="U102" s="15"/>
      <c r="V102" s="95"/>
      <c r="W102" s="95"/>
      <c r="X102" s="15"/>
      <c r="Y102" s="15"/>
      <c r="Z102" s="15" t="str">
        <f t="shared" si="3"/>
        <v/>
      </c>
      <c r="AA102" s="15"/>
      <c r="AB102" s="15" t="str">
        <f t="shared" si="4"/>
        <v/>
      </c>
      <c r="AC102" s="15"/>
      <c r="AD102" s="15"/>
      <c r="AE102" s="15"/>
      <c r="AF102" s="15"/>
      <c r="AG102" s="15"/>
      <c r="AH102" s="15"/>
      <c r="AI102" s="15"/>
      <c r="AJ102" s="15"/>
      <c r="AK102" s="95"/>
      <c r="AL102" s="95"/>
      <c r="AM102" s="93"/>
      <c r="AN102" s="3"/>
      <c r="AP102" s="28"/>
      <c r="AQ102" s="29"/>
    </row>
    <row r="103" spans="1:43" ht="26.85" customHeight="1" x14ac:dyDescent="0.45">
      <c r="A103" s="15"/>
      <c r="B103" s="15"/>
      <c r="C103" s="15"/>
      <c r="D103" s="95"/>
      <c r="E103" s="95"/>
      <c r="F103" s="15"/>
      <c r="G103" s="95"/>
      <c r="H103" s="15"/>
      <c r="I103" s="15" t="str">
        <f>IF($H103&lt;&gt;"",(VLOOKUP(H103,'Other Lists'!O:P,2,FALSE)),"")</f>
        <v/>
      </c>
      <c r="J103" s="15"/>
      <c r="K103" s="15"/>
      <c r="L103" s="15"/>
      <c r="M103" s="15"/>
      <c r="N103" s="40"/>
      <c r="O103" s="15"/>
      <c r="P103" s="26"/>
      <c r="Q103" s="15"/>
      <c r="R103" s="15"/>
      <c r="S103" s="15"/>
      <c r="T103" s="15"/>
      <c r="U103" s="15"/>
      <c r="V103" s="95"/>
      <c r="W103" s="95"/>
      <c r="X103" s="15"/>
      <c r="Y103" s="15"/>
      <c r="Z103" s="15" t="str">
        <f t="shared" si="3"/>
        <v/>
      </c>
      <c r="AA103" s="15"/>
      <c r="AB103" s="15" t="str">
        <f t="shared" si="4"/>
        <v/>
      </c>
      <c r="AC103" s="15"/>
      <c r="AD103" s="15"/>
      <c r="AE103" s="15"/>
      <c r="AF103" s="15"/>
      <c r="AG103" s="15"/>
      <c r="AH103" s="15"/>
      <c r="AI103" s="15"/>
      <c r="AJ103" s="15"/>
      <c r="AK103" s="95"/>
      <c r="AL103" s="95"/>
      <c r="AM103" s="93"/>
      <c r="AN103" s="3"/>
      <c r="AP103" s="28"/>
      <c r="AQ103" s="29"/>
    </row>
    <row r="104" spans="1:43" ht="26.85" customHeight="1" x14ac:dyDescent="0.45">
      <c r="A104" s="15"/>
      <c r="B104" s="15"/>
      <c r="C104" s="15"/>
      <c r="D104" s="95"/>
      <c r="E104" s="95"/>
      <c r="F104" s="15"/>
      <c r="G104" s="95"/>
      <c r="H104" s="15"/>
      <c r="I104" s="15" t="str">
        <f>IF($H104&lt;&gt;"",(VLOOKUP(H104,'Other Lists'!O:P,2,FALSE)),"")</f>
        <v/>
      </c>
      <c r="J104" s="15"/>
      <c r="K104" s="15"/>
      <c r="L104" s="15"/>
      <c r="M104" s="15"/>
      <c r="N104" s="40"/>
      <c r="O104" s="15"/>
      <c r="P104" s="26"/>
      <c r="Q104" s="15"/>
      <c r="R104" s="15"/>
      <c r="S104" s="15"/>
      <c r="T104" s="15"/>
      <c r="U104" s="15"/>
      <c r="V104" s="95"/>
      <c r="W104" s="95"/>
      <c r="X104" s="15"/>
      <c r="Y104" s="15"/>
      <c r="Z104" s="15" t="str">
        <f t="shared" si="3"/>
        <v/>
      </c>
      <c r="AA104" s="15"/>
      <c r="AB104" s="15" t="str">
        <f t="shared" si="4"/>
        <v/>
      </c>
      <c r="AC104" s="15"/>
      <c r="AD104" s="15"/>
      <c r="AE104" s="15"/>
      <c r="AF104" s="15"/>
      <c r="AG104" s="15"/>
      <c r="AH104" s="15"/>
      <c r="AI104" s="15"/>
      <c r="AJ104" s="15"/>
      <c r="AK104" s="95"/>
      <c r="AL104" s="95"/>
      <c r="AM104" s="93"/>
      <c r="AN104" s="3"/>
      <c r="AP104" s="28"/>
      <c r="AQ104" s="29"/>
    </row>
    <row r="105" spans="1:43" ht="26.85" customHeight="1" x14ac:dyDescent="0.45">
      <c r="A105" s="15"/>
      <c r="B105" s="15"/>
      <c r="C105" s="15"/>
      <c r="D105" s="95"/>
      <c r="E105" s="95"/>
      <c r="F105" s="15"/>
      <c r="G105" s="95"/>
      <c r="H105" s="15"/>
      <c r="I105" s="15" t="str">
        <f>IF($H105&lt;&gt;"",(VLOOKUP(H105,'Other Lists'!O:P,2,FALSE)),"")</f>
        <v/>
      </c>
      <c r="J105" s="15"/>
      <c r="K105" s="15"/>
      <c r="L105" s="15"/>
      <c r="M105" s="15"/>
      <c r="N105" s="40"/>
      <c r="O105" s="15"/>
      <c r="P105" s="26"/>
      <c r="Q105" s="15"/>
      <c r="R105" s="15"/>
      <c r="S105" s="15"/>
      <c r="T105" s="15"/>
      <c r="U105" s="15"/>
      <c r="V105" s="95"/>
      <c r="W105" s="95"/>
      <c r="X105" s="15"/>
      <c r="Y105" s="15"/>
      <c r="Z105" s="15" t="str">
        <f t="shared" si="3"/>
        <v/>
      </c>
      <c r="AA105" s="15"/>
      <c r="AB105" s="15" t="str">
        <f t="shared" si="4"/>
        <v/>
      </c>
      <c r="AC105" s="15"/>
      <c r="AD105" s="15"/>
      <c r="AE105" s="15"/>
      <c r="AF105" s="15"/>
      <c r="AG105" s="15"/>
      <c r="AH105" s="15"/>
      <c r="AI105" s="15"/>
      <c r="AJ105" s="15"/>
      <c r="AK105" s="95"/>
      <c r="AL105" s="95"/>
      <c r="AM105" s="93"/>
      <c r="AN105" s="3"/>
      <c r="AP105" s="28"/>
      <c r="AQ105" s="29"/>
    </row>
    <row r="106" spans="1:43" ht="26.85" customHeight="1" x14ac:dyDescent="0.45">
      <c r="A106" s="15"/>
      <c r="B106" s="15"/>
      <c r="C106" s="15"/>
      <c r="D106" s="95"/>
      <c r="E106" s="95"/>
      <c r="F106" s="15"/>
      <c r="G106" s="95"/>
      <c r="H106" s="15"/>
      <c r="I106" s="15" t="str">
        <f>IF($H106&lt;&gt;"",(VLOOKUP(H106,'Other Lists'!O:P,2,FALSE)),"")</f>
        <v/>
      </c>
      <c r="J106" s="15"/>
      <c r="K106" s="15"/>
      <c r="L106" s="15"/>
      <c r="M106" s="15"/>
      <c r="N106" s="40"/>
      <c r="O106" s="15"/>
      <c r="P106" s="26"/>
      <c r="Q106" s="15"/>
      <c r="R106" s="15"/>
      <c r="S106" s="15"/>
      <c r="T106" s="15"/>
      <c r="U106" s="15"/>
      <c r="V106" s="95"/>
      <c r="W106" s="95"/>
      <c r="X106" s="15"/>
      <c r="Y106" s="15"/>
      <c r="Z106" s="15" t="str">
        <f t="shared" si="3"/>
        <v/>
      </c>
      <c r="AA106" s="15"/>
      <c r="AB106" s="15" t="str">
        <f t="shared" si="4"/>
        <v/>
      </c>
      <c r="AC106" s="15"/>
      <c r="AD106" s="15"/>
      <c r="AE106" s="15"/>
      <c r="AF106" s="15"/>
      <c r="AG106" s="15"/>
      <c r="AH106" s="15"/>
      <c r="AI106" s="15"/>
      <c r="AJ106" s="15"/>
      <c r="AK106" s="95"/>
      <c r="AL106" s="95"/>
      <c r="AM106" s="93"/>
      <c r="AN106" s="3"/>
      <c r="AP106" s="28"/>
      <c r="AQ106" s="29"/>
    </row>
    <row r="107" spans="1:43" ht="26.85" customHeight="1" x14ac:dyDescent="0.45">
      <c r="A107" s="15"/>
      <c r="B107" s="15"/>
      <c r="C107" s="15"/>
      <c r="D107" s="95"/>
      <c r="E107" s="95"/>
      <c r="F107" s="15"/>
      <c r="G107" s="95"/>
      <c r="H107" s="15"/>
      <c r="I107" s="15" t="str">
        <f>IF($H107&lt;&gt;"",(VLOOKUP(H107,'Other Lists'!O:P,2,FALSE)),"")</f>
        <v/>
      </c>
      <c r="J107" s="15"/>
      <c r="K107" s="15"/>
      <c r="L107" s="15"/>
      <c r="M107" s="15"/>
      <c r="N107" s="40"/>
      <c r="O107" s="15"/>
      <c r="P107" s="26"/>
      <c r="Q107" s="15"/>
      <c r="R107" s="15"/>
      <c r="S107" s="15"/>
      <c r="T107" s="15"/>
      <c r="U107" s="15"/>
      <c r="V107" s="95"/>
      <c r="W107" s="95"/>
      <c r="X107" s="15"/>
      <c r="Y107" s="15"/>
      <c r="Z107" s="15" t="str">
        <f t="shared" si="3"/>
        <v/>
      </c>
      <c r="AA107" s="15"/>
      <c r="AB107" s="15" t="str">
        <f t="shared" si="4"/>
        <v/>
      </c>
      <c r="AC107" s="15"/>
      <c r="AD107" s="15"/>
      <c r="AE107" s="15"/>
      <c r="AF107" s="15"/>
      <c r="AG107" s="15"/>
      <c r="AH107" s="15"/>
      <c r="AI107" s="15"/>
      <c r="AJ107" s="15"/>
      <c r="AK107" s="95"/>
      <c r="AL107" s="95"/>
      <c r="AM107" s="93"/>
      <c r="AN107" s="3"/>
      <c r="AP107" s="28"/>
      <c r="AQ107" s="29"/>
    </row>
    <row r="108" spans="1:43" ht="26.85" customHeight="1" x14ac:dyDescent="0.45">
      <c r="A108" s="15"/>
      <c r="B108" s="15"/>
      <c r="C108" s="15"/>
      <c r="D108" s="95"/>
      <c r="E108" s="95"/>
      <c r="F108" s="15"/>
      <c r="G108" s="95"/>
      <c r="H108" s="15"/>
      <c r="I108" s="15" t="str">
        <f>IF($H108&lt;&gt;"",(VLOOKUP(H108,'Other Lists'!O:P,2,FALSE)),"")</f>
        <v/>
      </c>
      <c r="J108" s="15"/>
      <c r="K108" s="15"/>
      <c r="L108" s="15"/>
      <c r="M108" s="15"/>
      <c r="N108" s="40"/>
      <c r="O108" s="15"/>
      <c r="P108" s="26"/>
      <c r="Q108" s="15"/>
      <c r="R108" s="15"/>
      <c r="S108" s="15"/>
      <c r="T108" s="15"/>
      <c r="U108" s="15"/>
      <c r="V108" s="95"/>
      <c r="W108" s="95"/>
      <c r="X108" s="15"/>
      <c r="Y108" s="15"/>
      <c r="Z108" s="15" t="str">
        <f t="shared" si="3"/>
        <v/>
      </c>
      <c r="AA108" s="15"/>
      <c r="AB108" s="15" t="str">
        <f t="shared" si="4"/>
        <v/>
      </c>
      <c r="AC108" s="15"/>
      <c r="AD108" s="15"/>
      <c r="AE108" s="15"/>
      <c r="AF108" s="15"/>
      <c r="AG108" s="15"/>
      <c r="AH108" s="15"/>
      <c r="AI108" s="15"/>
      <c r="AJ108" s="15"/>
      <c r="AK108" s="95"/>
      <c r="AL108" s="95"/>
      <c r="AM108" s="93"/>
      <c r="AN108" s="3"/>
      <c r="AP108" s="28"/>
      <c r="AQ108" s="29"/>
    </row>
    <row r="109" spans="1:43" ht="26.85" customHeight="1" x14ac:dyDescent="0.45">
      <c r="A109" s="15"/>
      <c r="B109" s="15"/>
      <c r="C109" s="15"/>
      <c r="D109" s="95"/>
      <c r="E109" s="95"/>
      <c r="F109" s="15"/>
      <c r="G109" s="95"/>
      <c r="H109" s="15"/>
      <c r="I109" s="15" t="str">
        <f>IF($H109&lt;&gt;"",(VLOOKUP(H109,'Other Lists'!O:P,2,FALSE)),"")</f>
        <v/>
      </c>
      <c r="J109" s="15"/>
      <c r="K109" s="15"/>
      <c r="L109" s="15"/>
      <c r="M109" s="15"/>
      <c r="N109" s="40"/>
      <c r="O109" s="15"/>
      <c r="P109" s="26"/>
      <c r="Q109" s="15"/>
      <c r="R109" s="15"/>
      <c r="S109" s="15"/>
      <c r="T109" s="15"/>
      <c r="U109" s="15"/>
      <c r="V109" s="95"/>
      <c r="W109" s="95"/>
      <c r="X109" s="15"/>
      <c r="Y109" s="15"/>
      <c r="Z109" s="15" t="str">
        <f t="shared" si="3"/>
        <v/>
      </c>
      <c r="AA109" s="15"/>
      <c r="AB109" s="15" t="str">
        <f t="shared" si="4"/>
        <v/>
      </c>
      <c r="AC109" s="15"/>
      <c r="AD109" s="15"/>
      <c r="AE109" s="15"/>
      <c r="AF109" s="15"/>
      <c r="AG109" s="15"/>
      <c r="AH109" s="15"/>
      <c r="AI109" s="15"/>
      <c r="AJ109" s="15"/>
      <c r="AK109" s="95"/>
      <c r="AL109" s="95"/>
      <c r="AM109" s="93"/>
      <c r="AN109" s="3"/>
      <c r="AP109" s="28"/>
      <c r="AQ109" s="29"/>
    </row>
    <row r="110" spans="1:43" ht="26.85" customHeight="1" x14ac:dyDescent="0.45">
      <c r="A110" s="15"/>
      <c r="B110" s="15"/>
      <c r="C110" s="15"/>
      <c r="D110" s="95"/>
      <c r="E110" s="95"/>
      <c r="F110" s="15"/>
      <c r="G110" s="95"/>
      <c r="H110" s="15"/>
      <c r="I110" s="15" t="str">
        <f>IF($H110&lt;&gt;"",(VLOOKUP(H110,'Other Lists'!O:P,2,FALSE)),"")</f>
        <v/>
      </c>
      <c r="J110" s="15"/>
      <c r="K110" s="15"/>
      <c r="L110" s="15"/>
      <c r="M110" s="15"/>
      <c r="N110" s="40"/>
      <c r="O110" s="15"/>
      <c r="P110" s="26"/>
      <c r="Q110" s="15"/>
      <c r="R110" s="15"/>
      <c r="S110" s="15"/>
      <c r="T110" s="15"/>
      <c r="U110" s="15"/>
      <c r="V110" s="95"/>
      <c r="W110" s="95"/>
      <c r="X110" s="15"/>
      <c r="Y110" s="15"/>
      <c r="Z110" s="15" t="str">
        <f t="shared" si="3"/>
        <v/>
      </c>
      <c r="AA110" s="15"/>
      <c r="AB110" s="15" t="str">
        <f t="shared" si="4"/>
        <v/>
      </c>
      <c r="AC110" s="15"/>
      <c r="AD110" s="15"/>
      <c r="AE110" s="15"/>
      <c r="AF110" s="15"/>
      <c r="AG110" s="15"/>
      <c r="AH110" s="15"/>
      <c r="AI110" s="15"/>
      <c r="AJ110" s="15"/>
      <c r="AK110" s="95"/>
      <c r="AL110" s="95"/>
      <c r="AM110" s="93"/>
      <c r="AN110" s="3"/>
      <c r="AP110" s="28"/>
      <c r="AQ110" s="29"/>
    </row>
    <row r="111" spans="1:43" ht="26.85" customHeight="1" x14ac:dyDescent="0.45">
      <c r="A111" s="15"/>
      <c r="B111" s="15"/>
      <c r="C111" s="15"/>
      <c r="D111" s="95"/>
      <c r="E111" s="95"/>
      <c r="F111" s="15"/>
      <c r="G111" s="95"/>
      <c r="H111" s="15"/>
      <c r="I111" s="15" t="str">
        <f>IF($H111&lt;&gt;"",(VLOOKUP(H111,'Other Lists'!O:P,2,FALSE)),"")</f>
        <v/>
      </c>
      <c r="J111" s="15"/>
      <c r="K111" s="15"/>
      <c r="L111" s="15"/>
      <c r="M111" s="15"/>
      <c r="N111" s="40"/>
      <c r="O111" s="15"/>
      <c r="P111" s="26"/>
      <c r="Q111" s="15"/>
      <c r="R111" s="15"/>
      <c r="S111" s="15"/>
      <c r="T111" s="15"/>
      <c r="U111" s="15"/>
      <c r="V111" s="95"/>
      <c r="W111" s="95"/>
      <c r="X111" s="15"/>
      <c r="Y111" s="15"/>
      <c r="Z111" s="15" t="str">
        <f t="shared" si="3"/>
        <v/>
      </c>
      <c r="AA111" s="15"/>
      <c r="AB111" s="15" t="str">
        <f t="shared" si="4"/>
        <v/>
      </c>
      <c r="AC111" s="15"/>
      <c r="AD111" s="15"/>
      <c r="AE111" s="15"/>
      <c r="AF111" s="15"/>
      <c r="AG111" s="15"/>
      <c r="AH111" s="15"/>
      <c r="AI111" s="15"/>
      <c r="AJ111" s="15"/>
      <c r="AK111" s="95"/>
      <c r="AL111" s="95"/>
      <c r="AM111" s="93"/>
      <c r="AN111" s="3"/>
      <c r="AP111" s="28"/>
      <c r="AQ111" s="29"/>
    </row>
    <row r="112" spans="1:43" ht="26.85" customHeight="1" x14ac:dyDescent="0.45">
      <c r="A112" s="15"/>
      <c r="B112" s="15"/>
      <c r="C112" s="15"/>
      <c r="D112" s="95"/>
      <c r="E112" s="95"/>
      <c r="F112" s="15"/>
      <c r="G112" s="95"/>
      <c r="H112" s="15"/>
      <c r="I112" s="15" t="str">
        <f>IF($H112&lt;&gt;"",(VLOOKUP(H112,'Other Lists'!O:P,2,FALSE)),"")</f>
        <v/>
      </c>
      <c r="J112" s="15"/>
      <c r="K112" s="15"/>
      <c r="L112" s="15"/>
      <c r="M112" s="15"/>
      <c r="N112" s="40"/>
      <c r="O112" s="15"/>
      <c r="P112" s="26"/>
      <c r="Q112" s="15"/>
      <c r="R112" s="15"/>
      <c r="S112" s="15"/>
      <c r="T112" s="15"/>
      <c r="U112" s="15"/>
      <c r="V112" s="95"/>
      <c r="W112" s="95"/>
      <c r="X112" s="15"/>
      <c r="Y112" s="15"/>
      <c r="Z112" s="15" t="str">
        <f t="shared" si="3"/>
        <v/>
      </c>
      <c r="AA112" s="15"/>
      <c r="AB112" s="15" t="str">
        <f t="shared" si="4"/>
        <v/>
      </c>
      <c r="AC112" s="15"/>
      <c r="AD112" s="15"/>
      <c r="AE112" s="15"/>
      <c r="AF112" s="15"/>
      <c r="AG112" s="15"/>
      <c r="AH112" s="15"/>
      <c r="AI112" s="15"/>
      <c r="AJ112" s="15"/>
      <c r="AK112" s="95"/>
      <c r="AL112" s="95"/>
      <c r="AM112" s="93"/>
      <c r="AN112" s="3"/>
      <c r="AP112" s="28"/>
      <c r="AQ112" s="29"/>
    </row>
    <row r="113" spans="1:43" ht="26.85" customHeight="1" x14ac:dyDescent="0.45">
      <c r="A113" s="15"/>
      <c r="B113" s="15"/>
      <c r="C113" s="15"/>
      <c r="D113" s="95"/>
      <c r="E113" s="95"/>
      <c r="F113" s="15"/>
      <c r="G113" s="95"/>
      <c r="H113" s="15"/>
      <c r="I113" s="15" t="str">
        <f>IF($H113&lt;&gt;"",(VLOOKUP(H113,'Other Lists'!O:P,2,FALSE)),"")</f>
        <v/>
      </c>
      <c r="J113" s="15"/>
      <c r="K113" s="15"/>
      <c r="L113" s="15"/>
      <c r="M113" s="15"/>
      <c r="N113" s="40"/>
      <c r="O113" s="15"/>
      <c r="P113" s="26"/>
      <c r="Q113" s="15"/>
      <c r="R113" s="15"/>
      <c r="S113" s="15"/>
      <c r="T113" s="15"/>
      <c r="U113" s="15"/>
      <c r="V113" s="95"/>
      <c r="W113" s="95"/>
      <c r="X113" s="15"/>
      <c r="Y113" s="15"/>
      <c r="Z113" s="15" t="str">
        <f t="shared" si="3"/>
        <v/>
      </c>
      <c r="AA113" s="15"/>
      <c r="AB113" s="15" t="str">
        <f t="shared" si="4"/>
        <v/>
      </c>
      <c r="AC113" s="15"/>
      <c r="AD113" s="15"/>
      <c r="AE113" s="15"/>
      <c r="AF113" s="15"/>
      <c r="AG113" s="15"/>
      <c r="AH113" s="15"/>
      <c r="AI113" s="15"/>
      <c r="AJ113" s="15"/>
      <c r="AK113" s="95"/>
      <c r="AL113" s="95"/>
      <c r="AM113" s="93"/>
      <c r="AN113" s="3"/>
      <c r="AP113" s="28"/>
      <c r="AQ113" s="29"/>
    </row>
    <row r="114" spans="1:43" ht="26.85" customHeight="1" x14ac:dyDescent="0.45">
      <c r="A114" s="15"/>
      <c r="B114" s="15"/>
      <c r="C114" s="15"/>
      <c r="D114" s="95"/>
      <c r="E114" s="95"/>
      <c r="F114" s="15"/>
      <c r="G114" s="95"/>
      <c r="H114" s="15"/>
      <c r="I114" s="15" t="str">
        <f>IF($H114&lt;&gt;"",(VLOOKUP(H114,'Other Lists'!O:P,2,FALSE)),"")</f>
        <v/>
      </c>
      <c r="J114" s="15"/>
      <c r="K114" s="15"/>
      <c r="L114" s="15"/>
      <c r="M114" s="15"/>
      <c r="N114" s="40"/>
      <c r="O114" s="15"/>
      <c r="P114" s="26"/>
      <c r="Q114" s="15"/>
      <c r="R114" s="15"/>
      <c r="S114" s="15"/>
      <c r="T114" s="15"/>
      <c r="U114" s="15"/>
      <c r="V114" s="95"/>
      <c r="W114" s="95"/>
      <c r="X114" s="15"/>
      <c r="Y114" s="15"/>
      <c r="Z114" s="15" t="str">
        <f t="shared" si="3"/>
        <v/>
      </c>
      <c r="AA114" s="15"/>
      <c r="AB114" s="15" t="str">
        <f t="shared" si="4"/>
        <v/>
      </c>
      <c r="AC114" s="15"/>
      <c r="AD114" s="15"/>
      <c r="AE114" s="15"/>
      <c r="AF114" s="15"/>
      <c r="AG114" s="15"/>
      <c r="AH114" s="15"/>
      <c r="AI114" s="15"/>
      <c r="AJ114" s="15"/>
      <c r="AK114" s="95"/>
      <c r="AL114" s="95"/>
      <c r="AM114" s="93"/>
      <c r="AN114" s="3"/>
      <c r="AP114" s="28"/>
      <c r="AQ114" s="29"/>
    </row>
    <row r="115" spans="1:43" ht="26.85" customHeight="1" x14ac:dyDescent="0.45">
      <c r="A115" s="15"/>
      <c r="B115" s="15"/>
      <c r="C115" s="15"/>
      <c r="D115" s="95"/>
      <c r="E115" s="95"/>
      <c r="F115" s="15"/>
      <c r="G115" s="95"/>
      <c r="H115" s="15"/>
      <c r="I115" s="15" t="str">
        <f>IF($H115&lt;&gt;"",(VLOOKUP(H115,'Other Lists'!O:P,2,FALSE)),"")</f>
        <v/>
      </c>
      <c r="J115" s="15"/>
      <c r="K115" s="15"/>
      <c r="L115" s="15"/>
      <c r="M115" s="15"/>
      <c r="N115" s="40"/>
      <c r="O115" s="15"/>
      <c r="P115" s="26"/>
      <c r="Q115" s="15"/>
      <c r="R115" s="15"/>
      <c r="S115" s="15"/>
      <c r="T115" s="15"/>
      <c r="U115" s="15"/>
      <c r="V115" s="95"/>
      <c r="W115" s="95"/>
      <c r="X115" s="15"/>
      <c r="Y115" s="15"/>
      <c r="Z115" s="15" t="str">
        <f t="shared" si="3"/>
        <v/>
      </c>
      <c r="AA115" s="15"/>
      <c r="AB115" s="15" t="str">
        <f t="shared" si="4"/>
        <v/>
      </c>
      <c r="AC115" s="15"/>
      <c r="AD115" s="15"/>
      <c r="AE115" s="15"/>
      <c r="AF115" s="15"/>
      <c r="AG115" s="15"/>
      <c r="AH115" s="15"/>
      <c r="AI115" s="15"/>
      <c r="AJ115" s="15"/>
      <c r="AK115" s="95"/>
      <c r="AL115" s="95"/>
      <c r="AM115" s="93"/>
      <c r="AN115" s="3"/>
      <c r="AP115" s="28"/>
      <c r="AQ115" s="29"/>
    </row>
    <row r="116" spans="1:43" ht="26.85" customHeight="1" x14ac:dyDescent="0.45">
      <c r="A116" s="15"/>
      <c r="B116" s="15"/>
      <c r="C116" s="15"/>
      <c r="D116" s="95"/>
      <c r="E116" s="95"/>
      <c r="F116" s="15"/>
      <c r="G116" s="95"/>
      <c r="H116" s="15"/>
      <c r="I116" s="15" t="str">
        <f>IF($H116&lt;&gt;"",(VLOOKUP(H116,'Other Lists'!O:P,2,FALSE)),"")</f>
        <v/>
      </c>
      <c r="J116" s="15"/>
      <c r="K116" s="15"/>
      <c r="L116" s="15"/>
      <c r="M116" s="15"/>
      <c r="N116" s="40"/>
      <c r="O116" s="15"/>
      <c r="P116" s="26"/>
      <c r="Q116" s="15"/>
      <c r="R116" s="15"/>
      <c r="S116" s="15"/>
      <c r="T116" s="15"/>
      <c r="U116" s="15"/>
      <c r="V116" s="95"/>
      <c r="W116" s="95"/>
      <c r="X116" s="15"/>
      <c r="Y116" s="15"/>
      <c r="Z116" s="15" t="str">
        <f t="shared" si="3"/>
        <v/>
      </c>
      <c r="AA116" s="15"/>
      <c r="AB116" s="15" t="str">
        <f t="shared" si="4"/>
        <v/>
      </c>
      <c r="AC116" s="15"/>
      <c r="AD116" s="15"/>
      <c r="AE116" s="15"/>
      <c r="AF116" s="15"/>
      <c r="AG116" s="15"/>
      <c r="AH116" s="15"/>
      <c r="AI116" s="15"/>
      <c r="AJ116" s="15"/>
      <c r="AK116" s="95"/>
      <c r="AL116" s="95"/>
      <c r="AM116" s="93"/>
      <c r="AN116" s="3"/>
      <c r="AP116" s="28"/>
      <c r="AQ116" s="29"/>
    </row>
    <row r="117" spans="1:43" ht="26.85" customHeight="1" x14ac:dyDescent="0.45">
      <c r="A117" s="15"/>
      <c r="B117" s="15"/>
      <c r="C117" s="15"/>
      <c r="D117" s="95"/>
      <c r="E117" s="95"/>
      <c r="F117" s="15"/>
      <c r="G117" s="95"/>
      <c r="H117" s="15"/>
      <c r="I117" s="15" t="str">
        <f>IF($H117&lt;&gt;"",(VLOOKUP(H117,'Other Lists'!O:P,2,FALSE)),"")</f>
        <v/>
      </c>
      <c r="J117" s="15"/>
      <c r="K117" s="15"/>
      <c r="L117" s="15"/>
      <c r="M117" s="15"/>
      <c r="N117" s="40"/>
      <c r="O117" s="15"/>
      <c r="P117" s="26"/>
      <c r="Q117" s="15"/>
      <c r="R117" s="15"/>
      <c r="S117" s="15"/>
      <c r="T117" s="15"/>
      <c r="U117" s="15"/>
      <c r="V117" s="95"/>
      <c r="W117" s="95"/>
      <c r="X117" s="15"/>
      <c r="Y117" s="15"/>
      <c r="Z117" s="15" t="str">
        <f t="shared" ref="Z117:Z180" si="5">(SUBSTITUTE(SUBSTITUTE(SUBSTITUTE(SUBSTITUTE(SUBSTITUTE(SUBSTITUTE($Y117,",","_")," ","_"),"/","_"),"(","_"),")",""),"-","_"))</f>
        <v/>
      </c>
      <c r="AA117" s="15"/>
      <c r="AB117" s="15" t="str">
        <f t="shared" ref="AB117:AB180" si="6">(SUBSTITUTE(SUBSTITUTE(SUBSTITUTE(SUBSTITUTE(SUBSTITUTE(SUBSTITUTE($AA117,",","_")," ","_"),"/","_"),"(","_"),")",""),"_","_"))</f>
        <v/>
      </c>
      <c r="AC117" s="15"/>
      <c r="AD117" s="15"/>
      <c r="AE117" s="15"/>
      <c r="AF117" s="15"/>
      <c r="AG117" s="15"/>
      <c r="AH117" s="15"/>
      <c r="AI117" s="15"/>
      <c r="AJ117" s="15"/>
      <c r="AK117" s="95"/>
      <c r="AL117" s="95"/>
      <c r="AM117" s="93"/>
      <c r="AN117" s="3"/>
      <c r="AP117" s="28"/>
      <c r="AQ117" s="29"/>
    </row>
    <row r="118" spans="1:43" ht="26.85" customHeight="1" x14ac:dyDescent="0.45">
      <c r="A118" s="15"/>
      <c r="B118" s="15"/>
      <c r="C118" s="15"/>
      <c r="D118" s="95"/>
      <c r="E118" s="95"/>
      <c r="F118" s="15"/>
      <c r="G118" s="95"/>
      <c r="H118" s="15"/>
      <c r="I118" s="15" t="str">
        <f>IF($H118&lt;&gt;"",(VLOOKUP(H118,'Other Lists'!O:P,2,FALSE)),"")</f>
        <v/>
      </c>
      <c r="J118" s="15"/>
      <c r="K118" s="15"/>
      <c r="L118" s="15"/>
      <c r="M118" s="15"/>
      <c r="N118" s="40"/>
      <c r="O118" s="15"/>
      <c r="P118" s="26"/>
      <c r="Q118" s="15"/>
      <c r="R118" s="15"/>
      <c r="S118" s="15"/>
      <c r="T118" s="15"/>
      <c r="U118" s="15"/>
      <c r="V118" s="95"/>
      <c r="W118" s="95"/>
      <c r="X118" s="15"/>
      <c r="Y118" s="15"/>
      <c r="Z118" s="15" t="str">
        <f t="shared" si="5"/>
        <v/>
      </c>
      <c r="AA118" s="15"/>
      <c r="AB118" s="15" t="str">
        <f t="shared" si="6"/>
        <v/>
      </c>
      <c r="AC118" s="15"/>
      <c r="AD118" s="15"/>
      <c r="AE118" s="15"/>
      <c r="AF118" s="15"/>
      <c r="AG118" s="15"/>
      <c r="AH118" s="15"/>
      <c r="AI118" s="15"/>
      <c r="AJ118" s="15"/>
      <c r="AK118" s="95"/>
      <c r="AL118" s="95"/>
      <c r="AM118" s="93"/>
      <c r="AN118" s="3"/>
      <c r="AP118" s="28"/>
      <c r="AQ118" s="29"/>
    </row>
    <row r="119" spans="1:43" ht="26.85" customHeight="1" x14ac:dyDescent="0.45">
      <c r="A119" s="15"/>
      <c r="B119" s="15"/>
      <c r="C119" s="15"/>
      <c r="D119" s="95"/>
      <c r="E119" s="95"/>
      <c r="F119" s="15"/>
      <c r="G119" s="95"/>
      <c r="H119" s="15"/>
      <c r="I119" s="15" t="str">
        <f>IF($H119&lt;&gt;"",(VLOOKUP(H119,'Other Lists'!O:P,2,FALSE)),"")</f>
        <v/>
      </c>
      <c r="J119" s="15"/>
      <c r="K119" s="15"/>
      <c r="L119" s="15"/>
      <c r="M119" s="15"/>
      <c r="N119" s="40"/>
      <c r="O119" s="15"/>
      <c r="P119" s="26"/>
      <c r="Q119" s="15"/>
      <c r="R119" s="15"/>
      <c r="S119" s="15"/>
      <c r="T119" s="15"/>
      <c r="U119" s="15"/>
      <c r="V119" s="95"/>
      <c r="W119" s="95"/>
      <c r="X119" s="15"/>
      <c r="Y119" s="15"/>
      <c r="Z119" s="15" t="str">
        <f t="shared" si="5"/>
        <v/>
      </c>
      <c r="AA119" s="15"/>
      <c r="AB119" s="15" t="str">
        <f t="shared" si="6"/>
        <v/>
      </c>
      <c r="AC119" s="15"/>
      <c r="AD119" s="15"/>
      <c r="AE119" s="15"/>
      <c r="AF119" s="15"/>
      <c r="AG119" s="15"/>
      <c r="AH119" s="15"/>
      <c r="AI119" s="15"/>
      <c r="AJ119" s="15"/>
      <c r="AK119" s="95"/>
      <c r="AL119" s="95"/>
      <c r="AM119" s="93"/>
      <c r="AN119" s="3"/>
      <c r="AP119" s="28"/>
      <c r="AQ119" s="29"/>
    </row>
    <row r="120" spans="1:43" ht="26.85" customHeight="1" x14ac:dyDescent="0.45">
      <c r="A120" s="15"/>
      <c r="B120" s="15"/>
      <c r="C120" s="15"/>
      <c r="D120" s="95"/>
      <c r="E120" s="95"/>
      <c r="F120" s="15"/>
      <c r="G120" s="95"/>
      <c r="H120" s="15"/>
      <c r="I120" s="15" t="str">
        <f>IF($H120&lt;&gt;"",(VLOOKUP(H120,'Other Lists'!O:P,2,FALSE)),"")</f>
        <v/>
      </c>
      <c r="J120" s="15"/>
      <c r="K120" s="15"/>
      <c r="L120" s="15"/>
      <c r="M120" s="15"/>
      <c r="N120" s="40"/>
      <c r="O120" s="15"/>
      <c r="P120" s="26"/>
      <c r="Q120" s="15"/>
      <c r="R120" s="15"/>
      <c r="S120" s="15"/>
      <c r="T120" s="15"/>
      <c r="U120" s="15"/>
      <c r="V120" s="95"/>
      <c r="W120" s="95"/>
      <c r="X120" s="15"/>
      <c r="Y120" s="15"/>
      <c r="Z120" s="15" t="str">
        <f t="shared" si="5"/>
        <v/>
      </c>
      <c r="AA120" s="15"/>
      <c r="AB120" s="15" t="str">
        <f t="shared" si="6"/>
        <v/>
      </c>
      <c r="AC120" s="15"/>
      <c r="AD120" s="15"/>
      <c r="AE120" s="15"/>
      <c r="AF120" s="15"/>
      <c r="AG120" s="15"/>
      <c r="AH120" s="15"/>
      <c r="AI120" s="15"/>
      <c r="AJ120" s="15"/>
      <c r="AK120" s="95"/>
      <c r="AL120" s="95"/>
      <c r="AM120" s="93"/>
      <c r="AN120" s="3"/>
      <c r="AP120" s="28"/>
      <c r="AQ120" s="29"/>
    </row>
    <row r="121" spans="1:43" ht="26.85" customHeight="1" x14ac:dyDescent="0.45">
      <c r="A121" s="15"/>
      <c r="B121" s="15"/>
      <c r="C121" s="15"/>
      <c r="D121" s="95"/>
      <c r="E121" s="95"/>
      <c r="F121" s="15"/>
      <c r="G121" s="95"/>
      <c r="H121" s="15"/>
      <c r="I121" s="15" t="str">
        <f>IF($H121&lt;&gt;"",(VLOOKUP(H121,'Other Lists'!O:P,2,FALSE)),"")</f>
        <v/>
      </c>
      <c r="J121" s="15"/>
      <c r="K121" s="15"/>
      <c r="L121" s="15"/>
      <c r="M121" s="15"/>
      <c r="N121" s="40"/>
      <c r="O121" s="15"/>
      <c r="P121" s="26"/>
      <c r="Q121" s="15"/>
      <c r="R121" s="15"/>
      <c r="S121" s="15"/>
      <c r="T121" s="15"/>
      <c r="U121" s="15"/>
      <c r="V121" s="95"/>
      <c r="W121" s="95"/>
      <c r="X121" s="15"/>
      <c r="Y121" s="15"/>
      <c r="Z121" s="15" t="str">
        <f t="shared" si="5"/>
        <v/>
      </c>
      <c r="AA121" s="15"/>
      <c r="AB121" s="15" t="str">
        <f t="shared" si="6"/>
        <v/>
      </c>
      <c r="AC121" s="15"/>
      <c r="AD121" s="15"/>
      <c r="AE121" s="15"/>
      <c r="AF121" s="15"/>
      <c r="AG121" s="15"/>
      <c r="AH121" s="15"/>
      <c r="AI121" s="15"/>
      <c r="AJ121" s="15"/>
      <c r="AK121" s="95"/>
      <c r="AL121" s="95"/>
      <c r="AM121" s="93"/>
      <c r="AN121" s="3"/>
      <c r="AP121" s="28"/>
      <c r="AQ121" s="29"/>
    </row>
    <row r="122" spans="1:43" ht="26.85" customHeight="1" x14ac:dyDescent="0.45">
      <c r="A122" s="15"/>
      <c r="B122" s="15"/>
      <c r="C122" s="15"/>
      <c r="D122" s="95"/>
      <c r="E122" s="95"/>
      <c r="F122" s="15"/>
      <c r="G122" s="95"/>
      <c r="H122" s="15"/>
      <c r="I122" s="15" t="str">
        <f>IF($H122&lt;&gt;"",(VLOOKUP(H122,'Other Lists'!O:P,2,FALSE)),"")</f>
        <v/>
      </c>
      <c r="J122" s="15"/>
      <c r="K122" s="15"/>
      <c r="L122" s="15"/>
      <c r="M122" s="15"/>
      <c r="N122" s="40"/>
      <c r="O122" s="15"/>
      <c r="P122" s="26"/>
      <c r="Q122" s="15"/>
      <c r="R122" s="15"/>
      <c r="S122" s="15"/>
      <c r="T122" s="15"/>
      <c r="U122" s="15"/>
      <c r="V122" s="95"/>
      <c r="W122" s="95"/>
      <c r="X122" s="15"/>
      <c r="Y122" s="15"/>
      <c r="Z122" s="15" t="str">
        <f t="shared" si="5"/>
        <v/>
      </c>
      <c r="AA122" s="15"/>
      <c r="AB122" s="15" t="str">
        <f t="shared" si="6"/>
        <v/>
      </c>
      <c r="AC122" s="15"/>
      <c r="AD122" s="15"/>
      <c r="AE122" s="15"/>
      <c r="AF122" s="15"/>
      <c r="AG122" s="15"/>
      <c r="AH122" s="15"/>
      <c r="AI122" s="15"/>
      <c r="AJ122" s="15"/>
      <c r="AK122" s="95"/>
      <c r="AL122" s="95"/>
      <c r="AM122" s="93"/>
      <c r="AN122" s="3"/>
      <c r="AP122" s="28"/>
      <c r="AQ122" s="29"/>
    </row>
    <row r="123" spans="1:43" ht="26.85" customHeight="1" x14ac:dyDescent="0.45">
      <c r="A123" s="15"/>
      <c r="B123" s="15"/>
      <c r="C123" s="15"/>
      <c r="D123" s="95"/>
      <c r="E123" s="95"/>
      <c r="F123" s="15"/>
      <c r="G123" s="95"/>
      <c r="H123" s="15"/>
      <c r="I123" s="15" t="str">
        <f>IF($H123&lt;&gt;"",(VLOOKUP(H123,'Other Lists'!O:P,2,FALSE)),"")</f>
        <v/>
      </c>
      <c r="J123" s="15"/>
      <c r="K123" s="15"/>
      <c r="L123" s="15"/>
      <c r="M123" s="15"/>
      <c r="N123" s="40"/>
      <c r="O123" s="15"/>
      <c r="P123" s="26"/>
      <c r="Q123" s="15"/>
      <c r="R123" s="15"/>
      <c r="S123" s="15"/>
      <c r="T123" s="15"/>
      <c r="U123" s="15"/>
      <c r="V123" s="95"/>
      <c r="W123" s="95"/>
      <c r="X123" s="15"/>
      <c r="Y123" s="15"/>
      <c r="Z123" s="15" t="str">
        <f t="shared" si="5"/>
        <v/>
      </c>
      <c r="AA123" s="15"/>
      <c r="AB123" s="15" t="str">
        <f t="shared" si="6"/>
        <v/>
      </c>
      <c r="AC123" s="15"/>
      <c r="AD123" s="15"/>
      <c r="AE123" s="15"/>
      <c r="AF123" s="15"/>
      <c r="AG123" s="15"/>
      <c r="AH123" s="15"/>
      <c r="AI123" s="15"/>
      <c r="AJ123" s="15"/>
      <c r="AK123" s="95"/>
      <c r="AL123" s="95"/>
      <c r="AM123" s="93"/>
      <c r="AN123" s="3"/>
      <c r="AP123" s="28"/>
      <c r="AQ123" s="29"/>
    </row>
    <row r="124" spans="1:43" ht="26.85" customHeight="1" x14ac:dyDescent="0.45">
      <c r="A124" s="15"/>
      <c r="B124" s="15"/>
      <c r="C124" s="15"/>
      <c r="D124" s="95"/>
      <c r="E124" s="95"/>
      <c r="F124" s="15"/>
      <c r="G124" s="95"/>
      <c r="H124" s="15"/>
      <c r="I124" s="15" t="str">
        <f>IF($H124&lt;&gt;"",(VLOOKUP(H124,'Other Lists'!O:P,2,FALSE)),"")</f>
        <v/>
      </c>
      <c r="J124" s="15"/>
      <c r="K124" s="15"/>
      <c r="L124" s="15"/>
      <c r="M124" s="15"/>
      <c r="N124" s="40"/>
      <c r="O124" s="15"/>
      <c r="P124" s="26"/>
      <c r="Q124" s="15"/>
      <c r="R124" s="15"/>
      <c r="S124" s="15"/>
      <c r="T124" s="15"/>
      <c r="U124" s="15"/>
      <c r="V124" s="95"/>
      <c r="W124" s="95"/>
      <c r="X124" s="15"/>
      <c r="Y124" s="15"/>
      <c r="Z124" s="15" t="str">
        <f t="shared" si="5"/>
        <v/>
      </c>
      <c r="AA124" s="15"/>
      <c r="AB124" s="15" t="str">
        <f t="shared" si="6"/>
        <v/>
      </c>
      <c r="AC124" s="15"/>
      <c r="AD124" s="15"/>
      <c r="AE124" s="15"/>
      <c r="AF124" s="15"/>
      <c r="AG124" s="15"/>
      <c r="AH124" s="15"/>
      <c r="AI124" s="15"/>
      <c r="AJ124" s="15"/>
      <c r="AK124" s="95"/>
      <c r="AL124" s="95"/>
      <c r="AM124" s="93"/>
      <c r="AN124" s="3"/>
      <c r="AP124" s="28"/>
      <c r="AQ124" s="29"/>
    </row>
    <row r="125" spans="1:43" ht="26.85" customHeight="1" x14ac:dyDescent="0.45">
      <c r="A125" s="15"/>
      <c r="B125" s="15"/>
      <c r="C125" s="15"/>
      <c r="D125" s="95"/>
      <c r="E125" s="95"/>
      <c r="F125" s="15"/>
      <c r="G125" s="95"/>
      <c r="H125" s="15"/>
      <c r="I125" s="15" t="str">
        <f>IF($H125&lt;&gt;"",(VLOOKUP(H125,'Other Lists'!O:P,2,FALSE)),"")</f>
        <v/>
      </c>
      <c r="J125" s="15"/>
      <c r="K125" s="15"/>
      <c r="L125" s="15"/>
      <c r="M125" s="15"/>
      <c r="N125" s="40"/>
      <c r="O125" s="15"/>
      <c r="P125" s="26"/>
      <c r="Q125" s="15"/>
      <c r="R125" s="15"/>
      <c r="S125" s="15"/>
      <c r="T125" s="15"/>
      <c r="U125" s="15"/>
      <c r="V125" s="95"/>
      <c r="W125" s="95"/>
      <c r="X125" s="15"/>
      <c r="Y125" s="15"/>
      <c r="Z125" s="15" t="str">
        <f t="shared" si="5"/>
        <v/>
      </c>
      <c r="AA125" s="15"/>
      <c r="AB125" s="15" t="str">
        <f t="shared" si="6"/>
        <v/>
      </c>
      <c r="AC125" s="15"/>
      <c r="AD125" s="15"/>
      <c r="AE125" s="15"/>
      <c r="AF125" s="15"/>
      <c r="AG125" s="15"/>
      <c r="AH125" s="15"/>
      <c r="AI125" s="15"/>
      <c r="AJ125" s="15"/>
      <c r="AK125" s="95"/>
      <c r="AL125" s="95"/>
      <c r="AM125" s="93"/>
      <c r="AN125" s="3"/>
      <c r="AP125" s="28"/>
      <c r="AQ125" s="29"/>
    </row>
    <row r="126" spans="1:43" ht="26.85" customHeight="1" x14ac:dyDescent="0.45">
      <c r="A126" s="15"/>
      <c r="B126" s="15"/>
      <c r="C126" s="15"/>
      <c r="D126" s="95"/>
      <c r="E126" s="95"/>
      <c r="F126" s="15"/>
      <c r="G126" s="95"/>
      <c r="H126" s="15"/>
      <c r="I126" s="15" t="str">
        <f>IF($H126&lt;&gt;"",(VLOOKUP(H126,'Other Lists'!O:P,2,FALSE)),"")</f>
        <v/>
      </c>
      <c r="J126" s="15"/>
      <c r="K126" s="15"/>
      <c r="L126" s="15"/>
      <c r="M126" s="15"/>
      <c r="N126" s="40"/>
      <c r="O126" s="15"/>
      <c r="P126" s="26"/>
      <c r="Q126" s="15"/>
      <c r="R126" s="15"/>
      <c r="S126" s="15"/>
      <c r="T126" s="15"/>
      <c r="U126" s="15"/>
      <c r="V126" s="95"/>
      <c r="W126" s="95"/>
      <c r="X126" s="15"/>
      <c r="Y126" s="15"/>
      <c r="Z126" s="15" t="str">
        <f t="shared" si="5"/>
        <v/>
      </c>
      <c r="AA126" s="15"/>
      <c r="AB126" s="15" t="str">
        <f t="shared" si="6"/>
        <v/>
      </c>
      <c r="AC126" s="15"/>
      <c r="AD126" s="15"/>
      <c r="AE126" s="15"/>
      <c r="AF126" s="15"/>
      <c r="AG126" s="15"/>
      <c r="AH126" s="15"/>
      <c r="AI126" s="15"/>
      <c r="AJ126" s="15"/>
      <c r="AK126" s="95"/>
      <c r="AL126" s="95"/>
      <c r="AM126" s="93"/>
      <c r="AN126" s="3"/>
      <c r="AP126" s="28"/>
      <c r="AQ126" s="29"/>
    </row>
    <row r="127" spans="1:43" ht="26.85" customHeight="1" x14ac:dyDescent="0.45">
      <c r="A127" s="15"/>
      <c r="B127" s="15"/>
      <c r="C127" s="15"/>
      <c r="D127" s="95"/>
      <c r="E127" s="95"/>
      <c r="F127" s="15"/>
      <c r="G127" s="95"/>
      <c r="H127" s="15"/>
      <c r="I127" s="15" t="str">
        <f>IF($H127&lt;&gt;"",(VLOOKUP(H127,'Other Lists'!O:P,2,FALSE)),"")</f>
        <v/>
      </c>
      <c r="J127" s="15"/>
      <c r="K127" s="15"/>
      <c r="L127" s="15"/>
      <c r="M127" s="15"/>
      <c r="N127" s="40"/>
      <c r="O127" s="15"/>
      <c r="P127" s="26"/>
      <c r="Q127" s="15"/>
      <c r="R127" s="15"/>
      <c r="S127" s="15"/>
      <c r="T127" s="15"/>
      <c r="U127" s="15"/>
      <c r="V127" s="95"/>
      <c r="W127" s="95"/>
      <c r="X127" s="15"/>
      <c r="Y127" s="15"/>
      <c r="Z127" s="15" t="str">
        <f t="shared" si="5"/>
        <v/>
      </c>
      <c r="AA127" s="15"/>
      <c r="AB127" s="15" t="str">
        <f t="shared" si="6"/>
        <v/>
      </c>
      <c r="AC127" s="15"/>
      <c r="AD127" s="15"/>
      <c r="AE127" s="15"/>
      <c r="AF127" s="15"/>
      <c r="AG127" s="15"/>
      <c r="AH127" s="15"/>
      <c r="AI127" s="15"/>
      <c r="AJ127" s="15"/>
      <c r="AK127" s="95"/>
      <c r="AL127" s="95"/>
      <c r="AM127" s="93"/>
      <c r="AN127" s="3"/>
      <c r="AP127" s="28"/>
      <c r="AQ127" s="29"/>
    </row>
    <row r="128" spans="1:43" ht="26.85" customHeight="1" x14ac:dyDescent="0.45">
      <c r="A128" s="15"/>
      <c r="B128" s="15"/>
      <c r="C128" s="15"/>
      <c r="D128" s="95"/>
      <c r="E128" s="95"/>
      <c r="F128" s="15"/>
      <c r="G128" s="95"/>
      <c r="H128" s="15"/>
      <c r="I128" s="15" t="str">
        <f>IF($H128&lt;&gt;"",(VLOOKUP(H128,'Other Lists'!O:P,2,FALSE)),"")</f>
        <v/>
      </c>
      <c r="J128" s="15"/>
      <c r="K128" s="15"/>
      <c r="L128" s="15"/>
      <c r="M128" s="15"/>
      <c r="N128" s="40"/>
      <c r="O128" s="15"/>
      <c r="P128" s="26"/>
      <c r="Q128" s="15"/>
      <c r="R128" s="15"/>
      <c r="S128" s="15"/>
      <c r="T128" s="15"/>
      <c r="U128" s="15"/>
      <c r="V128" s="95"/>
      <c r="W128" s="95"/>
      <c r="X128" s="15"/>
      <c r="Y128" s="15"/>
      <c r="Z128" s="15" t="str">
        <f t="shared" si="5"/>
        <v/>
      </c>
      <c r="AA128" s="15"/>
      <c r="AB128" s="15" t="str">
        <f t="shared" si="6"/>
        <v/>
      </c>
      <c r="AC128" s="15"/>
      <c r="AD128" s="15"/>
      <c r="AE128" s="15"/>
      <c r="AF128" s="15"/>
      <c r="AG128" s="15"/>
      <c r="AH128" s="15"/>
      <c r="AI128" s="15"/>
      <c r="AJ128" s="15"/>
      <c r="AK128" s="95"/>
      <c r="AL128" s="95"/>
      <c r="AM128" s="93"/>
      <c r="AN128" s="3"/>
      <c r="AP128" s="28"/>
      <c r="AQ128" s="29"/>
    </row>
    <row r="129" spans="1:43" ht="26.85" customHeight="1" x14ac:dyDescent="0.45">
      <c r="A129" s="15"/>
      <c r="B129" s="15"/>
      <c r="C129" s="15"/>
      <c r="D129" s="95"/>
      <c r="E129" s="95"/>
      <c r="F129" s="15"/>
      <c r="G129" s="95"/>
      <c r="H129" s="15"/>
      <c r="I129" s="15" t="str">
        <f>IF($H129&lt;&gt;"",(VLOOKUP(H129,'Other Lists'!O:P,2,FALSE)),"")</f>
        <v/>
      </c>
      <c r="J129" s="15"/>
      <c r="K129" s="15"/>
      <c r="L129" s="15"/>
      <c r="M129" s="15"/>
      <c r="N129" s="40"/>
      <c r="O129" s="15"/>
      <c r="P129" s="26"/>
      <c r="Q129" s="15"/>
      <c r="R129" s="15"/>
      <c r="S129" s="15"/>
      <c r="T129" s="15"/>
      <c r="U129" s="15"/>
      <c r="V129" s="95"/>
      <c r="W129" s="95"/>
      <c r="X129" s="15"/>
      <c r="Y129" s="15"/>
      <c r="Z129" s="15" t="str">
        <f t="shared" si="5"/>
        <v/>
      </c>
      <c r="AA129" s="15"/>
      <c r="AB129" s="15" t="str">
        <f t="shared" si="6"/>
        <v/>
      </c>
      <c r="AC129" s="15"/>
      <c r="AD129" s="15"/>
      <c r="AE129" s="15"/>
      <c r="AF129" s="15"/>
      <c r="AG129" s="15"/>
      <c r="AH129" s="15"/>
      <c r="AI129" s="15"/>
      <c r="AJ129" s="15"/>
      <c r="AK129" s="95"/>
      <c r="AL129" s="95"/>
      <c r="AM129" s="93"/>
      <c r="AN129" s="3"/>
      <c r="AP129" s="28"/>
      <c r="AQ129" s="29"/>
    </row>
    <row r="130" spans="1:43" ht="26.85" customHeight="1" x14ac:dyDescent="0.45">
      <c r="A130" s="15"/>
      <c r="B130" s="15"/>
      <c r="C130" s="15"/>
      <c r="D130" s="95"/>
      <c r="E130" s="95"/>
      <c r="F130" s="15"/>
      <c r="G130" s="95"/>
      <c r="H130" s="15"/>
      <c r="I130" s="15" t="str">
        <f>IF($H130&lt;&gt;"",(VLOOKUP(H130,'Other Lists'!O:P,2,FALSE)),"")</f>
        <v/>
      </c>
      <c r="J130" s="15"/>
      <c r="K130" s="15"/>
      <c r="L130" s="15"/>
      <c r="M130" s="15"/>
      <c r="N130" s="40"/>
      <c r="O130" s="15"/>
      <c r="P130" s="26"/>
      <c r="Q130" s="15"/>
      <c r="R130" s="15"/>
      <c r="S130" s="15"/>
      <c r="T130" s="15"/>
      <c r="U130" s="15"/>
      <c r="V130" s="95"/>
      <c r="W130" s="95"/>
      <c r="X130" s="15"/>
      <c r="Y130" s="15"/>
      <c r="Z130" s="15" t="str">
        <f t="shared" si="5"/>
        <v/>
      </c>
      <c r="AA130" s="15"/>
      <c r="AB130" s="15" t="str">
        <f t="shared" si="6"/>
        <v/>
      </c>
      <c r="AC130" s="15"/>
      <c r="AD130" s="15"/>
      <c r="AE130" s="15"/>
      <c r="AF130" s="15"/>
      <c r="AG130" s="15"/>
      <c r="AH130" s="15"/>
      <c r="AI130" s="15"/>
      <c r="AJ130" s="15"/>
      <c r="AK130" s="95"/>
      <c r="AL130" s="95"/>
      <c r="AM130" s="93"/>
      <c r="AN130" s="3"/>
      <c r="AP130" s="28"/>
      <c r="AQ130" s="29"/>
    </row>
    <row r="131" spans="1:43" ht="26.85" customHeight="1" x14ac:dyDescent="0.45">
      <c r="A131" s="15"/>
      <c r="B131" s="15"/>
      <c r="C131" s="15"/>
      <c r="D131" s="95"/>
      <c r="E131" s="95"/>
      <c r="F131" s="15"/>
      <c r="G131" s="95"/>
      <c r="H131" s="15"/>
      <c r="I131" s="15" t="str">
        <f>IF($H131&lt;&gt;"",(VLOOKUP(H131,'Other Lists'!O:P,2,FALSE)),"")</f>
        <v/>
      </c>
      <c r="J131" s="15"/>
      <c r="K131" s="15"/>
      <c r="L131" s="15"/>
      <c r="M131" s="15"/>
      <c r="N131" s="40"/>
      <c r="O131" s="15"/>
      <c r="P131" s="26"/>
      <c r="Q131" s="15"/>
      <c r="R131" s="15"/>
      <c r="S131" s="15"/>
      <c r="T131" s="15"/>
      <c r="U131" s="15"/>
      <c r="V131" s="95"/>
      <c r="W131" s="95"/>
      <c r="X131" s="15"/>
      <c r="Y131" s="15"/>
      <c r="Z131" s="15" t="str">
        <f t="shared" si="5"/>
        <v/>
      </c>
      <c r="AA131" s="15"/>
      <c r="AB131" s="15" t="str">
        <f t="shared" si="6"/>
        <v/>
      </c>
      <c r="AC131" s="15"/>
      <c r="AD131" s="15"/>
      <c r="AE131" s="15"/>
      <c r="AF131" s="15"/>
      <c r="AG131" s="15"/>
      <c r="AH131" s="15"/>
      <c r="AI131" s="15"/>
      <c r="AJ131" s="15"/>
      <c r="AK131" s="95"/>
      <c r="AL131" s="95"/>
      <c r="AM131" s="93"/>
      <c r="AN131" s="3"/>
      <c r="AP131" s="28"/>
      <c r="AQ131" s="29"/>
    </row>
    <row r="132" spans="1:43" ht="26.85" customHeight="1" x14ac:dyDescent="0.45">
      <c r="A132" s="15"/>
      <c r="B132" s="15"/>
      <c r="C132" s="15"/>
      <c r="D132" s="95"/>
      <c r="E132" s="95"/>
      <c r="F132" s="15"/>
      <c r="G132" s="95"/>
      <c r="H132" s="15"/>
      <c r="I132" s="15" t="str">
        <f>IF($H132&lt;&gt;"",(VLOOKUP(H132,'Other Lists'!O:P,2,FALSE)),"")</f>
        <v/>
      </c>
      <c r="J132" s="15"/>
      <c r="K132" s="15"/>
      <c r="L132" s="15"/>
      <c r="M132" s="15"/>
      <c r="N132" s="40"/>
      <c r="O132" s="15"/>
      <c r="P132" s="26"/>
      <c r="Q132" s="15"/>
      <c r="R132" s="15"/>
      <c r="S132" s="15"/>
      <c r="T132" s="15"/>
      <c r="U132" s="15"/>
      <c r="V132" s="95"/>
      <c r="W132" s="95"/>
      <c r="X132" s="15"/>
      <c r="Y132" s="15"/>
      <c r="Z132" s="15" t="str">
        <f t="shared" si="5"/>
        <v/>
      </c>
      <c r="AA132" s="15"/>
      <c r="AB132" s="15" t="str">
        <f t="shared" si="6"/>
        <v/>
      </c>
      <c r="AC132" s="15"/>
      <c r="AD132" s="15"/>
      <c r="AE132" s="15"/>
      <c r="AF132" s="15"/>
      <c r="AG132" s="15"/>
      <c r="AH132" s="15"/>
      <c r="AI132" s="15"/>
      <c r="AJ132" s="15"/>
      <c r="AK132" s="95"/>
      <c r="AL132" s="95"/>
      <c r="AM132" s="93"/>
      <c r="AN132" s="3"/>
      <c r="AP132" s="28"/>
      <c r="AQ132" s="29"/>
    </row>
    <row r="133" spans="1:43" ht="26.85" customHeight="1" x14ac:dyDescent="0.45">
      <c r="A133" s="15"/>
      <c r="B133" s="15"/>
      <c r="C133" s="15"/>
      <c r="D133" s="95"/>
      <c r="E133" s="95"/>
      <c r="F133" s="15"/>
      <c r="G133" s="95"/>
      <c r="H133" s="15"/>
      <c r="I133" s="15" t="str">
        <f>IF($H133&lt;&gt;"",(VLOOKUP(H133,'Other Lists'!O:P,2,FALSE)),"")</f>
        <v/>
      </c>
      <c r="J133" s="15"/>
      <c r="K133" s="15"/>
      <c r="L133" s="15"/>
      <c r="M133" s="15"/>
      <c r="N133" s="40"/>
      <c r="O133" s="15"/>
      <c r="P133" s="26"/>
      <c r="Q133" s="15"/>
      <c r="R133" s="15"/>
      <c r="S133" s="15"/>
      <c r="T133" s="15"/>
      <c r="U133" s="15"/>
      <c r="V133" s="95"/>
      <c r="W133" s="95"/>
      <c r="X133" s="15"/>
      <c r="Y133" s="15"/>
      <c r="Z133" s="15" t="str">
        <f t="shared" si="5"/>
        <v/>
      </c>
      <c r="AA133" s="15"/>
      <c r="AB133" s="15" t="str">
        <f t="shared" si="6"/>
        <v/>
      </c>
      <c r="AC133" s="15"/>
      <c r="AD133" s="15"/>
      <c r="AE133" s="15"/>
      <c r="AF133" s="15"/>
      <c r="AG133" s="15"/>
      <c r="AH133" s="15"/>
      <c r="AI133" s="15"/>
      <c r="AJ133" s="15"/>
      <c r="AK133" s="95"/>
      <c r="AL133" s="95"/>
      <c r="AM133" s="93"/>
      <c r="AN133" s="3"/>
      <c r="AP133" s="28"/>
      <c r="AQ133" s="29"/>
    </row>
    <row r="134" spans="1:43" ht="26.85" customHeight="1" x14ac:dyDescent="0.45">
      <c r="A134" s="15"/>
      <c r="B134" s="15"/>
      <c r="C134" s="15"/>
      <c r="D134" s="95"/>
      <c r="E134" s="95"/>
      <c r="F134" s="15"/>
      <c r="G134" s="95"/>
      <c r="H134" s="15"/>
      <c r="I134" s="15" t="str">
        <f>IF($H134&lt;&gt;"",(VLOOKUP(H134,'Other Lists'!O:P,2,FALSE)),"")</f>
        <v/>
      </c>
      <c r="J134" s="15"/>
      <c r="K134" s="15"/>
      <c r="L134" s="15"/>
      <c r="M134" s="15"/>
      <c r="N134" s="40"/>
      <c r="O134" s="15"/>
      <c r="P134" s="26"/>
      <c r="Q134" s="15"/>
      <c r="R134" s="15"/>
      <c r="S134" s="15"/>
      <c r="T134" s="15"/>
      <c r="U134" s="15"/>
      <c r="V134" s="95"/>
      <c r="W134" s="95"/>
      <c r="X134" s="15"/>
      <c r="Y134" s="15"/>
      <c r="Z134" s="15" t="str">
        <f t="shared" si="5"/>
        <v/>
      </c>
      <c r="AA134" s="15"/>
      <c r="AB134" s="15" t="str">
        <f t="shared" si="6"/>
        <v/>
      </c>
      <c r="AC134" s="15"/>
      <c r="AD134" s="15"/>
      <c r="AE134" s="15"/>
      <c r="AF134" s="15"/>
      <c r="AG134" s="15"/>
      <c r="AH134" s="15"/>
      <c r="AI134" s="15"/>
      <c r="AJ134" s="15"/>
      <c r="AK134" s="95"/>
      <c r="AL134" s="95"/>
      <c r="AM134" s="93"/>
      <c r="AN134" s="3"/>
      <c r="AP134" s="28"/>
      <c r="AQ134" s="29"/>
    </row>
    <row r="135" spans="1:43" ht="26.85" customHeight="1" x14ac:dyDescent="0.45">
      <c r="A135" s="15"/>
      <c r="B135" s="15"/>
      <c r="C135" s="15"/>
      <c r="D135" s="95"/>
      <c r="E135" s="95"/>
      <c r="F135" s="15"/>
      <c r="G135" s="95"/>
      <c r="H135" s="15"/>
      <c r="I135" s="15" t="str">
        <f>IF($H135&lt;&gt;"",(VLOOKUP(H135,'Other Lists'!O:P,2,FALSE)),"")</f>
        <v/>
      </c>
      <c r="J135" s="15"/>
      <c r="K135" s="15"/>
      <c r="L135" s="15"/>
      <c r="M135" s="15"/>
      <c r="N135" s="40"/>
      <c r="O135" s="15"/>
      <c r="P135" s="26"/>
      <c r="Q135" s="15"/>
      <c r="R135" s="15"/>
      <c r="S135" s="15"/>
      <c r="T135" s="15"/>
      <c r="U135" s="15"/>
      <c r="V135" s="95"/>
      <c r="W135" s="95"/>
      <c r="X135" s="15"/>
      <c r="Y135" s="15"/>
      <c r="Z135" s="15" t="str">
        <f t="shared" si="5"/>
        <v/>
      </c>
      <c r="AA135" s="15"/>
      <c r="AB135" s="15" t="str">
        <f t="shared" si="6"/>
        <v/>
      </c>
      <c r="AC135" s="15"/>
      <c r="AD135" s="15"/>
      <c r="AE135" s="15"/>
      <c r="AF135" s="15"/>
      <c r="AG135" s="15"/>
      <c r="AH135" s="15"/>
      <c r="AI135" s="15"/>
      <c r="AJ135" s="15"/>
      <c r="AK135" s="95"/>
      <c r="AL135" s="95"/>
      <c r="AM135" s="93"/>
      <c r="AN135" s="3"/>
      <c r="AP135" s="28"/>
      <c r="AQ135" s="29"/>
    </row>
    <row r="136" spans="1:43" ht="26.85" customHeight="1" x14ac:dyDescent="0.45">
      <c r="A136" s="15"/>
      <c r="B136" s="15"/>
      <c r="C136" s="15"/>
      <c r="D136" s="95"/>
      <c r="E136" s="95"/>
      <c r="F136" s="15"/>
      <c r="G136" s="95"/>
      <c r="H136" s="15"/>
      <c r="I136" s="15" t="str">
        <f>IF($H136&lt;&gt;"",(VLOOKUP(H136,'Other Lists'!O:P,2,FALSE)),"")</f>
        <v/>
      </c>
      <c r="J136" s="15"/>
      <c r="K136" s="15"/>
      <c r="L136" s="15"/>
      <c r="M136" s="15"/>
      <c r="N136" s="40"/>
      <c r="O136" s="15"/>
      <c r="P136" s="26"/>
      <c r="Q136" s="15"/>
      <c r="R136" s="15"/>
      <c r="S136" s="15"/>
      <c r="T136" s="15"/>
      <c r="U136" s="15"/>
      <c r="V136" s="95"/>
      <c r="W136" s="95"/>
      <c r="X136" s="15"/>
      <c r="Y136" s="15"/>
      <c r="Z136" s="15" t="str">
        <f t="shared" si="5"/>
        <v/>
      </c>
      <c r="AA136" s="15"/>
      <c r="AB136" s="15" t="str">
        <f t="shared" si="6"/>
        <v/>
      </c>
      <c r="AC136" s="15"/>
      <c r="AD136" s="15"/>
      <c r="AE136" s="15"/>
      <c r="AF136" s="15"/>
      <c r="AG136" s="15"/>
      <c r="AH136" s="15"/>
      <c r="AI136" s="15"/>
      <c r="AJ136" s="15"/>
      <c r="AK136" s="95"/>
      <c r="AL136" s="95"/>
      <c r="AM136" s="93"/>
      <c r="AN136" s="3"/>
      <c r="AP136" s="28"/>
      <c r="AQ136" s="29"/>
    </row>
    <row r="137" spans="1:43" ht="26.85" customHeight="1" x14ac:dyDescent="0.45">
      <c r="A137" s="15"/>
      <c r="B137" s="15"/>
      <c r="C137" s="15"/>
      <c r="D137" s="95"/>
      <c r="E137" s="95"/>
      <c r="F137" s="15"/>
      <c r="G137" s="95"/>
      <c r="H137" s="15"/>
      <c r="I137" s="15" t="str">
        <f>IF($H137&lt;&gt;"",(VLOOKUP(H137,'Other Lists'!O:P,2,FALSE)),"")</f>
        <v/>
      </c>
      <c r="J137" s="15"/>
      <c r="K137" s="15"/>
      <c r="L137" s="15"/>
      <c r="M137" s="15"/>
      <c r="N137" s="40"/>
      <c r="O137" s="15"/>
      <c r="P137" s="26"/>
      <c r="Q137" s="15"/>
      <c r="R137" s="15"/>
      <c r="S137" s="15"/>
      <c r="T137" s="15"/>
      <c r="U137" s="15"/>
      <c r="V137" s="95"/>
      <c r="W137" s="95"/>
      <c r="X137" s="15"/>
      <c r="Y137" s="15"/>
      <c r="Z137" s="15" t="str">
        <f t="shared" si="5"/>
        <v/>
      </c>
      <c r="AA137" s="15"/>
      <c r="AB137" s="15" t="str">
        <f t="shared" si="6"/>
        <v/>
      </c>
      <c r="AC137" s="15"/>
      <c r="AD137" s="15"/>
      <c r="AE137" s="15"/>
      <c r="AF137" s="15"/>
      <c r="AG137" s="15"/>
      <c r="AH137" s="15"/>
      <c r="AI137" s="15"/>
      <c r="AJ137" s="15"/>
      <c r="AK137" s="95"/>
      <c r="AL137" s="95"/>
      <c r="AM137" s="93"/>
      <c r="AN137" s="3"/>
      <c r="AP137" s="28"/>
      <c r="AQ137" s="29"/>
    </row>
    <row r="138" spans="1:43" ht="26.85" customHeight="1" x14ac:dyDescent="0.45">
      <c r="A138" s="15"/>
      <c r="B138" s="15"/>
      <c r="C138" s="15"/>
      <c r="D138" s="95"/>
      <c r="E138" s="95"/>
      <c r="F138" s="15"/>
      <c r="G138" s="95"/>
      <c r="H138" s="15"/>
      <c r="I138" s="15" t="str">
        <f>IF($H138&lt;&gt;"",(VLOOKUP(H138,'Other Lists'!O:P,2,FALSE)),"")</f>
        <v/>
      </c>
      <c r="J138" s="15"/>
      <c r="K138" s="15"/>
      <c r="L138" s="15"/>
      <c r="M138" s="15"/>
      <c r="N138" s="40"/>
      <c r="O138" s="15"/>
      <c r="P138" s="26"/>
      <c r="Q138" s="15"/>
      <c r="R138" s="15"/>
      <c r="S138" s="15"/>
      <c r="T138" s="15"/>
      <c r="U138" s="15"/>
      <c r="V138" s="95"/>
      <c r="W138" s="95"/>
      <c r="X138" s="15"/>
      <c r="Y138" s="15"/>
      <c r="Z138" s="15" t="str">
        <f t="shared" si="5"/>
        <v/>
      </c>
      <c r="AA138" s="15"/>
      <c r="AB138" s="15" t="str">
        <f t="shared" si="6"/>
        <v/>
      </c>
      <c r="AC138" s="15"/>
      <c r="AD138" s="15"/>
      <c r="AE138" s="15"/>
      <c r="AF138" s="15"/>
      <c r="AG138" s="15"/>
      <c r="AH138" s="15"/>
      <c r="AI138" s="15"/>
      <c r="AJ138" s="15"/>
      <c r="AK138" s="95"/>
      <c r="AL138" s="95"/>
      <c r="AM138" s="93"/>
      <c r="AN138" s="3"/>
      <c r="AP138" s="28"/>
      <c r="AQ138" s="29"/>
    </row>
    <row r="139" spans="1:43" ht="26.85" customHeight="1" x14ac:dyDescent="0.45">
      <c r="A139" s="15"/>
      <c r="B139" s="15"/>
      <c r="C139" s="15"/>
      <c r="D139" s="95"/>
      <c r="E139" s="95"/>
      <c r="F139" s="15"/>
      <c r="G139" s="95"/>
      <c r="H139" s="15"/>
      <c r="I139" s="15" t="str">
        <f>IF($H139&lt;&gt;"",(VLOOKUP(H139,'Other Lists'!O:P,2,FALSE)),"")</f>
        <v/>
      </c>
      <c r="J139" s="15"/>
      <c r="K139" s="15"/>
      <c r="L139" s="15"/>
      <c r="M139" s="15"/>
      <c r="N139" s="40"/>
      <c r="O139" s="15"/>
      <c r="P139" s="26"/>
      <c r="Q139" s="15"/>
      <c r="R139" s="15"/>
      <c r="S139" s="15"/>
      <c r="T139" s="15"/>
      <c r="U139" s="15"/>
      <c r="V139" s="95"/>
      <c r="W139" s="95"/>
      <c r="X139" s="15"/>
      <c r="Y139" s="15"/>
      <c r="Z139" s="15" t="str">
        <f t="shared" si="5"/>
        <v/>
      </c>
      <c r="AA139" s="15"/>
      <c r="AB139" s="15" t="str">
        <f t="shared" si="6"/>
        <v/>
      </c>
      <c r="AC139" s="15"/>
      <c r="AD139" s="15"/>
      <c r="AE139" s="15"/>
      <c r="AF139" s="15"/>
      <c r="AG139" s="15"/>
      <c r="AH139" s="15"/>
      <c r="AI139" s="15"/>
      <c r="AJ139" s="15"/>
      <c r="AK139" s="95"/>
      <c r="AL139" s="95"/>
      <c r="AM139" s="93"/>
      <c r="AN139" s="3"/>
      <c r="AP139" s="28"/>
      <c r="AQ139" s="29"/>
    </row>
    <row r="140" spans="1:43" ht="26.85" customHeight="1" x14ac:dyDescent="0.45">
      <c r="A140" s="15"/>
      <c r="B140" s="15"/>
      <c r="C140" s="15"/>
      <c r="D140" s="95"/>
      <c r="E140" s="95"/>
      <c r="F140" s="15"/>
      <c r="G140" s="95"/>
      <c r="H140" s="15"/>
      <c r="I140" s="15" t="str">
        <f>IF($H140&lt;&gt;"",(VLOOKUP(H140,'Other Lists'!O:P,2,FALSE)),"")</f>
        <v/>
      </c>
      <c r="J140" s="15"/>
      <c r="K140" s="15"/>
      <c r="L140" s="15"/>
      <c r="M140" s="15"/>
      <c r="N140" s="40"/>
      <c r="O140" s="15"/>
      <c r="P140" s="26"/>
      <c r="Q140" s="15"/>
      <c r="R140" s="15"/>
      <c r="S140" s="15"/>
      <c r="T140" s="15"/>
      <c r="U140" s="15"/>
      <c r="V140" s="95"/>
      <c r="W140" s="95"/>
      <c r="X140" s="15"/>
      <c r="Y140" s="15"/>
      <c r="Z140" s="15" t="str">
        <f t="shared" si="5"/>
        <v/>
      </c>
      <c r="AA140" s="15"/>
      <c r="AB140" s="15" t="str">
        <f t="shared" si="6"/>
        <v/>
      </c>
      <c r="AC140" s="15"/>
      <c r="AD140" s="15"/>
      <c r="AE140" s="15"/>
      <c r="AF140" s="15"/>
      <c r="AG140" s="15"/>
      <c r="AH140" s="15"/>
      <c r="AI140" s="15"/>
      <c r="AJ140" s="15"/>
      <c r="AK140" s="95"/>
      <c r="AL140" s="95"/>
      <c r="AM140" s="93"/>
      <c r="AN140" s="3"/>
      <c r="AP140" s="28"/>
      <c r="AQ140" s="29"/>
    </row>
    <row r="141" spans="1:43" ht="26.85" customHeight="1" x14ac:dyDescent="0.45">
      <c r="A141" s="15"/>
      <c r="B141" s="15"/>
      <c r="C141" s="15"/>
      <c r="D141" s="95"/>
      <c r="E141" s="95"/>
      <c r="F141" s="15"/>
      <c r="G141" s="95"/>
      <c r="H141" s="15"/>
      <c r="I141" s="15" t="str">
        <f>IF($H141&lt;&gt;"",(VLOOKUP(H141,'Other Lists'!O:P,2,FALSE)),"")</f>
        <v/>
      </c>
      <c r="J141" s="15"/>
      <c r="K141" s="15"/>
      <c r="L141" s="15"/>
      <c r="M141" s="15"/>
      <c r="N141" s="40"/>
      <c r="O141" s="15"/>
      <c r="P141" s="26"/>
      <c r="Q141" s="15"/>
      <c r="R141" s="15"/>
      <c r="S141" s="15"/>
      <c r="T141" s="15"/>
      <c r="U141" s="15"/>
      <c r="V141" s="95"/>
      <c r="W141" s="95"/>
      <c r="X141" s="15"/>
      <c r="Y141" s="15"/>
      <c r="Z141" s="15" t="str">
        <f t="shared" si="5"/>
        <v/>
      </c>
      <c r="AA141" s="15"/>
      <c r="AB141" s="15" t="str">
        <f t="shared" si="6"/>
        <v/>
      </c>
      <c r="AC141" s="15"/>
      <c r="AD141" s="15"/>
      <c r="AE141" s="15"/>
      <c r="AF141" s="15"/>
      <c r="AG141" s="15"/>
      <c r="AH141" s="15"/>
      <c r="AI141" s="15"/>
      <c r="AJ141" s="15"/>
      <c r="AK141" s="95"/>
      <c r="AL141" s="95"/>
      <c r="AM141" s="93"/>
      <c r="AN141" s="3"/>
      <c r="AP141" s="28"/>
      <c r="AQ141" s="29"/>
    </row>
    <row r="142" spans="1:43" ht="26.85" customHeight="1" x14ac:dyDescent="0.45">
      <c r="A142" s="15"/>
      <c r="B142" s="15"/>
      <c r="C142" s="15"/>
      <c r="D142" s="95"/>
      <c r="E142" s="95"/>
      <c r="F142" s="15"/>
      <c r="G142" s="95"/>
      <c r="H142" s="15"/>
      <c r="I142" s="15" t="str">
        <f>IF($H142&lt;&gt;"",(VLOOKUP(H142,'Other Lists'!O:P,2,FALSE)),"")</f>
        <v/>
      </c>
      <c r="J142" s="15"/>
      <c r="K142" s="15"/>
      <c r="L142" s="15"/>
      <c r="M142" s="15"/>
      <c r="N142" s="40"/>
      <c r="O142" s="15"/>
      <c r="P142" s="26"/>
      <c r="Q142" s="15"/>
      <c r="R142" s="15"/>
      <c r="S142" s="15"/>
      <c r="T142" s="15"/>
      <c r="U142" s="15"/>
      <c r="V142" s="95"/>
      <c r="W142" s="95"/>
      <c r="X142" s="15"/>
      <c r="Y142" s="15"/>
      <c r="Z142" s="15" t="str">
        <f t="shared" si="5"/>
        <v/>
      </c>
      <c r="AA142" s="15"/>
      <c r="AB142" s="15" t="str">
        <f t="shared" si="6"/>
        <v/>
      </c>
      <c r="AC142" s="15"/>
      <c r="AD142" s="15"/>
      <c r="AE142" s="15"/>
      <c r="AF142" s="15"/>
      <c r="AG142" s="15"/>
      <c r="AH142" s="15"/>
      <c r="AI142" s="15"/>
      <c r="AJ142" s="15"/>
      <c r="AK142" s="95"/>
      <c r="AL142" s="95"/>
      <c r="AM142" s="93"/>
      <c r="AN142" s="3"/>
      <c r="AP142" s="28"/>
      <c r="AQ142" s="29"/>
    </row>
    <row r="143" spans="1:43" ht="26.85" customHeight="1" x14ac:dyDescent="0.45">
      <c r="A143" s="15"/>
      <c r="B143" s="15"/>
      <c r="C143" s="15"/>
      <c r="D143" s="95"/>
      <c r="E143" s="95"/>
      <c r="F143" s="15"/>
      <c r="G143" s="95"/>
      <c r="H143" s="15"/>
      <c r="I143" s="15" t="str">
        <f>IF($H143&lt;&gt;"",(VLOOKUP(H143,'Other Lists'!O:P,2,FALSE)),"")</f>
        <v/>
      </c>
      <c r="J143" s="15"/>
      <c r="K143" s="15"/>
      <c r="L143" s="15"/>
      <c r="M143" s="15"/>
      <c r="N143" s="40"/>
      <c r="O143" s="15"/>
      <c r="P143" s="26"/>
      <c r="Q143" s="15"/>
      <c r="R143" s="15"/>
      <c r="S143" s="15"/>
      <c r="T143" s="15"/>
      <c r="U143" s="15"/>
      <c r="V143" s="95"/>
      <c r="W143" s="95"/>
      <c r="X143" s="15"/>
      <c r="Y143" s="15"/>
      <c r="Z143" s="15" t="str">
        <f t="shared" si="5"/>
        <v/>
      </c>
      <c r="AA143" s="15"/>
      <c r="AB143" s="15" t="str">
        <f t="shared" si="6"/>
        <v/>
      </c>
      <c r="AC143" s="15"/>
      <c r="AD143" s="15"/>
      <c r="AE143" s="15"/>
      <c r="AF143" s="15"/>
      <c r="AG143" s="15"/>
      <c r="AH143" s="15"/>
      <c r="AI143" s="15"/>
      <c r="AJ143" s="15"/>
      <c r="AK143" s="95"/>
      <c r="AL143" s="95"/>
      <c r="AM143" s="93"/>
      <c r="AN143" s="3"/>
      <c r="AP143" s="28"/>
      <c r="AQ143" s="29"/>
    </row>
    <row r="144" spans="1:43" ht="26.85" customHeight="1" x14ac:dyDescent="0.45">
      <c r="A144" s="15"/>
      <c r="B144" s="15"/>
      <c r="C144" s="15"/>
      <c r="D144" s="95"/>
      <c r="E144" s="95"/>
      <c r="F144" s="15"/>
      <c r="G144" s="95"/>
      <c r="H144" s="15"/>
      <c r="I144" s="15" t="str">
        <f>IF($H144&lt;&gt;"",(VLOOKUP(H144,'Other Lists'!O:P,2,FALSE)),"")</f>
        <v/>
      </c>
      <c r="J144" s="15"/>
      <c r="K144" s="15"/>
      <c r="L144" s="15"/>
      <c r="M144" s="15"/>
      <c r="N144" s="40"/>
      <c r="O144" s="15"/>
      <c r="P144" s="26"/>
      <c r="Q144" s="15"/>
      <c r="R144" s="15"/>
      <c r="S144" s="15"/>
      <c r="T144" s="15"/>
      <c r="U144" s="15"/>
      <c r="V144" s="95"/>
      <c r="W144" s="95"/>
      <c r="X144" s="15"/>
      <c r="Y144" s="15"/>
      <c r="Z144" s="15" t="str">
        <f t="shared" si="5"/>
        <v/>
      </c>
      <c r="AA144" s="15"/>
      <c r="AB144" s="15" t="str">
        <f t="shared" si="6"/>
        <v/>
      </c>
      <c r="AC144" s="15"/>
      <c r="AD144" s="15"/>
      <c r="AE144" s="15"/>
      <c r="AF144" s="15"/>
      <c r="AG144" s="15"/>
      <c r="AH144" s="15"/>
      <c r="AI144" s="15"/>
      <c r="AJ144" s="15"/>
      <c r="AK144" s="95"/>
      <c r="AL144" s="95"/>
      <c r="AM144" s="93"/>
      <c r="AN144" s="3"/>
      <c r="AP144" s="28"/>
      <c r="AQ144" s="29"/>
    </row>
    <row r="145" spans="1:43" ht="26.85" customHeight="1" x14ac:dyDescent="0.45">
      <c r="A145" s="15"/>
      <c r="B145" s="15"/>
      <c r="C145" s="15"/>
      <c r="D145" s="95"/>
      <c r="E145" s="95"/>
      <c r="F145" s="15"/>
      <c r="G145" s="95"/>
      <c r="H145" s="15"/>
      <c r="I145" s="15" t="str">
        <f>IF($H145&lt;&gt;"",(VLOOKUP(H145,'Other Lists'!O:P,2,FALSE)),"")</f>
        <v/>
      </c>
      <c r="J145" s="15"/>
      <c r="K145" s="15"/>
      <c r="L145" s="15"/>
      <c r="M145" s="15"/>
      <c r="N145" s="40"/>
      <c r="O145" s="15"/>
      <c r="P145" s="26"/>
      <c r="Q145" s="15"/>
      <c r="R145" s="15"/>
      <c r="S145" s="15"/>
      <c r="T145" s="15"/>
      <c r="U145" s="15"/>
      <c r="V145" s="95"/>
      <c r="W145" s="95"/>
      <c r="X145" s="15"/>
      <c r="Y145" s="15"/>
      <c r="Z145" s="15" t="str">
        <f t="shared" si="5"/>
        <v/>
      </c>
      <c r="AA145" s="15"/>
      <c r="AB145" s="15" t="str">
        <f t="shared" si="6"/>
        <v/>
      </c>
      <c r="AC145" s="15"/>
      <c r="AD145" s="15"/>
      <c r="AE145" s="15"/>
      <c r="AF145" s="15"/>
      <c r="AG145" s="15"/>
      <c r="AH145" s="15"/>
      <c r="AI145" s="15"/>
      <c r="AJ145" s="15"/>
      <c r="AK145" s="95"/>
      <c r="AL145" s="95"/>
      <c r="AM145" s="93"/>
      <c r="AN145" s="3"/>
      <c r="AP145" s="28"/>
      <c r="AQ145" s="29"/>
    </row>
    <row r="146" spans="1:43" ht="26.85" customHeight="1" x14ac:dyDescent="0.45">
      <c r="A146" s="15"/>
      <c r="B146" s="15"/>
      <c r="C146" s="15"/>
      <c r="D146" s="95"/>
      <c r="E146" s="95"/>
      <c r="F146" s="15"/>
      <c r="G146" s="95"/>
      <c r="H146" s="15"/>
      <c r="I146" s="15" t="str">
        <f>IF($H146&lt;&gt;"",(VLOOKUP(H146,'Other Lists'!O:P,2,FALSE)),"")</f>
        <v/>
      </c>
      <c r="J146" s="15"/>
      <c r="K146" s="15"/>
      <c r="L146" s="15"/>
      <c r="M146" s="15"/>
      <c r="N146" s="40"/>
      <c r="O146" s="15"/>
      <c r="P146" s="26"/>
      <c r="Q146" s="15"/>
      <c r="R146" s="15"/>
      <c r="S146" s="15"/>
      <c r="T146" s="15"/>
      <c r="U146" s="15"/>
      <c r="V146" s="95"/>
      <c r="W146" s="95"/>
      <c r="X146" s="15"/>
      <c r="Y146" s="15"/>
      <c r="Z146" s="15" t="str">
        <f t="shared" si="5"/>
        <v/>
      </c>
      <c r="AA146" s="15"/>
      <c r="AB146" s="15" t="str">
        <f t="shared" si="6"/>
        <v/>
      </c>
      <c r="AC146" s="15"/>
      <c r="AD146" s="15"/>
      <c r="AE146" s="15"/>
      <c r="AF146" s="15"/>
      <c r="AG146" s="15"/>
      <c r="AH146" s="15"/>
      <c r="AI146" s="15"/>
      <c r="AJ146" s="15"/>
      <c r="AK146" s="95"/>
      <c r="AL146" s="95"/>
      <c r="AM146" s="93"/>
      <c r="AN146" s="3"/>
      <c r="AP146" s="28"/>
      <c r="AQ146" s="29"/>
    </row>
    <row r="147" spans="1:43" ht="26.85" customHeight="1" x14ac:dyDescent="0.45">
      <c r="A147" s="15"/>
      <c r="B147" s="15"/>
      <c r="C147" s="15"/>
      <c r="D147" s="95"/>
      <c r="E147" s="95"/>
      <c r="F147" s="15"/>
      <c r="G147" s="95"/>
      <c r="H147" s="15"/>
      <c r="I147" s="15" t="str">
        <f>IF($H147&lt;&gt;"",(VLOOKUP(H147,'Other Lists'!O:P,2,FALSE)),"")</f>
        <v/>
      </c>
      <c r="J147" s="15"/>
      <c r="K147" s="15"/>
      <c r="L147" s="15"/>
      <c r="M147" s="15"/>
      <c r="N147" s="40"/>
      <c r="O147" s="15"/>
      <c r="P147" s="26"/>
      <c r="Q147" s="15"/>
      <c r="R147" s="15"/>
      <c r="S147" s="15"/>
      <c r="T147" s="15"/>
      <c r="U147" s="15"/>
      <c r="V147" s="95"/>
      <c r="W147" s="95"/>
      <c r="X147" s="15"/>
      <c r="Y147" s="15"/>
      <c r="Z147" s="15" t="str">
        <f t="shared" si="5"/>
        <v/>
      </c>
      <c r="AA147" s="15"/>
      <c r="AB147" s="15" t="str">
        <f t="shared" si="6"/>
        <v/>
      </c>
      <c r="AC147" s="15"/>
      <c r="AD147" s="15"/>
      <c r="AE147" s="15"/>
      <c r="AF147" s="15"/>
      <c r="AG147" s="15"/>
      <c r="AH147" s="15"/>
      <c r="AI147" s="15"/>
      <c r="AJ147" s="15"/>
      <c r="AK147" s="95"/>
      <c r="AL147" s="95"/>
      <c r="AM147" s="93"/>
      <c r="AN147" s="3"/>
      <c r="AP147" s="28"/>
      <c r="AQ147" s="29"/>
    </row>
    <row r="148" spans="1:43" ht="26.85" customHeight="1" x14ac:dyDescent="0.45">
      <c r="A148" s="15"/>
      <c r="B148" s="15"/>
      <c r="C148" s="15"/>
      <c r="D148" s="95"/>
      <c r="E148" s="95"/>
      <c r="F148" s="15"/>
      <c r="G148" s="95"/>
      <c r="H148" s="15"/>
      <c r="I148" s="15" t="str">
        <f>IF($H148&lt;&gt;"",(VLOOKUP(H148,'Other Lists'!O:P,2,FALSE)),"")</f>
        <v/>
      </c>
      <c r="J148" s="15"/>
      <c r="K148" s="15"/>
      <c r="L148" s="15"/>
      <c r="M148" s="15"/>
      <c r="N148" s="40"/>
      <c r="O148" s="15"/>
      <c r="P148" s="26"/>
      <c r="Q148" s="15"/>
      <c r="R148" s="15"/>
      <c r="S148" s="15"/>
      <c r="T148" s="15"/>
      <c r="U148" s="15"/>
      <c r="V148" s="95"/>
      <c r="W148" s="95"/>
      <c r="X148" s="15"/>
      <c r="Y148" s="15"/>
      <c r="Z148" s="15" t="str">
        <f t="shared" si="5"/>
        <v/>
      </c>
      <c r="AA148" s="15"/>
      <c r="AB148" s="15" t="str">
        <f t="shared" si="6"/>
        <v/>
      </c>
      <c r="AC148" s="15"/>
      <c r="AD148" s="15"/>
      <c r="AE148" s="15"/>
      <c r="AF148" s="15"/>
      <c r="AG148" s="15"/>
      <c r="AH148" s="15"/>
      <c r="AI148" s="15"/>
      <c r="AJ148" s="15"/>
      <c r="AK148" s="95"/>
      <c r="AL148" s="95"/>
      <c r="AM148" s="93"/>
      <c r="AN148" s="3"/>
      <c r="AP148" s="28"/>
      <c r="AQ148" s="29"/>
    </row>
    <row r="149" spans="1:43" ht="26.85" customHeight="1" x14ac:dyDescent="0.45">
      <c r="A149" s="15"/>
      <c r="B149" s="15"/>
      <c r="C149" s="15"/>
      <c r="D149" s="95"/>
      <c r="E149" s="95"/>
      <c r="F149" s="15"/>
      <c r="G149" s="95"/>
      <c r="H149" s="15"/>
      <c r="I149" s="15" t="str">
        <f>IF($H149&lt;&gt;"",(VLOOKUP(H149,'Other Lists'!O:P,2,FALSE)),"")</f>
        <v/>
      </c>
      <c r="J149" s="15"/>
      <c r="K149" s="15"/>
      <c r="L149" s="15"/>
      <c r="M149" s="15"/>
      <c r="N149" s="40"/>
      <c r="O149" s="15"/>
      <c r="P149" s="26"/>
      <c r="Q149" s="15"/>
      <c r="R149" s="15"/>
      <c r="S149" s="15"/>
      <c r="T149" s="15"/>
      <c r="U149" s="15"/>
      <c r="V149" s="95"/>
      <c r="W149" s="95"/>
      <c r="X149" s="15"/>
      <c r="Y149" s="15"/>
      <c r="Z149" s="15" t="str">
        <f t="shared" si="5"/>
        <v/>
      </c>
      <c r="AA149" s="15"/>
      <c r="AB149" s="15" t="str">
        <f t="shared" si="6"/>
        <v/>
      </c>
      <c r="AC149" s="15"/>
      <c r="AD149" s="15"/>
      <c r="AE149" s="15"/>
      <c r="AF149" s="15"/>
      <c r="AG149" s="15"/>
      <c r="AH149" s="15"/>
      <c r="AI149" s="15"/>
      <c r="AJ149" s="15"/>
      <c r="AK149" s="95"/>
      <c r="AL149" s="95"/>
      <c r="AM149" s="93"/>
      <c r="AN149" s="3"/>
      <c r="AP149" s="28"/>
      <c r="AQ149" s="29"/>
    </row>
    <row r="150" spans="1:43" ht="26.85" customHeight="1" x14ac:dyDescent="0.45">
      <c r="A150" s="15"/>
      <c r="B150" s="15"/>
      <c r="C150" s="15"/>
      <c r="D150" s="95"/>
      <c r="E150" s="95"/>
      <c r="F150" s="15"/>
      <c r="G150" s="95"/>
      <c r="H150" s="15"/>
      <c r="I150" s="15" t="str">
        <f>IF($H150&lt;&gt;"",(VLOOKUP(H150,'Other Lists'!O:P,2,FALSE)),"")</f>
        <v/>
      </c>
      <c r="J150" s="15"/>
      <c r="K150" s="15"/>
      <c r="L150" s="15"/>
      <c r="M150" s="15"/>
      <c r="N150" s="40"/>
      <c r="O150" s="15"/>
      <c r="P150" s="26"/>
      <c r="Q150" s="15"/>
      <c r="R150" s="15"/>
      <c r="S150" s="15"/>
      <c r="T150" s="15"/>
      <c r="U150" s="15"/>
      <c r="V150" s="95"/>
      <c r="W150" s="95"/>
      <c r="X150" s="15"/>
      <c r="Y150" s="15"/>
      <c r="Z150" s="15" t="str">
        <f t="shared" si="5"/>
        <v/>
      </c>
      <c r="AA150" s="15"/>
      <c r="AB150" s="15" t="str">
        <f t="shared" si="6"/>
        <v/>
      </c>
      <c r="AC150" s="15"/>
      <c r="AD150" s="15"/>
      <c r="AE150" s="15"/>
      <c r="AF150" s="15"/>
      <c r="AG150" s="15"/>
      <c r="AH150" s="15"/>
      <c r="AI150" s="15"/>
      <c r="AJ150" s="15"/>
      <c r="AK150" s="95"/>
      <c r="AL150" s="95"/>
      <c r="AM150" s="93"/>
      <c r="AN150" s="3"/>
      <c r="AP150" s="28"/>
      <c r="AQ150" s="29"/>
    </row>
    <row r="151" spans="1:43" ht="26.85" customHeight="1" x14ac:dyDescent="0.45">
      <c r="A151" s="15"/>
      <c r="B151" s="15"/>
      <c r="C151" s="15"/>
      <c r="D151" s="95"/>
      <c r="E151" s="95"/>
      <c r="F151" s="15"/>
      <c r="G151" s="95"/>
      <c r="H151" s="15"/>
      <c r="I151" s="15" t="str">
        <f>IF($H151&lt;&gt;"",(VLOOKUP(H151,'Other Lists'!O:P,2,FALSE)),"")</f>
        <v/>
      </c>
      <c r="J151" s="15"/>
      <c r="K151" s="15"/>
      <c r="L151" s="15"/>
      <c r="M151" s="15"/>
      <c r="N151" s="40"/>
      <c r="O151" s="15"/>
      <c r="P151" s="26"/>
      <c r="Q151" s="15"/>
      <c r="R151" s="15"/>
      <c r="S151" s="15"/>
      <c r="T151" s="15"/>
      <c r="U151" s="15"/>
      <c r="V151" s="95"/>
      <c r="W151" s="95"/>
      <c r="X151" s="15"/>
      <c r="Y151" s="15"/>
      <c r="Z151" s="15" t="str">
        <f t="shared" si="5"/>
        <v/>
      </c>
      <c r="AA151" s="15"/>
      <c r="AB151" s="15" t="str">
        <f t="shared" si="6"/>
        <v/>
      </c>
      <c r="AC151" s="15"/>
      <c r="AD151" s="15"/>
      <c r="AE151" s="15"/>
      <c r="AF151" s="15"/>
      <c r="AG151" s="15"/>
      <c r="AH151" s="15"/>
      <c r="AI151" s="15"/>
      <c r="AJ151" s="15"/>
      <c r="AK151" s="95"/>
      <c r="AL151" s="95"/>
      <c r="AM151" s="93"/>
      <c r="AN151" s="3"/>
      <c r="AP151" s="28"/>
      <c r="AQ151" s="29"/>
    </row>
    <row r="152" spans="1:43" ht="26.85" customHeight="1" x14ac:dyDescent="0.45">
      <c r="A152" s="15"/>
      <c r="B152" s="15"/>
      <c r="C152" s="15"/>
      <c r="D152" s="95"/>
      <c r="E152" s="95"/>
      <c r="F152" s="15"/>
      <c r="G152" s="95"/>
      <c r="H152" s="15"/>
      <c r="I152" s="15" t="str">
        <f>IF($H152&lt;&gt;"",(VLOOKUP(H152,'Other Lists'!O:P,2,FALSE)),"")</f>
        <v/>
      </c>
      <c r="J152" s="15"/>
      <c r="K152" s="15"/>
      <c r="L152" s="15"/>
      <c r="M152" s="15"/>
      <c r="N152" s="40"/>
      <c r="O152" s="15"/>
      <c r="P152" s="26"/>
      <c r="Q152" s="15"/>
      <c r="R152" s="15"/>
      <c r="S152" s="15"/>
      <c r="T152" s="15"/>
      <c r="U152" s="15"/>
      <c r="V152" s="95"/>
      <c r="W152" s="95"/>
      <c r="X152" s="15"/>
      <c r="Y152" s="15"/>
      <c r="Z152" s="15" t="str">
        <f t="shared" si="5"/>
        <v/>
      </c>
      <c r="AA152" s="15"/>
      <c r="AB152" s="15" t="str">
        <f t="shared" si="6"/>
        <v/>
      </c>
      <c r="AC152" s="15"/>
      <c r="AD152" s="15"/>
      <c r="AE152" s="15"/>
      <c r="AF152" s="15"/>
      <c r="AG152" s="15"/>
      <c r="AH152" s="15"/>
      <c r="AI152" s="15"/>
      <c r="AJ152" s="15"/>
      <c r="AK152" s="95"/>
      <c r="AL152" s="95"/>
      <c r="AM152" s="93"/>
      <c r="AN152" s="3"/>
      <c r="AP152" s="28"/>
      <c r="AQ152" s="29"/>
    </row>
    <row r="153" spans="1:43" ht="26.85" customHeight="1" x14ac:dyDescent="0.45">
      <c r="A153" s="15"/>
      <c r="B153" s="15"/>
      <c r="C153" s="15"/>
      <c r="D153" s="95"/>
      <c r="E153" s="95"/>
      <c r="F153" s="15"/>
      <c r="G153" s="95"/>
      <c r="H153" s="15"/>
      <c r="I153" s="15" t="str">
        <f>IF($H153&lt;&gt;"",(VLOOKUP(H153,'Other Lists'!O:P,2,FALSE)),"")</f>
        <v/>
      </c>
      <c r="J153" s="15"/>
      <c r="K153" s="15"/>
      <c r="L153" s="15"/>
      <c r="M153" s="15"/>
      <c r="N153" s="40"/>
      <c r="O153" s="15"/>
      <c r="P153" s="26"/>
      <c r="Q153" s="15"/>
      <c r="R153" s="15"/>
      <c r="S153" s="15"/>
      <c r="T153" s="15"/>
      <c r="U153" s="15"/>
      <c r="V153" s="95"/>
      <c r="W153" s="95"/>
      <c r="X153" s="15"/>
      <c r="Y153" s="15"/>
      <c r="Z153" s="15" t="str">
        <f t="shared" si="5"/>
        <v/>
      </c>
      <c r="AA153" s="15"/>
      <c r="AB153" s="15" t="str">
        <f t="shared" si="6"/>
        <v/>
      </c>
      <c r="AC153" s="15"/>
      <c r="AD153" s="15"/>
      <c r="AE153" s="15"/>
      <c r="AF153" s="15"/>
      <c r="AG153" s="15"/>
      <c r="AH153" s="15"/>
      <c r="AI153" s="15"/>
      <c r="AJ153" s="15"/>
      <c r="AK153" s="95"/>
      <c r="AL153" s="95"/>
      <c r="AM153" s="93"/>
      <c r="AN153" s="3"/>
      <c r="AP153" s="28"/>
      <c r="AQ153" s="29"/>
    </row>
    <row r="154" spans="1:43" ht="26.85" customHeight="1" x14ac:dyDescent="0.45">
      <c r="A154" s="15"/>
      <c r="B154" s="15"/>
      <c r="C154" s="15"/>
      <c r="D154" s="95"/>
      <c r="E154" s="95"/>
      <c r="F154" s="15"/>
      <c r="G154" s="95"/>
      <c r="H154" s="15"/>
      <c r="I154" s="15" t="str">
        <f>IF($H154&lt;&gt;"",(VLOOKUP(H154,'Other Lists'!O:P,2,FALSE)),"")</f>
        <v/>
      </c>
      <c r="J154" s="15"/>
      <c r="K154" s="15"/>
      <c r="L154" s="15"/>
      <c r="M154" s="15"/>
      <c r="N154" s="40"/>
      <c r="O154" s="15"/>
      <c r="P154" s="26"/>
      <c r="Q154" s="15"/>
      <c r="R154" s="15"/>
      <c r="S154" s="15"/>
      <c r="T154" s="15"/>
      <c r="U154" s="15"/>
      <c r="V154" s="95"/>
      <c r="W154" s="95"/>
      <c r="X154" s="15"/>
      <c r="Y154" s="15"/>
      <c r="Z154" s="15" t="str">
        <f t="shared" si="5"/>
        <v/>
      </c>
      <c r="AA154" s="15"/>
      <c r="AB154" s="15" t="str">
        <f t="shared" si="6"/>
        <v/>
      </c>
      <c r="AC154" s="15"/>
      <c r="AD154" s="15"/>
      <c r="AE154" s="15"/>
      <c r="AF154" s="15"/>
      <c r="AG154" s="15"/>
      <c r="AH154" s="15"/>
      <c r="AI154" s="15"/>
      <c r="AJ154" s="15"/>
      <c r="AK154" s="95"/>
      <c r="AL154" s="95"/>
      <c r="AM154" s="93"/>
      <c r="AN154" s="3"/>
      <c r="AP154" s="28"/>
      <c r="AQ154" s="29"/>
    </row>
    <row r="155" spans="1:43" ht="26.85" customHeight="1" x14ac:dyDescent="0.45">
      <c r="A155" s="15"/>
      <c r="B155" s="15"/>
      <c r="C155" s="15"/>
      <c r="D155" s="95"/>
      <c r="E155" s="95"/>
      <c r="F155" s="15"/>
      <c r="G155" s="95"/>
      <c r="H155" s="15"/>
      <c r="I155" s="15" t="str">
        <f>IF($H155&lt;&gt;"",(VLOOKUP(H155,'Other Lists'!O:P,2,FALSE)),"")</f>
        <v/>
      </c>
      <c r="J155" s="15"/>
      <c r="K155" s="15"/>
      <c r="L155" s="15"/>
      <c r="M155" s="15"/>
      <c r="N155" s="40"/>
      <c r="O155" s="15"/>
      <c r="P155" s="26"/>
      <c r="Q155" s="15"/>
      <c r="R155" s="15"/>
      <c r="S155" s="15"/>
      <c r="T155" s="15"/>
      <c r="U155" s="15"/>
      <c r="V155" s="95"/>
      <c r="W155" s="95"/>
      <c r="X155" s="15"/>
      <c r="Y155" s="15"/>
      <c r="Z155" s="15" t="str">
        <f t="shared" si="5"/>
        <v/>
      </c>
      <c r="AA155" s="15"/>
      <c r="AB155" s="15" t="str">
        <f t="shared" si="6"/>
        <v/>
      </c>
      <c r="AC155" s="15"/>
      <c r="AD155" s="15"/>
      <c r="AE155" s="15"/>
      <c r="AF155" s="15"/>
      <c r="AG155" s="15"/>
      <c r="AH155" s="15"/>
      <c r="AI155" s="15"/>
      <c r="AJ155" s="15"/>
      <c r="AK155" s="95"/>
      <c r="AL155" s="95"/>
      <c r="AM155" s="93"/>
      <c r="AN155" s="3"/>
      <c r="AP155" s="28"/>
      <c r="AQ155" s="29"/>
    </row>
    <row r="156" spans="1:43" ht="26.85" customHeight="1" x14ac:dyDescent="0.45">
      <c r="A156" s="15"/>
      <c r="B156" s="15"/>
      <c r="C156" s="15"/>
      <c r="D156" s="95"/>
      <c r="E156" s="95"/>
      <c r="F156" s="15"/>
      <c r="G156" s="95"/>
      <c r="H156" s="15"/>
      <c r="I156" s="15" t="str">
        <f>IF($H156&lt;&gt;"",(VLOOKUP(H156,'Other Lists'!O:P,2,FALSE)),"")</f>
        <v/>
      </c>
      <c r="J156" s="15"/>
      <c r="K156" s="15"/>
      <c r="L156" s="15"/>
      <c r="M156" s="15"/>
      <c r="N156" s="40"/>
      <c r="O156" s="15"/>
      <c r="P156" s="26"/>
      <c r="Q156" s="15"/>
      <c r="R156" s="15"/>
      <c r="S156" s="15"/>
      <c r="T156" s="15"/>
      <c r="U156" s="15"/>
      <c r="V156" s="95"/>
      <c r="W156" s="95"/>
      <c r="X156" s="15"/>
      <c r="Y156" s="15"/>
      <c r="Z156" s="15" t="str">
        <f t="shared" si="5"/>
        <v/>
      </c>
      <c r="AA156" s="15"/>
      <c r="AB156" s="15" t="str">
        <f t="shared" si="6"/>
        <v/>
      </c>
      <c r="AC156" s="15"/>
      <c r="AD156" s="15"/>
      <c r="AE156" s="15"/>
      <c r="AF156" s="15"/>
      <c r="AG156" s="15"/>
      <c r="AH156" s="15"/>
      <c r="AI156" s="15"/>
      <c r="AJ156" s="15"/>
      <c r="AK156" s="95"/>
      <c r="AL156" s="95"/>
      <c r="AM156" s="93"/>
      <c r="AN156" s="3"/>
      <c r="AP156" s="28"/>
      <c r="AQ156" s="29"/>
    </row>
    <row r="157" spans="1:43" ht="26.85" customHeight="1" x14ac:dyDescent="0.45">
      <c r="A157" s="15"/>
      <c r="B157" s="15"/>
      <c r="C157" s="15"/>
      <c r="D157" s="95"/>
      <c r="E157" s="95"/>
      <c r="F157" s="15"/>
      <c r="G157" s="95"/>
      <c r="H157" s="15"/>
      <c r="I157" s="15" t="str">
        <f>IF($H157&lt;&gt;"",(VLOOKUP(H157,'Other Lists'!O:P,2,FALSE)),"")</f>
        <v/>
      </c>
      <c r="J157" s="15"/>
      <c r="K157" s="15"/>
      <c r="L157" s="15"/>
      <c r="M157" s="15"/>
      <c r="N157" s="40"/>
      <c r="O157" s="15"/>
      <c r="P157" s="26"/>
      <c r="Q157" s="15"/>
      <c r="R157" s="15"/>
      <c r="S157" s="15"/>
      <c r="T157" s="15"/>
      <c r="U157" s="15"/>
      <c r="V157" s="95"/>
      <c r="W157" s="95"/>
      <c r="X157" s="15"/>
      <c r="Y157" s="15"/>
      <c r="Z157" s="15" t="str">
        <f t="shared" si="5"/>
        <v/>
      </c>
      <c r="AA157" s="15"/>
      <c r="AB157" s="15" t="str">
        <f t="shared" si="6"/>
        <v/>
      </c>
      <c r="AC157" s="15"/>
      <c r="AD157" s="15"/>
      <c r="AE157" s="15"/>
      <c r="AF157" s="15"/>
      <c r="AG157" s="15"/>
      <c r="AH157" s="15"/>
      <c r="AI157" s="15"/>
      <c r="AJ157" s="15"/>
      <c r="AK157" s="95"/>
      <c r="AL157" s="95"/>
      <c r="AM157" s="93"/>
      <c r="AN157" s="3"/>
      <c r="AP157" s="28"/>
      <c r="AQ157" s="29"/>
    </row>
    <row r="158" spans="1:43" ht="26.85" customHeight="1" x14ac:dyDescent="0.45">
      <c r="A158" s="15"/>
      <c r="B158" s="15"/>
      <c r="C158" s="15"/>
      <c r="D158" s="95"/>
      <c r="E158" s="95"/>
      <c r="F158" s="15"/>
      <c r="G158" s="95"/>
      <c r="H158" s="15"/>
      <c r="I158" s="15" t="str">
        <f>IF($H158&lt;&gt;"",(VLOOKUP(H158,'Other Lists'!O:P,2,FALSE)),"")</f>
        <v/>
      </c>
      <c r="J158" s="15"/>
      <c r="K158" s="15"/>
      <c r="L158" s="15"/>
      <c r="M158" s="15"/>
      <c r="N158" s="40"/>
      <c r="O158" s="15"/>
      <c r="P158" s="26"/>
      <c r="Q158" s="15"/>
      <c r="R158" s="15"/>
      <c r="S158" s="15"/>
      <c r="T158" s="15"/>
      <c r="U158" s="15"/>
      <c r="V158" s="95"/>
      <c r="W158" s="95"/>
      <c r="X158" s="15"/>
      <c r="Y158" s="15"/>
      <c r="Z158" s="15" t="str">
        <f t="shared" si="5"/>
        <v/>
      </c>
      <c r="AA158" s="15"/>
      <c r="AB158" s="15" t="str">
        <f t="shared" si="6"/>
        <v/>
      </c>
      <c r="AC158" s="15"/>
      <c r="AD158" s="15"/>
      <c r="AE158" s="15"/>
      <c r="AF158" s="15"/>
      <c r="AG158" s="15"/>
      <c r="AH158" s="15"/>
      <c r="AI158" s="15"/>
      <c r="AJ158" s="15"/>
      <c r="AK158" s="95"/>
      <c r="AL158" s="95"/>
      <c r="AM158" s="93"/>
      <c r="AN158" s="3"/>
      <c r="AP158" s="28"/>
      <c r="AQ158" s="29"/>
    </row>
    <row r="159" spans="1:43" ht="26.85" customHeight="1" x14ac:dyDescent="0.45">
      <c r="A159" s="15"/>
      <c r="B159" s="15"/>
      <c r="C159" s="15"/>
      <c r="D159" s="95"/>
      <c r="E159" s="95"/>
      <c r="F159" s="15"/>
      <c r="G159" s="95"/>
      <c r="H159" s="15"/>
      <c r="I159" s="15" t="str">
        <f>IF($H159&lt;&gt;"",(VLOOKUP(H159,'Other Lists'!O:P,2,FALSE)),"")</f>
        <v/>
      </c>
      <c r="J159" s="15"/>
      <c r="K159" s="15"/>
      <c r="L159" s="15"/>
      <c r="M159" s="15"/>
      <c r="N159" s="40"/>
      <c r="O159" s="15"/>
      <c r="P159" s="26"/>
      <c r="Q159" s="15"/>
      <c r="R159" s="15"/>
      <c r="S159" s="15"/>
      <c r="T159" s="15"/>
      <c r="U159" s="15"/>
      <c r="V159" s="95"/>
      <c r="W159" s="95"/>
      <c r="X159" s="15"/>
      <c r="Y159" s="15"/>
      <c r="Z159" s="15" t="str">
        <f t="shared" si="5"/>
        <v/>
      </c>
      <c r="AA159" s="15"/>
      <c r="AB159" s="15" t="str">
        <f t="shared" si="6"/>
        <v/>
      </c>
      <c r="AC159" s="15"/>
      <c r="AD159" s="15"/>
      <c r="AE159" s="15"/>
      <c r="AF159" s="15"/>
      <c r="AG159" s="15"/>
      <c r="AH159" s="15"/>
      <c r="AI159" s="15"/>
      <c r="AJ159" s="15"/>
      <c r="AK159" s="95"/>
      <c r="AL159" s="95"/>
      <c r="AM159" s="93"/>
      <c r="AN159" s="3"/>
      <c r="AP159" s="28"/>
      <c r="AQ159" s="29"/>
    </row>
    <row r="160" spans="1:43" ht="26.85" customHeight="1" x14ac:dyDescent="0.45">
      <c r="A160" s="15"/>
      <c r="B160" s="15"/>
      <c r="C160" s="15"/>
      <c r="D160" s="95"/>
      <c r="E160" s="95"/>
      <c r="F160" s="15"/>
      <c r="G160" s="95"/>
      <c r="H160" s="15"/>
      <c r="I160" s="15" t="str">
        <f>IF($H160&lt;&gt;"",(VLOOKUP(H160,'Other Lists'!O:P,2,FALSE)),"")</f>
        <v/>
      </c>
      <c r="J160" s="15"/>
      <c r="K160" s="15"/>
      <c r="L160" s="15"/>
      <c r="M160" s="15"/>
      <c r="N160" s="40"/>
      <c r="O160" s="15"/>
      <c r="P160" s="26"/>
      <c r="Q160" s="15"/>
      <c r="R160" s="15"/>
      <c r="S160" s="15"/>
      <c r="T160" s="15"/>
      <c r="U160" s="15"/>
      <c r="V160" s="95"/>
      <c r="W160" s="95"/>
      <c r="X160" s="15"/>
      <c r="Y160" s="15"/>
      <c r="Z160" s="15" t="str">
        <f t="shared" si="5"/>
        <v/>
      </c>
      <c r="AA160" s="15"/>
      <c r="AB160" s="15" t="str">
        <f t="shared" si="6"/>
        <v/>
      </c>
      <c r="AC160" s="15"/>
      <c r="AD160" s="15"/>
      <c r="AE160" s="15"/>
      <c r="AF160" s="15"/>
      <c r="AG160" s="15"/>
      <c r="AH160" s="15"/>
      <c r="AI160" s="15"/>
      <c r="AJ160" s="15"/>
      <c r="AK160" s="95"/>
      <c r="AL160" s="95"/>
      <c r="AM160" s="93"/>
      <c r="AN160" s="3"/>
      <c r="AP160" s="28"/>
      <c r="AQ160" s="29"/>
    </row>
    <row r="161" spans="1:43" ht="26.85" customHeight="1" x14ac:dyDescent="0.45">
      <c r="A161" s="15"/>
      <c r="B161" s="15"/>
      <c r="C161" s="15"/>
      <c r="D161" s="95"/>
      <c r="E161" s="95"/>
      <c r="F161" s="15"/>
      <c r="G161" s="95"/>
      <c r="H161" s="15"/>
      <c r="I161" s="15" t="str">
        <f>IF($H161&lt;&gt;"",(VLOOKUP(H161,'Other Lists'!O:P,2,FALSE)),"")</f>
        <v/>
      </c>
      <c r="J161" s="15"/>
      <c r="K161" s="15"/>
      <c r="L161" s="15"/>
      <c r="M161" s="15"/>
      <c r="N161" s="40"/>
      <c r="O161" s="15"/>
      <c r="P161" s="26"/>
      <c r="Q161" s="15"/>
      <c r="R161" s="15"/>
      <c r="S161" s="15"/>
      <c r="T161" s="15"/>
      <c r="U161" s="15"/>
      <c r="V161" s="95"/>
      <c r="W161" s="95"/>
      <c r="X161" s="15"/>
      <c r="Y161" s="15"/>
      <c r="Z161" s="15" t="str">
        <f t="shared" si="5"/>
        <v/>
      </c>
      <c r="AA161" s="15"/>
      <c r="AB161" s="15" t="str">
        <f t="shared" si="6"/>
        <v/>
      </c>
      <c r="AC161" s="15"/>
      <c r="AD161" s="15"/>
      <c r="AE161" s="15"/>
      <c r="AF161" s="15"/>
      <c r="AG161" s="15"/>
      <c r="AH161" s="15"/>
      <c r="AI161" s="15"/>
      <c r="AJ161" s="15"/>
      <c r="AK161" s="95"/>
      <c r="AL161" s="95"/>
      <c r="AM161" s="93"/>
      <c r="AN161" s="3"/>
      <c r="AP161" s="28"/>
      <c r="AQ161" s="29"/>
    </row>
    <row r="162" spans="1:43" ht="26.85" customHeight="1" x14ac:dyDescent="0.45">
      <c r="A162" s="15"/>
      <c r="B162" s="15"/>
      <c r="C162" s="15"/>
      <c r="D162" s="95"/>
      <c r="E162" s="95"/>
      <c r="F162" s="15"/>
      <c r="G162" s="95"/>
      <c r="H162" s="15"/>
      <c r="I162" s="15" t="str">
        <f>IF($H162&lt;&gt;"",(VLOOKUP(H162,'Other Lists'!O:P,2,FALSE)),"")</f>
        <v/>
      </c>
      <c r="J162" s="15"/>
      <c r="K162" s="15"/>
      <c r="L162" s="15"/>
      <c r="M162" s="15"/>
      <c r="N162" s="40"/>
      <c r="O162" s="15"/>
      <c r="P162" s="26"/>
      <c r="Q162" s="15"/>
      <c r="R162" s="15"/>
      <c r="S162" s="15"/>
      <c r="T162" s="15"/>
      <c r="U162" s="15"/>
      <c r="V162" s="95"/>
      <c r="W162" s="95"/>
      <c r="X162" s="15"/>
      <c r="Y162" s="15"/>
      <c r="Z162" s="15" t="str">
        <f t="shared" si="5"/>
        <v/>
      </c>
      <c r="AA162" s="15"/>
      <c r="AB162" s="15" t="str">
        <f t="shared" si="6"/>
        <v/>
      </c>
      <c r="AC162" s="15"/>
      <c r="AD162" s="15"/>
      <c r="AE162" s="15"/>
      <c r="AF162" s="15"/>
      <c r="AG162" s="15"/>
      <c r="AH162" s="15"/>
      <c r="AI162" s="15"/>
      <c r="AJ162" s="15"/>
      <c r="AK162" s="95"/>
      <c r="AL162" s="95"/>
      <c r="AM162" s="93"/>
      <c r="AN162" s="3"/>
      <c r="AP162" s="28"/>
      <c r="AQ162" s="29"/>
    </row>
    <row r="163" spans="1:43" ht="26.85" customHeight="1" x14ac:dyDescent="0.45">
      <c r="A163" s="15"/>
      <c r="B163" s="15"/>
      <c r="C163" s="15"/>
      <c r="D163" s="95"/>
      <c r="E163" s="95"/>
      <c r="F163" s="15"/>
      <c r="G163" s="95"/>
      <c r="H163" s="15"/>
      <c r="I163" s="15" t="str">
        <f>IF($H163&lt;&gt;"",(VLOOKUP(H163,'Other Lists'!O:P,2,FALSE)),"")</f>
        <v/>
      </c>
      <c r="J163" s="15"/>
      <c r="K163" s="15"/>
      <c r="L163" s="15"/>
      <c r="M163" s="15"/>
      <c r="N163" s="40"/>
      <c r="O163" s="15"/>
      <c r="P163" s="26"/>
      <c r="Q163" s="15"/>
      <c r="R163" s="15"/>
      <c r="S163" s="15"/>
      <c r="T163" s="15"/>
      <c r="U163" s="15"/>
      <c r="V163" s="95"/>
      <c r="W163" s="95"/>
      <c r="X163" s="15"/>
      <c r="Y163" s="15"/>
      <c r="Z163" s="15" t="str">
        <f t="shared" si="5"/>
        <v/>
      </c>
      <c r="AA163" s="15"/>
      <c r="AB163" s="15" t="str">
        <f t="shared" si="6"/>
        <v/>
      </c>
      <c r="AC163" s="15"/>
      <c r="AD163" s="15"/>
      <c r="AE163" s="15"/>
      <c r="AF163" s="15"/>
      <c r="AG163" s="15"/>
      <c r="AH163" s="15"/>
      <c r="AI163" s="15"/>
      <c r="AJ163" s="15"/>
      <c r="AK163" s="95"/>
      <c r="AL163" s="95"/>
      <c r="AM163" s="93"/>
      <c r="AN163" s="3"/>
      <c r="AP163" s="28"/>
      <c r="AQ163" s="29"/>
    </row>
    <row r="164" spans="1:43" ht="26.85" customHeight="1" x14ac:dyDescent="0.45">
      <c r="A164" s="15"/>
      <c r="B164" s="15"/>
      <c r="C164" s="15"/>
      <c r="D164" s="95"/>
      <c r="E164" s="95"/>
      <c r="F164" s="15"/>
      <c r="G164" s="95"/>
      <c r="H164" s="15"/>
      <c r="I164" s="15" t="str">
        <f>IF($H164&lt;&gt;"",(VLOOKUP(H164,'Other Lists'!O:P,2,FALSE)),"")</f>
        <v/>
      </c>
      <c r="J164" s="15"/>
      <c r="K164" s="15"/>
      <c r="L164" s="15"/>
      <c r="M164" s="15"/>
      <c r="N164" s="40"/>
      <c r="O164" s="15"/>
      <c r="P164" s="26"/>
      <c r="Q164" s="15"/>
      <c r="R164" s="15"/>
      <c r="S164" s="15"/>
      <c r="T164" s="15"/>
      <c r="U164" s="15"/>
      <c r="V164" s="95"/>
      <c r="W164" s="95"/>
      <c r="X164" s="15"/>
      <c r="Y164" s="15"/>
      <c r="Z164" s="15" t="str">
        <f t="shared" si="5"/>
        <v/>
      </c>
      <c r="AA164" s="15"/>
      <c r="AB164" s="15" t="str">
        <f t="shared" si="6"/>
        <v/>
      </c>
      <c r="AC164" s="15"/>
      <c r="AD164" s="15"/>
      <c r="AE164" s="15"/>
      <c r="AF164" s="15"/>
      <c r="AG164" s="15"/>
      <c r="AH164" s="15"/>
      <c r="AI164" s="15"/>
      <c r="AJ164" s="15"/>
      <c r="AK164" s="95"/>
      <c r="AL164" s="95"/>
      <c r="AM164" s="93"/>
      <c r="AN164" s="3"/>
      <c r="AP164" s="28"/>
      <c r="AQ164" s="29"/>
    </row>
    <row r="165" spans="1:43" ht="26.85" customHeight="1" x14ac:dyDescent="0.45">
      <c r="A165" s="15"/>
      <c r="B165" s="15"/>
      <c r="C165" s="15"/>
      <c r="D165" s="95"/>
      <c r="E165" s="95"/>
      <c r="F165" s="15"/>
      <c r="G165" s="95"/>
      <c r="H165" s="15"/>
      <c r="I165" s="15" t="str">
        <f>IF($H165&lt;&gt;"",(VLOOKUP(H165,'Other Lists'!O:P,2,FALSE)),"")</f>
        <v/>
      </c>
      <c r="J165" s="15"/>
      <c r="K165" s="15"/>
      <c r="L165" s="15"/>
      <c r="M165" s="15"/>
      <c r="N165" s="40"/>
      <c r="O165" s="15"/>
      <c r="P165" s="26"/>
      <c r="Q165" s="15"/>
      <c r="R165" s="15"/>
      <c r="S165" s="15"/>
      <c r="T165" s="15"/>
      <c r="U165" s="15"/>
      <c r="V165" s="95"/>
      <c r="W165" s="95"/>
      <c r="X165" s="15"/>
      <c r="Y165" s="15"/>
      <c r="Z165" s="15" t="str">
        <f t="shared" si="5"/>
        <v/>
      </c>
      <c r="AA165" s="15"/>
      <c r="AB165" s="15" t="str">
        <f t="shared" si="6"/>
        <v/>
      </c>
      <c r="AC165" s="15"/>
      <c r="AD165" s="15"/>
      <c r="AE165" s="15"/>
      <c r="AF165" s="15"/>
      <c r="AG165" s="15"/>
      <c r="AH165" s="15"/>
      <c r="AI165" s="15"/>
      <c r="AJ165" s="15"/>
      <c r="AK165" s="95"/>
      <c r="AL165" s="95"/>
      <c r="AM165" s="93"/>
      <c r="AN165" s="3"/>
      <c r="AP165" s="28"/>
      <c r="AQ165" s="29"/>
    </row>
    <row r="166" spans="1:43" ht="26.85" customHeight="1" x14ac:dyDescent="0.45">
      <c r="A166" s="15"/>
      <c r="B166" s="15"/>
      <c r="C166" s="15"/>
      <c r="D166" s="95"/>
      <c r="E166" s="95"/>
      <c r="F166" s="15"/>
      <c r="G166" s="95"/>
      <c r="H166" s="15"/>
      <c r="I166" s="15" t="str">
        <f>IF($H166&lt;&gt;"",(VLOOKUP(H166,'Other Lists'!O:P,2,FALSE)),"")</f>
        <v/>
      </c>
      <c r="J166" s="15"/>
      <c r="K166" s="15"/>
      <c r="L166" s="15"/>
      <c r="M166" s="15"/>
      <c r="N166" s="40"/>
      <c r="O166" s="15"/>
      <c r="P166" s="26"/>
      <c r="Q166" s="15"/>
      <c r="R166" s="15"/>
      <c r="S166" s="15"/>
      <c r="T166" s="15"/>
      <c r="U166" s="15"/>
      <c r="V166" s="95"/>
      <c r="W166" s="95"/>
      <c r="X166" s="15"/>
      <c r="Y166" s="15"/>
      <c r="Z166" s="15" t="str">
        <f t="shared" si="5"/>
        <v/>
      </c>
      <c r="AA166" s="15"/>
      <c r="AB166" s="15" t="str">
        <f t="shared" si="6"/>
        <v/>
      </c>
      <c r="AC166" s="15"/>
      <c r="AD166" s="15"/>
      <c r="AE166" s="15"/>
      <c r="AF166" s="15"/>
      <c r="AG166" s="15"/>
      <c r="AH166" s="15"/>
      <c r="AI166" s="15"/>
      <c r="AJ166" s="15"/>
      <c r="AK166" s="95"/>
      <c r="AL166" s="95"/>
      <c r="AM166" s="93"/>
      <c r="AN166" s="3"/>
      <c r="AP166" s="28"/>
      <c r="AQ166" s="29"/>
    </row>
    <row r="167" spans="1:43" ht="26.85" customHeight="1" x14ac:dyDescent="0.45">
      <c r="A167" s="15"/>
      <c r="B167" s="15"/>
      <c r="C167" s="15"/>
      <c r="D167" s="95"/>
      <c r="E167" s="95"/>
      <c r="F167" s="15"/>
      <c r="G167" s="95"/>
      <c r="H167" s="15"/>
      <c r="I167" s="15" t="str">
        <f>IF($H167&lt;&gt;"",(VLOOKUP(H167,'Other Lists'!O:P,2,FALSE)),"")</f>
        <v/>
      </c>
      <c r="J167" s="15"/>
      <c r="K167" s="15"/>
      <c r="L167" s="15"/>
      <c r="M167" s="15"/>
      <c r="N167" s="40"/>
      <c r="O167" s="15"/>
      <c r="P167" s="26"/>
      <c r="Q167" s="15"/>
      <c r="R167" s="15"/>
      <c r="S167" s="15"/>
      <c r="T167" s="15"/>
      <c r="U167" s="15"/>
      <c r="V167" s="95"/>
      <c r="W167" s="95"/>
      <c r="X167" s="15"/>
      <c r="Y167" s="15"/>
      <c r="Z167" s="15" t="str">
        <f t="shared" si="5"/>
        <v/>
      </c>
      <c r="AA167" s="15"/>
      <c r="AB167" s="15" t="str">
        <f t="shared" si="6"/>
        <v/>
      </c>
      <c r="AC167" s="15"/>
      <c r="AD167" s="15"/>
      <c r="AE167" s="15"/>
      <c r="AF167" s="15"/>
      <c r="AG167" s="15"/>
      <c r="AH167" s="15"/>
      <c r="AI167" s="15"/>
      <c r="AJ167" s="15"/>
      <c r="AK167" s="95"/>
      <c r="AL167" s="95"/>
      <c r="AM167" s="93"/>
      <c r="AN167" s="3"/>
      <c r="AP167" s="28"/>
      <c r="AQ167" s="29"/>
    </row>
    <row r="168" spans="1:43" ht="26.85" customHeight="1" x14ac:dyDescent="0.45">
      <c r="A168" s="15"/>
      <c r="B168" s="15"/>
      <c r="C168" s="15"/>
      <c r="D168" s="95"/>
      <c r="E168" s="95"/>
      <c r="F168" s="15"/>
      <c r="G168" s="95"/>
      <c r="H168" s="15"/>
      <c r="I168" s="15" t="str">
        <f>IF($H168&lt;&gt;"",(VLOOKUP(H168,'Other Lists'!O:P,2,FALSE)),"")</f>
        <v/>
      </c>
      <c r="J168" s="15"/>
      <c r="K168" s="15"/>
      <c r="L168" s="15"/>
      <c r="M168" s="15"/>
      <c r="N168" s="40"/>
      <c r="O168" s="15"/>
      <c r="P168" s="26"/>
      <c r="Q168" s="15"/>
      <c r="R168" s="15"/>
      <c r="S168" s="15"/>
      <c r="T168" s="15"/>
      <c r="U168" s="15"/>
      <c r="V168" s="95"/>
      <c r="W168" s="95"/>
      <c r="X168" s="15"/>
      <c r="Y168" s="15"/>
      <c r="Z168" s="15" t="str">
        <f t="shared" si="5"/>
        <v/>
      </c>
      <c r="AA168" s="15"/>
      <c r="AB168" s="15" t="str">
        <f t="shared" si="6"/>
        <v/>
      </c>
      <c r="AC168" s="15"/>
      <c r="AD168" s="15"/>
      <c r="AE168" s="15"/>
      <c r="AF168" s="15"/>
      <c r="AG168" s="15"/>
      <c r="AH168" s="15"/>
      <c r="AI168" s="15"/>
      <c r="AJ168" s="15"/>
      <c r="AK168" s="95"/>
      <c r="AL168" s="95"/>
      <c r="AM168" s="93"/>
      <c r="AN168" s="3"/>
      <c r="AP168" s="28"/>
      <c r="AQ168" s="29"/>
    </row>
    <row r="169" spans="1:43" ht="26.85" customHeight="1" x14ac:dyDescent="0.45">
      <c r="A169" s="15"/>
      <c r="B169" s="15"/>
      <c r="C169" s="15"/>
      <c r="D169" s="95"/>
      <c r="E169" s="95"/>
      <c r="F169" s="15"/>
      <c r="G169" s="95"/>
      <c r="H169" s="15"/>
      <c r="I169" s="15" t="str">
        <f>IF($H169&lt;&gt;"",(VLOOKUP(H169,'Other Lists'!O:P,2,FALSE)),"")</f>
        <v/>
      </c>
      <c r="J169" s="15"/>
      <c r="K169" s="15"/>
      <c r="L169" s="15"/>
      <c r="M169" s="15"/>
      <c r="N169" s="40"/>
      <c r="O169" s="15"/>
      <c r="P169" s="26"/>
      <c r="Q169" s="15"/>
      <c r="R169" s="15"/>
      <c r="S169" s="15"/>
      <c r="T169" s="15"/>
      <c r="U169" s="15"/>
      <c r="V169" s="95"/>
      <c r="W169" s="95"/>
      <c r="X169" s="15"/>
      <c r="Y169" s="15"/>
      <c r="Z169" s="15" t="str">
        <f t="shared" si="5"/>
        <v/>
      </c>
      <c r="AA169" s="15"/>
      <c r="AB169" s="15" t="str">
        <f t="shared" si="6"/>
        <v/>
      </c>
      <c r="AC169" s="15"/>
      <c r="AD169" s="15"/>
      <c r="AE169" s="15"/>
      <c r="AF169" s="15"/>
      <c r="AG169" s="15"/>
      <c r="AH169" s="15"/>
      <c r="AI169" s="15"/>
      <c r="AJ169" s="15"/>
      <c r="AK169" s="95"/>
      <c r="AL169" s="95"/>
      <c r="AM169" s="93"/>
      <c r="AN169" s="3"/>
      <c r="AP169" s="28"/>
      <c r="AQ169" s="29"/>
    </row>
    <row r="170" spans="1:43" ht="26.85" customHeight="1" x14ac:dyDescent="0.45">
      <c r="A170" s="15"/>
      <c r="B170" s="15"/>
      <c r="C170" s="15"/>
      <c r="D170" s="95"/>
      <c r="E170" s="95"/>
      <c r="F170" s="15"/>
      <c r="G170" s="95"/>
      <c r="H170" s="15"/>
      <c r="I170" s="15" t="str">
        <f>IF($H170&lt;&gt;"",(VLOOKUP(H170,'Other Lists'!O:P,2,FALSE)),"")</f>
        <v/>
      </c>
      <c r="J170" s="15"/>
      <c r="K170" s="15"/>
      <c r="L170" s="15"/>
      <c r="M170" s="15"/>
      <c r="N170" s="40"/>
      <c r="O170" s="15"/>
      <c r="P170" s="26"/>
      <c r="Q170" s="15"/>
      <c r="R170" s="15"/>
      <c r="S170" s="15"/>
      <c r="T170" s="15"/>
      <c r="U170" s="15"/>
      <c r="V170" s="95"/>
      <c r="W170" s="95"/>
      <c r="X170" s="15"/>
      <c r="Y170" s="15"/>
      <c r="Z170" s="15" t="str">
        <f t="shared" si="5"/>
        <v/>
      </c>
      <c r="AA170" s="15"/>
      <c r="AB170" s="15" t="str">
        <f t="shared" si="6"/>
        <v/>
      </c>
      <c r="AC170" s="15"/>
      <c r="AD170" s="15"/>
      <c r="AE170" s="15"/>
      <c r="AF170" s="15"/>
      <c r="AG170" s="15"/>
      <c r="AH170" s="15"/>
      <c r="AI170" s="15"/>
      <c r="AJ170" s="15"/>
      <c r="AK170" s="95"/>
      <c r="AL170" s="95"/>
      <c r="AM170" s="93"/>
      <c r="AN170" s="3"/>
      <c r="AP170" s="28"/>
      <c r="AQ170" s="29"/>
    </row>
    <row r="171" spans="1:43" ht="26.85" customHeight="1" x14ac:dyDescent="0.45">
      <c r="A171" s="15"/>
      <c r="B171" s="15"/>
      <c r="C171" s="15"/>
      <c r="D171" s="95"/>
      <c r="E171" s="95"/>
      <c r="F171" s="15"/>
      <c r="G171" s="95"/>
      <c r="H171" s="15"/>
      <c r="I171" s="15" t="str">
        <f>IF($H171&lt;&gt;"",(VLOOKUP(H171,'Other Lists'!O:P,2,FALSE)),"")</f>
        <v/>
      </c>
      <c r="J171" s="15"/>
      <c r="K171" s="15"/>
      <c r="L171" s="15"/>
      <c r="M171" s="15"/>
      <c r="N171" s="40"/>
      <c r="O171" s="15"/>
      <c r="P171" s="26"/>
      <c r="Q171" s="15"/>
      <c r="R171" s="15"/>
      <c r="S171" s="15"/>
      <c r="T171" s="15"/>
      <c r="U171" s="15"/>
      <c r="V171" s="95"/>
      <c r="W171" s="95"/>
      <c r="X171" s="15"/>
      <c r="Y171" s="15"/>
      <c r="Z171" s="15" t="str">
        <f t="shared" si="5"/>
        <v/>
      </c>
      <c r="AA171" s="15"/>
      <c r="AB171" s="15" t="str">
        <f t="shared" si="6"/>
        <v/>
      </c>
      <c r="AC171" s="15"/>
      <c r="AD171" s="15"/>
      <c r="AE171" s="15"/>
      <c r="AF171" s="15"/>
      <c r="AG171" s="15"/>
      <c r="AH171" s="15"/>
      <c r="AI171" s="15"/>
      <c r="AJ171" s="15"/>
      <c r="AK171" s="95"/>
      <c r="AL171" s="95"/>
      <c r="AM171" s="93"/>
      <c r="AN171" s="3"/>
      <c r="AP171" s="28"/>
      <c r="AQ171" s="29"/>
    </row>
    <row r="172" spans="1:43" ht="26.85" customHeight="1" x14ac:dyDescent="0.45">
      <c r="A172" s="15"/>
      <c r="B172" s="15"/>
      <c r="C172" s="15"/>
      <c r="D172" s="95"/>
      <c r="E172" s="95"/>
      <c r="F172" s="15"/>
      <c r="G172" s="95"/>
      <c r="H172" s="15"/>
      <c r="I172" s="15" t="str">
        <f>IF($H172&lt;&gt;"",(VLOOKUP(H172,'Other Lists'!O:P,2,FALSE)),"")</f>
        <v/>
      </c>
      <c r="J172" s="15"/>
      <c r="K172" s="15"/>
      <c r="L172" s="15"/>
      <c r="M172" s="15"/>
      <c r="N172" s="40"/>
      <c r="O172" s="15"/>
      <c r="P172" s="26"/>
      <c r="Q172" s="15"/>
      <c r="R172" s="15"/>
      <c r="S172" s="15"/>
      <c r="T172" s="15"/>
      <c r="U172" s="15"/>
      <c r="V172" s="95"/>
      <c r="W172" s="95"/>
      <c r="X172" s="15"/>
      <c r="Y172" s="15"/>
      <c r="Z172" s="15" t="str">
        <f t="shared" si="5"/>
        <v/>
      </c>
      <c r="AA172" s="15"/>
      <c r="AB172" s="15" t="str">
        <f t="shared" si="6"/>
        <v/>
      </c>
      <c r="AC172" s="15"/>
      <c r="AD172" s="15"/>
      <c r="AE172" s="15"/>
      <c r="AF172" s="15"/>
      <c r="AG172" s="15"/>
      <c r="AH172" s="15"/>
      <c r="AI172" s="15"/>
      <c r="AJ172" s="15"/>
      <c r="AK172" s="95"/>
      <c r="AL172" s="95"/>
      <c r="AM172" s="93"/>
      <c r="AN172" s="3"/>
      <c r="AP172" s="28"/>
      <c r="AQ172" s="29"/>
    </row>
    <row r="173" spans="1:43" ht="26.85" customHeight="1" x14ac:dyDescent="0.45">
      <c r="A173" s="15"/>
      <c r="B173" s="15"/>
      <c r="C173" s="15"/>
      <c r="D173" s="95"/>
      <c r="E173" s="95"/>
      <c r="F173" s="15"/>
      <c r="G173" s="95"/>
      <c r="H173" s="15"/>
      <c r="I173" s="15" t="str">
        <f>IF($H173&lt;&gt;"",(VLOOKUP(H173,'Other Lists'!O:P,2,FALSE)),"")</f>
        <v/>
      </c>
      <c r="J173" s="15"/>
      <c r="K173" s="15"/>
      <c r="L173" s="15"/>
      <c r="M173" s="15"/>
      <c r="N173" s="40"/>
      <c r="O173" s="15"/>
      <c r="P173" s="26"/>
      <c r="Q173" s="15"/>
      <c r="R173" s="15"/>
      <c r="S173" s="15"/>
      <c r="T173" s="15"/>
      <c r="U173" s="15"/>
      <c r="V173" s="95"/>
      <c r="W173" s="95"/>
      <c r="X173" s="15"/>
      <c r="Y173" s="15"/>
      <c r="Z173" s="15" t="str">
        <f t="shared" si="5"/>
        <v/>
      </c>
      <c r="AA173" s="15"/>
      <c r="AB173" s="15" t="str">
        <f t="shared" si="6"/>
        <v/>
      </c>
      <c r="AC173" s="15"/>
      <c r="AD173" s="15"/>
      <c r="AE173" s="15"/>
      <c r="AF173" s="15"/>
      <c r="AG173" s="15"/>
      <c r="AH173" s="15"/>
      <c r="AI173" s="15"/>
      <c r="AJ173" s="15"/>
      <c r="AK173" s="95"/>
      <c r="AL173" s="95"/>
      <c r="AM173" s="93"/>
      <c r="AN173" s="3"/>
      <c r="AP173" s="28"/>
      <c r="AQ173" s="29"/>
    </row>
    <row r="174" spans="1:43" ht="26.85" customHeight="1" x14ac:dyDescent="0.45">
      <c r="A174" s="15"/>
      <c r="B174" s="15"/>
      <c r="C174" s="15"/>
      <c r="D174" s="95"/>
      <c r="E174" s="95"/>
      <c r="F174" s="15"/>
      <c r="G174" s="95"/>
      <c r="H174" s="15"/>
      <c r="I174" s="15" t="str">
        <f>IF($H174&lt;&gt;"",(VLOOKUP(H174,'Other Lists'!O:P,2,FALSE)),"")</f>
        <v/>
      </c>
      <c r="J174" s="15"/>
      <c r="K174" s="15"/>
      <c r="L174" s="15"/>
      <c r="M174" s="15"/>
      <c r="N174" s="40"/>
      <c r="O174" s="15"/>
      <c r="P174" s="26"/>
      <c r="Q174" s="15"/>
      <c r="R174" s="15"/>
      <c r="S174" s="15"/>
      <c r="T174" s="15"/>
      <c r="U174" s="15"/>
      <c r="V174" s="95"/>
      <c r="W174" s="95"/>
      <c r="X174" s="15"/>
      <c r="Y174" s="15"/>
      <c r="Z174" s="15" t="str">
        <f t="shared" si="5"/>
        <v/>
      </c>
      <c r="AA174" s="15"/>
      <c r="AB174" s="15" t="str">
        <f t="shared" si="6"/>
        <v/>
      </c>
      <c r="AC174" s="15"/>
      <c r="AD174" s="15"/>
      <c r="AE174" s="15"/>
      <c r="AF174" s="15"/>
      <c r="AG174" s="15"/>
      <c r="AH174" s="15"/>
      <c r="AI174" s="15"/>
      <c r="AJ174" s="15"/>
      <c r="AK174" s="95"/>
      <c r="AL174" s="95"/>
      <c r="AM174" s="93"/>
      <c r="AN174" s="3"/>
      <c r="AP174" s="28"/>
      <c r="AQ174" s="29"/>
    </row>
    <row r="175" spans="1:43" ht="26.85" customHeight="1" x14ac:dyDescent="0.45">
      <c r="A175" s="15"/>
      <c r="B175" s="15"/>
      <c r="C175" s="15"/>
      <c r="D175" s="95"/>
      <c r="E175" s="95"/>
      <c r="F175" s="15"/>
      <c r="G175" s="95"/>
      <c r="H175" s="15"/>
      <c r="I175" s="15" t="str">
        <f>IF($H175&lt;&gt;"",(VLOOKUP(H175,'Other Lists'!O:P,2,FALSE)),"")</f>
        <v/>
      </c>
      <c r="J175" s="15"/>
      <c r="K175" s="15"/>
      <c r="L175" s="15"/>
      <c r="M175" s="15"/>
      <c r="N175" s="40"/>
      <c r="O175" s="15"/>
      <c r="P175" s="26"/>
      <c r="Q175" s="15"/>
      <c r="R175" s="15"/>
      <c r="S175" s="15"/>
      <c r="T175" s="15"/>
      <c r="U175" s="15"/>
      <c r="V175" s="95"/>
      <c r="W175" s="95"/>
      <c r="X175" s="15"/>
      <c r="Y175" s="15"/>
      <c r="Z175" s="15" t="str">
        <f t="shared" si="5"/>
        <v/>
      </c>
      <c r="AA175" s="15"/>
      <c r="AB175" s="15" t="str">
        <f t="shared" si="6"/>
        <v/>
      </c>
      <c r="AC175" s="15"/>
      <c r="AD175" s="15"/>
      <c r="AE175" s="15"/>
      <c r="AF175" s="15"/>
      <c r="AG175" s="15"/>
      <c r="AH175" s="15"/>
      <c r="AI175" s="15"/>
      <c r="AJ175" s="15"/>
      <c r="AK175" s="95"/>
      <c r="AL175" s="95"/>
      <c r="AM175" s="93"/>
      <c r="AN175" s="3"/>
      <c r="AP175" s="28"/>
      <c r="AQ175" s="29"/>
    </row>
    <row r="176" spans="1:43" ht="26.85" customHeight="1" x14ac:dyDescent="0.45">
      <c r="A176" s="15"/>
      <c r="B176" s="15"/>
      <c r="C176" s="15"/>
      <c r="D176" s="95"/>
      <c r="E176" s="95"/>
      <c r="F176" s="15"/>
      <c r="G176" s="95"/>
      <c r="H176" s="15"/>
      <c r="I176" s="15" t="str">
        <f>IF($H176&lt;&gt;"",(VLOOKUP(H176,'Other Lists'!O:P,2,FALSE)),"")</f>
        <v/>
      </c>
      <c r="J176" s="15"/>
      <c r="K176" s="15"/>
      <c r="L176" s="15"/>
      <c r="M176" s="15"/>
      <c r="N176" s="40"/>
      <c r="O176" s="15"/>
      <c r="P176" s="26"/>
      <c r="Q176" s="15"/>
      <c r="R176" s="15"/>
      <c r="S176" s="15"/>
      <c r="T176" s="15"/>
      <c r="U176" s="15"/>
      <c r="V176" s="95"/>
      <c r="W176" s="95"/>
      <c r="X176" s="15"/>
      <c r="Y176" s="15"/>
      <c r="Z176" s="15" t="str">
        <f t="shared" si="5"/>
        <v/>
      </c>
      <c r="AA176" s="15"/>
      <c r="AB176" s="15" t="str">
        <f t="shared" si="6"/>
        <v/>
      </c>
      <c r="AC176" s="15"/>
      <c r="AD176" s="15"/>
      <c r="AE176" s="15"/>
      <c r="AF176" s="15"/>
      <c r="AG176" s="15"/>
      <c r="AH176" s="15"/>
      <c r="AI176" s="15"/>
      <c r="AJ176" s="15"/>
      <c r="AK176" s="95"/>
      <c r="AL176" s="95"/>
      <c r="AM176" s="93"/>
      <c r="AN176" s="3"/>
      <c r="AP176" s="28"/>
      <c r="AQ176" s="29"/>
    </row>
    <row r="177" spans="1:43" ht="26.85" customHeight="1" x14ac:dyDescent="0.45">
      <c r="A177" s="15"/>
      <c r="B177" s="15"/>
      <c r="C177" s="15"/>
      <c r="D177" s="95"/>
      <c r="E177" s="95"/>
      <c r="F177" s="15"/>
      <c r="G177" s="95"/>
      <c r="H177" s="15"/>
      <c r="I177" s="15" t="str">
        <f>IF($H177&lt;&gt;"",(VLOOKUP(H177,'Other Lists'!O:P,2,FALSE)),"")</f>
        <v/>
      </c>
      <c r="J177" s="15"/>
      <c r="K177" s="15"/>
      <c r="L177" s="15"/>
      <c r="M177" s="15"/>
      <c r="N177" s="40"/>
      <c r="O177" s="15"/>
      <c r="P177" s="26"/>
      <c r="Q177" s="15"/>
      <c r="R177" s="15"/>
      <c r="S177" s="15"/>
      <c r="T177" s="15"/>
      <c r="U177" s="15"/>
      <c r="V177" s="95"/>
      <c r="W177" s="95"/>
      <c r="X177" s="15"/>
      <c r="Y177" s="15"/>
      <c r="Z177" s="15" t="str">
        <f t="shared" si="5"/>
        <v/>
      </c>
      <c r="AA177" s="15"/>
      <c r="AB177" s="15" t="str">
        <f t="shared" si="6"/>
        <v/>
      </c>
      <c r="AC177" s="15"/>
      <c r="AD177" s="15"/>
      <c r="AE177" s="15"/>
      <c r="AF177" s="15"/>
      <c r="AG177" s="15"/>
      <c r="AH177" s="15"/>
      <c r="AI177" s="15"/>
      <c r="AJ177" s="15"/>
      <c r="AK177" s="95"/>
      <c r="AL177" s="95"/>
      <c r="AM177" s="93"/>
      <c r="AN177" s="3"/>
      <c r="AP177" s="28"/>
      <c r="AQ177" s="29"/>
    </row>
    <row r="178" spans="1:43" ht="26.85" customHeight="1" x14ac:dyDescent="0.45">
      <c r="A178" s="15"/>
      <c r="B178" s="15"/>
      <c r="C178" s="15"/>
      <c r="D178" s="95"/>
      <c r="E178" s="95"/>
      <c r="F178" s="15"/>
      <c r="G178" s="95"/>
      <c r="H178" s="15"/>
      <c r="I178" s="15" t="str">
        <f>IF($H178&lt;&gt;"",(VLOOKUP(H178,'Other Lists'!O:P,2,FALSE)),"")</f>
        <v/>
      </c>
      <c r="J178" s="15"/>
      <c r="K178" s="15"/>
      <c r="L178" s="15"/>
      <c r="M178" s="15"/>
      <c r="N178" s="40"/>
      <c r="O178" s="15"/>
      <c r="P178" s="26"/>
      <c r="Q178" s="15"/>
      <c r="R178" s="15"/>
      <c r="S178" s="15"/>
      <c r="T178" s="15"/>
      <c r="U178" s="15"/>
      <c r="V178" s="95"/>
      <c r="W178" s="95"/>
      <c r="X178" s="15"/>
      <c r="Y178" s="15"/>
      <c r="Z178" s="15" t="str">
        <f t="shared" si="5"/>
        <v/>
      </c>
      <c r="AA178" s="15"/>
      <c r="AB178" s="15" t="str">
        <f t="shared" si="6"/>
        <v/>
      </c>
      <c r="AC178" s="15"/>
      <c r="AD178" s="15"/>
      <c r="AE178" s="15"/>
      <c r="AF178" s="15"/>
      <c r="AG178" s="15"/>
      <c r="AH178" s="15"/>
      <c r="AI178" s="15"/>
      <c r="AJ178" s="15"/>
      <c r="AK178" s="95"/>
      <c r="AL178" s="95"/>
      <c r="AM178" s="93"/>
      <c r="AN178" s="3"/>
      <c r="AP178" s="28"/>
      <c r="AQ178" s="29"/>
    </row>
    <row r="179" spans="1:43" ht="26.85" customHeight="1" x14ac:dyDescent="0.45">
      <c r="A179" s="15"/>
      <c r="B179" s="15"/>
      <c r="C179" s="15"/>
      <c r="D179" s="95"/>
      <c r="E179" s="95"/>
      <c r="F179" s="15"/>
      <c r="G179" s="95"/>
      <c r="H179" s="15"/>
      <c r="I179" s="15" t="str">
        <f>IF($H179&lt;&gt;"",(VLOOKUP(H179,'Other Lists'!O:P,2,FALSE)),"")</f>
        <v/>
      </c>
      <c r="J179" s="15"/>
      <c r="K179" s="15"/>
      <c r="L179" s="15"/>
      <c r="M179" s="15"/>
      <c r="N179" s="40"/>
      <c r="O179" s="15"/>
      <c r="P179" s="26"/>
      <c r="Q179" s="15"/>
      <c r="R179" s="15"/>
      <c r="S179" s="15"/>
      <c r="T179" s="15"/>
      <c r="U179" s="15"/>
      <c r="V179" s="95"/>
      <c r="W179" s="95"/>
      <c r="X179" s="15"/>
      <c r="Y179" s="15"/>
      <c r="Z179" s="15" t="str">
        <f t="shared" si="5"/>
        <v/>
      </c>
      <c r="AA179" s="15"/>
      <c r="AB179" s="15" t="str">
        <f t="shared" si="6"/>
        <v/>
      </c>
      <c r="AC179" s="15"/>
      <c r="AD179" s="15"/>
      <c r="AE179" s="15"/>
      <c r="AF179" s="15"/>
      <c r="AG179" s="15"/>
      <c r="AH179" s="15"/>
      <c r="AI179" s="15"/>
      <c r="AJ179" s="15"/>
      <c r="AK179" s="95"/>
      <c r="AL179" s="95"/>
      <c r="AM179" s="93"/>
      <c r="AN179" s="3"/>
      <c r="AP179" s="28"/>
      <c r="AQ179" s="29"/>
    </row>
    <row r="180" spans="1:43" ht="26.85" customHeight="1" x14ac:dyDescent="0.45">
      <c r="A180" s="15"/>
      <c r="B180" s="15"/>
      <c r="C180" s="15"/>
      <c r="D180" s="95"/>
      <c r="E180" s="95"/>
      <c r="F180" s="15"/>
      <c r="G180" s="95"/>
      <c r="H180" s="15"/>
      <c r="I180" s="15" t="str">
        <f>IF($H180&lt;&gt;"",(VLOOKUP(H180,'Other Lists'!O:P,2,FALSE)),"")</f>
        <v/>
      </c>
      <c r="J180" s="15"/>
      <c r="K180" s="15"/>
      <c r="L180" s="15"/>
      <c r="M180" s="15"/>
      <c r="N180" s="40"/>
      <c r="O180" s="15"/>
      <c r="P180" s="26"/>
      <c r="Q180" s="15"/>
      <c r="R180" s="15"/>
      <c r="S180" s="15"/>
      <c r="T180" s="15"/>
      <c r="U180" s="15"/>
      <c r="V180" s="95"/>
      <c r="W180" s="95"/>
      <c r="X180" s="15"/>
      <c r="Y180" s="15"/>
      <c r="Z180" s="15" t="str">
        <f t="shared" si="5"/>
        <v/>
      </c>
      <c r="AA180" s="15"/>
      <c r="AB180" s="15" t="str">
        <f t="shared" si="6"/>
        <v/>
      </c>
      <c r="AC180" s="15"/>
      <c r="AD180" s="15"/>
      <c r="AE180" s="15"/>
      <c r="AF180" s="15"/>
      <c r="AG180" s="15"/>
      <c r="AH180" s="15"/>
      <c r="AI180" s="15"/>
      <c r="AJ180" s="15"/>
      <c r="AK180" s="95"/>
      <c r="AL180" s="95"/>
      <c r="AM180" s="93"/>
      <c r="AN180" s="3"/>
      <c r="AP180" s="28"/>
      <c r="AQ180" s="29"/>
    </row>
    <row r="181" spans="1:43" ht="26.85" customHeight="1" x14ac:dyDescent="0.45">
      <c r="A181" s="15"/>
      <c r="B181" s="15"/>
      <c r="C181" s="15"/>
      <c r="D181" s="95"/>
      <c r="E181" s="95"/>
      <c r="F181" s="15"/>
      <c r="G181" s="95"/>
      <c r="H181" s="15"/>
      <c r="I181" s="15" t="str">
        <f>IF($H181&lt;&gt;"",(VLOOKUP(H181,'Other Lists'!O:P,2,FALSE)),"")</f>
        <v/>
      </c>
      <c r="J181" s="15"/>
      <c r="K181" s="15"/>
      <c r="L181" s="15"/>
      <c r="M181" s="15"/>
      <c r="N181" s="40"/>
      <c r="O181" s="15"/>
      <c r="P181" s="26"/>
      <c r="Q181" s="15"/>
      <c r="R181" s="15"/>
      <c r="S181" s="15"/>
      <c r="T181" s="15"/>
      <c r="U181" s="15"/>
      <c r="V181" s="95"/>
      <c r="W181" s="95"/>
      <c r="X181" s="15"/>
      <c r="Y181" s="15"/>
      <c r="Z181" s="15" t="str">
        <f t="shared" ref="Z181:Z246" si="7">(SUBSTITUTE(SUBSTITUTE(SUBSTITUTE(SUBSTITUTE(SUBSTITUTE(SUBSTITUTE($Y181,",","_")," ","_"),"/","_"),"(","_"),")",""),"-","_"))</f>
        <v/>
      </c>
      <c r="AA181" s="15"/>
      <c r="AB181" s="15" t="str">
        <f t="shared" ref="AB181:AB244" si="8">(SUBSTITUTE(SUBSTITUTE(SUBSTITUTE(SUBSTITUTE(SUBSTITUTE(SUBSTITUTE($AA181,",","_")," ","_"),"/","_"),"(","_"),")",""),"_","_"))</f>
        <v/>
      </c>
      <c r="AC181" s="15"/>
      <c r="AD181" s="15"/>
      <c r="AE181" s="15"/>
      <c r="AF181" s="15"/>
      <c r="AG181" s="15"/>
      <c r="AH181" s="15"/>
      <c r="AI181" s="15"/>
      <c r="AJ181" s="15"/>
      <c r="AK181" s="95"/>
      <c r="AL181" s="95"/>
      <c r="AM181" s="93"/>
      <c r="AN181" s="3"/>
      <c r="AP181" s="28"/>
      <c r="AQ181" s="29"/>
    </row>
    <row r="182" spans="1:43" ht="26.85" customHeight="1" x14ac:dyDescent="0.45">
      <c r="A182" s="15"/>
      <c r="B182" s="15"/>
      <c r="C182" s="15"/>
      <c r="D182" s="95"/>
      <c r="E182" s="95"/>
      <c r="F182" s="15"/>
      <c r="G182" s="95"/>
      <c r="H182" s="15"/>
      <c r="I182" s="15" t="str">
        <f>IF($H182&lt;&gt;"",(VLOOKUP(H182,'Other Lists'!O:P,2,FALSE)),"")</f>
        <v/>
      </c>
      <c r="J182" s="15"/>
      <c r="K182" s="15"/>
      <c r="L182" s="15"/>
      <c r="M182" s="15"/>
      <c r="N182" s="40"/>
      <c r="O182" s="15"/>
      <c r="P182" s="26"/>
      <c r="Q182" s="15"/>
      <c r="R182" s="15"/>
      <c r="S182" s="15"/>
      <c r="T182" s="15"/>
      <c r="U182" s="15"/>
      <c r="V182" s="95"/>
      <c r="W182" s="95"/>
      <c r="X182" s="15"/>
      <c r="Y182" s="15"/>
      <c r="Z182" s="15" t="str">
        <f t="shared" si="7"/>
        <v/>
      </c>
      <c r="AA182" s="15"/>
      <c r="AB182" s="15" t="str">
        <f t="shared" si="8"/>
        <v/>
      </c>
      <c r="AC182" s="15"/>
      <c r="AD182" s="15"/>
      <c r="AE182" s="15"/>
      <c r="AF182" s="15"/>
      <c r="AG182" s="15"/>
      <c r="AH182" s="15"/>
      <c r="AI182" s="15"/>
      <c r="AJ182" s="15"/>
      <c r="AK182" s="95"/>
      <c r="AL182" s="95"/>
      <c r="AM182" s="93"/>
      <c r="AN182" s="3"/>
      <c r="AP182" s="28"/>
      <c r="AQ182" s="29"/>
    </row>
    <row r="183" spans="1:43" ht="26.85" customHeight="1" x14ac:dyDescent="0.45">
      <c r="A183" s="15"/>
      <c r="B183" s="15"/>
      <c r="C183" s="15"/>
      <c r="D183" s="95"/>
      <c r="E183" s="95"/>
      <c r="F183" s="15"/>
      <c r="G183" s="95"/>
      <c r="H183" s="15"/>
      <c r="I183" s="15" t="str">
        <f>IF($H183&lt;&gt;"",(VLOOKUP(H183,'Other Lists'!O:P,2,FALSE)),"")</f>
        <v/>
      </c>
      <c r="J183" s="15"/>
      <c r="K183" s="15"/>
      <c r="L183" s="15"/>
      <c r="M183" s="15"/>
      <c r="N183" s="40"/>
      <c r="O183" s="15"/>
      <c r="P183" s="26"/>
      <c r="Q183" s="15"/>
      <c r="R183" s="15"/>
      <c r="S183" s="15"/>
      <c r="T183" s="15"/>
      <c r="U183" s="15"/>
      <c r="V183" s="95"/>
      <c r="W183" s="95"/>
      <c r="X183" s="15"/>
      <c r="Y183" s="15"/>
      <c r="Z183" s="15" t="str">
        <f t="shared" si="7"/>
        <v/>
      </c>
      <c r="AA183" s="15"/>
      <c r="AB183" s="15" t="str">
        <f t="shared" si="8"/>
        <v/>
      </c>
      <c r="AC183" s="15"/>
      <c r="AD183" s="15"/>
      <c r="AE183" s="15"/>
      <c r="AF183" s="15"/>
      <c r="AG183" s="15"/>
      <c r="AH183" s="15"/>
      <c r="AI183" s="15"/>
      <c r="AJ183" s="15"/>
      <c r="AK183" s="95"/>
      <c r="AL183" s="95"/>
      <c r="AM183" s="93"/>
      <c r="AN183" s="3"/>
      <c r="AP183" s="28"/>
      <c r="AQ183" s="29"/>
    </row>
    <row r="184" spans="1:43" ht="26.85" customHeight="1" x14ac:dyDescent="0.45">
      <c r="A184" s="15"/>
      <c r="B184" s="15"/>
      <c r="C184" s="15"/>
      <c r="D184" s="95"/>
      <c r="E184" s="95"/>
      <c r="F184" s="15"/>
      <c r="G184" s="95"/>
      <c r="H184" s="15"/>
      <c r="I184" s="15" t="str">
        <f>IF($H184&lt;&gt;"",(VLOOKUP(H184,'Other Lists'!O:P,2,FALSE)),"")</f>
        <v/>
      </c>
      <c r="J184" s="15"/>
      <c r="K184" s="15"/>
      <c r="L184" s="15"/>
      <c r="M184" s="15"/>
      <c r="N184" s="40"/>
      <c r="O184" s="15"/>
      <c r="P184" s="26"/>
      <c r="Q184" s="15"/>
      <c r="R184" s="15"/>
      <c r="S184" s="15"/>
      <c r="T184" s="15"/>
      <c r="U184" s="15"/>
      <c r="V184" s="95"/>
      <c r="W184" s="95"/>
      <c r="X184" s="15"/>
      <c r="Y184" s="15"/>
      <c r="Z184" s="15" t="str">
        <f t="shared" si="7"/>
        <v/>
      </c>
      <c r="AA184" s="15"/>
      <c r="AB184" s="15" t="str">
        <f t="shared" si="8"/>
        <v/>
      </c>
      <c r="AC184" s="15"/>
      <c r="AD184" s="15"/>
      <c r="AE184" s="15"/>
      <c r="AF184" s="15"/>
      <c r="AG184" s="15"/>
      <c r="AH184" s="15"/>
      <c r="AI184" s="15"/>
      <c r="AJ184" s="15"/>
      <c r="AK184" s="95"/>
      <c r="AL184" s="95"/>
      <c r="AM184" s="93"/>
      <c r="AN184" s="3"/>
      <c r="AP184" s="28"/>
      <c r="AQ184" s="29"/>
    </row>
    <row r="185" spans="1:43" ht="26.85" customHeight="1" x14ac:dyDescent="0.45">
      <c r="A185" s="15"/>
      <c r="B185" s="15"/>
      <c r="C185" s="15"/>
      <c r="D185" s="95"/>
      <c r="E185" s="95"/>
      <c r="F185" s="15"/>
      <c r="G185" s="95"/>
      <c r="H185" s="15"/>
      <c r="I185" s="15" t="str">
        <f>IF($H185&lt;&gt;"",(VLOOKUP(H185,'Other Lists'!O:P,2,FALSE)),"")</f>
        <v/>
      </c>
      <c r="J185" s="15"/>
      <c r="K185" s="15"/>
      <c r="L185" s="15"/>
      <c r="M185" s="15"/>
      <c r="N185" s="40"/>
      <c r="O185" s="15"/>
      <c r="P185" s="26"/>
      <c r="Q185" s="15"/>
      <c r="R185" s="15"/>
      <c r="S185" s="15"/>
      <c r="T185" s="15"/>
      <c r="U185" s="15"/>
      <c r="V185" s="95"/>
      <c r="W185" s="95"/>
      <c r="X185" s="15"/>
      <c r="Y185" s="15"/>
      <c r="Z185" s="15" t="str">
        <f t="shared" si="7"/>
        <v/>
      </c>
      <c r="AA185" s="15"/>
      <c r="AB185" s="15" t="str">
        <f t="shared" si="8"/>
        <v/>
      </c>
      <c r="AC185" s="15"/>
      <c r="AD185" s="15"/>
      <c r="AE185" s="15"/>
      <c r="AF185" s="15"/>
      <c r="AG185" s="15"/>
      <c r="AH185" s="15"/>
      <c r="AI185" s="15"/>
      <c r="AJ185" s="15"/>
      <c r="AK185" s="95"/>
      <c r="AL185" s="95"/>
      <c r="AM185" s="93"/>
      <c r="AN185" s="3"/>
      <c r="AP185" s="28"/>
      <c r="AQ185" s="29"/>
    </row>
    <row r="186" spans="1:43" ht="26.85" customHeight="1" x14ac:dyDescent="0.45">
      <c r="A186" s="15"/>
      <c r="B186" s="15"/>
      <c r="C186" s="15"/>
      <c r="D186" s="95"/>
      <c r="E186" s="95"/>
      <c r="F186" s="15"/>
      <c r="G186" s="95"/>
      <c r="H186" s="15"/>
      <c r="I186" s="15" t="str">
        <f>IF($H186&lt;&gt;"",(VLOOKUP(H186,'Other Lists'!O:P,2,FALSE)),"")</f>
        <v/>
      </c>
      <c r="J186" s="15"/>
      <c r="K186" s="15"/>
      <c r="L186" s="15"/>
      <c r="M186" s="15"/>
      <c r="N186" s="40"/>
      <c r="O186" s="15"/>
      <c r="P186" s="26"/>
      <c r="Q186" s="15"/>
      <c r="R186" s="15"/>
      <c r="S186" s="15"/>
      <c r="T186" s="15"/>
      <c r="U186" s="15"/>
      <c r="V186" s="95"/>
      <c r="W186" s="95"/>
      <c r="X186" s="15"/>
      <c r="Y186" s="15"/>
      <c r="Z186" s="15" t="str">
        <f t="shared" si="7"/>
        <v/>
      </c>
      <c r="AA186" s="15"/>
      <c r="AB186" s="15" t="str">
        <f t="shared" si="8"/>
        <v/>
      </c>
      <c r="AC186" s="15"/>
      <c r="AD186" s="15"/>
      <c r="AE186" s="15"/>
      <c r="AF186" s="15"/>
      <c r="AG186" s="15"/>
      <c r="AH186" s="15"/>
      <c r="AI186" s="15"/>
      <c r="AJ186" s="15"/>
      <c r="AK186" s="95"/>
      <c r="AL186" s="95"/>
      <c r="AM186" s="93"/>
      <c r="AN186" s="3"/>
      <c r="AP186" s="28"/>
      <c r="AQ186" s="29"/>
    </row>
    <row r="187" spans="1:43" ht="26.85" customHeight="1" x14ac:dyDescent="0.45">
      <c r="A187" s="15"/>
      <c r="B187" s="15"/>
      <c r="C187" s="15"/>
      <c r="D187" s="95"/>
      <c r="E187" s="95"/>
      <c r="F187" s="15"/>
      <c r="G187" s="95"/>
      <c r="H187" s="15"/>
      <c r="I187" s="15" t="str">
        <f>IF($H187&lt;&gt;"",(VLOOKUP(H187,'Other Lists'!O:P,2,FALSE)),"")</f>
        <v/>
      </c>
      <c r="J187" s="15"/>
      <c r="K187" s="15"/>
      <c r="L187" s="15"/>
      <c r="M187" s="15"/>
      <c r="N187" s="40"/>
      <c r="O187" s="15"/>
      <c r="P187" s="26"/>
      <c r="Q187" s="15"/>
      <c r="R187" s="15"/>
      <c r="S187" s="15"/>
      <c r="T187" s="15"/>
      <c r="U187" s="15"/>
      <c r="V187" s="95"/>
      <c r="W187" s="95"/>
      <c r="X187" s="15"/>
      <c r="Y187" s="15"/>
      <c r="Z187" s="15" t="str">
        <f t="shared" si="7"/>
        <v/>
      </c>
      <c r="AA187" s="15"/>
      <c r="AB187" s="15" t="str">
        <f t="shared" si="8"/>
        <v/>
      </c>
      <c r="AC187" s="15"/>
      <c r="AD187" s="15"/>
      <c r="AE187" s="15"/>
      <c r="AF187" s="15"/>
      <c r="AG187" s="15"/>
      <c r="AH187" s="15"/>
      <c r="AI187" s="15"/>
      <c r="AJ187" s="15"/>
      <c r="AK187" s="95"/>
      <c r="AL187" s="95"/>
      <c r="AM187" s="93"/>
      <c r="AN187" s="3"/>
      <c r="AP187" s="28"/>
      <c r="AQ187" s="29"/>
    </row>
    <row r="188" spans="1:43" ht="26.85" customHeight="1" x14ac:dyDescent="0.45">
      <c r="A188" s="15"/>
      <c r="B188" s="15"/>
      <c r="C188" s="15"/>
      <c r="D188" s="95"/>
      <c r="E188" s="95"/>
      <c r="F188" s="15"/>
      <c r="G188" s="95"/>
      <c r="H188" s="15"/>
      <c r="I188" s="15" t="str">
        <f>IF($H188&lt;&gt;"",(VLOOKUP(H188,'Other Lists'!O:P,2,FALSE)),"")</f>
        <v/>
      </c>
      <c r="J188" s="15"/>
      <c r="K188" s="15"/>
      <c r="L188" s="15"/>
      <c r="M188" s="15"/>
      <c r="N188" s="40"/>
      <c r="O188" s="15"/>
      <c r="P188" s="26"/>
      <c r="Q188" s="15"/>
      <c r="R188" s="15"/>
      <c r="S188" s="15"/>
      <c r="T188" s="15"/>
      <c r="U188" s="15"/>
      <c r="V188" s="95"/>
      <c r="W188" s="95"/>
      <c r="X188" s="15"/>
      <c r="Y188" s="15"/>
      <c r="Z188" s="15" t="str">
        <f t="shared" si="7"/>
        <v/>
      </c>
      <c r="AA188" s="15"/>
      <c r="AB188" s="15" t="str">
        <f t="shared" si="8"/>
        <v/>
      </c>
      <c r="AC188" s="15"/>
      <c r="AD188" s="15"/>
      <c r="AE188" s="15"/>
      <c r="AF188" s="15"/>
      <c r="AG188" s="15"/>
      <c r="AH188" s="15"/>
      <c r="AI188" s="15"/>
      <c r="AJ188" s="15"/>
      <c r="AK188" s="95"/>
      <c r="AL188" s="95"/>
      <c r="AM188" s="93"/>
      <c r="AN188" s="3"/>
      <c r="AP188" s="28"/>
      <c r="AQ188" s="29"/>
    </row>
    <row r="189" spans="1:43" ht="26.85" customHeight="1" x14ac:dyDescent="0.45">
      <c r="A189" s="15"/>
      <c r="B189" s="15"/>
      <c r="C189" s="15"/>
      <c r="D189" s="95"/>
      <c r="E189" s="95"/>
      <c r="F189" s="15"/>
      <c r="G189" s="95"/>
      <c r="H189" s="15"/>
      <c r="I189" s="15" t="str">
        <f>IF($H189&lt;&gt;"",(VLOOKUP(H189,'Other Lists'!O:P,2,FALSE)),"")</f>
        <v/>
      </c>
      <c r="J189" s="15"/>
      <c r="K189" s="15"/>
      <c r="L189" s="15"/>
      <c r="M189" s="15"/>
      <c r="N189" s="40"/>
      <c r="O189" s="15"/>
      <c r="P189" s="26"/>
      <c r="Q189" s="15"/>
      <c r="R189" s="15"/>
      <c r="S189" s="15"/>
      <c r="T189" s="15"/>
      <c r="U189" s="15"/>
      <c r="V189" s="95"/>
      <c r="W189" s="95"/>
      <c r="X189" s="15"/>
      <c r="Y189" s="15"/>
      <c r="Z189" s="15" t="str">
        <f t="shared" si="7"/>
        <v/>
      </c>
      <c r="AA189" s="15"/>
      <c r="AB189" s="15" t="str">
        <f t="shared" si="8"/>
        <v/>
      </c>
      <c r="AC189" s="15"/>
      <c r="AD189" s="15"/>
      <c r="AE189" s="15"/>
      <c r="AF189" s="15"/>
      <c r="AG189" s="15"/>
      <c r="AH189" s="15"/>
      <c r="AI189" s="15"/>
      <c r="AJ189" s="15"/>
      <c r="AK189" s="95"/>
      <c r="AL189" s="95"/>
      <c r="AM189" s="93"/>
      <c r="AN189" s="3"/>
      <c r="AP189" s="28"/>
      <c r="AQ189" s="29"/>
    </row>
    <row r="190" spans="1:43" ht="26.85" customHeight="1" x14ac:dyDescent="0.45">
      <c r="A190" s="15"/>
      <c r="B190" s="15"/>
      <c r="C190" s="15"/>
      <c r="D190" s="95"/>
      <c r="E190" s="95"/>
      <c r="F190" s="15"/>
      <c r="G190" s="95"/>
      <c r="H190" s="15"/>
      <c r="I190" s="15" t="str">
        <f>IF($H190&lt;&gt;"",(VLOOKUP(H190,'Other Lists'!O:P,2,FALSE)),"")</f>
        <v/>
      </c>
      <c r="J190" s="15"/>
      <c r="K190" s="15"/>
      <c r="L190" s="15"/>
      <c r="M190" s="15"/>
      <c r="N190" s="40"/>
      <c r="O190" s="15"/>
      <c r="P190" s="26"/>
      <c r="Q190" s="15"/>
      <c r="R190" s="15"/>
      <c r="S190" s="15"/>
      <c r="T190" s="15"/>
      <c r="U190" s="15"/>
      <c r="V190" s="95"/>
      <c r="W190" s="95"/>
      <c r="X190" s="15"/>
      <c r="Y190" s="15"/>
      <c r="Z190" s="15" t="str">
        <f t="shared" si="7"/>
        <v/>
      </c>
      <c r="AA190" s="15"/>
      <c r="AB190" s="15" t="str">
        <f t="shared" si="8"/>
        <v/>
      </c>
      <c r="AC190" s="15"/>
      <c r="AD190" s="15"/>
      <c r="AE190" s="15"/>
      <c r="AF190" s="15"/>
      <c r="AG190" s="15"/>
      <c r="AH190" s="15"/>
      <c r="AI190" s="15"/>
      <c r="AJ190" s="15"/>
      <c r="AK190" s="95"/>
      <c r="AL190" s="95"/>
      <c r="AM190" s="93"/>
      <c r="AN190" s="3"/>
      <c r="AP190" s="28"/>
      <c r="AQ190" s="29"/>
    </row>
    <row r="191" spans="1:43" ht="26.85" customHeight="1" x14ac:dyDescent="0.45">
      <c r="A191" s="15"/>
      <c r="B191" s="15"/>
      <c r="C191" s="15"/>
      <c r="D191" s="95"/>
      <c r="E191" s="95"/>
      <c r="F191" s="15"/>
      <c r="G191" s="95"/>
      <c r="H191" s="15"/>
      <c r="I191" s="15" t="str">
        <f>IF($H191&lt;&gt;"",(VLOOKUP(H191,'Other Lists'!O:P,2,FALSE)),"")</f>
        <v/>
      </c>
      <c r="J191" s="15"/>
      <c r="K191" s="15"/>
      <c r="L191" s="15"/>
      <c r="M191" s="15"/>
      <c r="N191" s="40"/>
      <c r="O191" s="15"/>
      <c r="P191" s="26"/>
      <c r="Q191" s="15"/>
      <c r="R191" s="15"/>
      <c r="S191" s="15"/>
      <c r="T191" s="15"/>
      <c r="U191" s="15"/>
      <c r="V191" s="95"/>
      <c r="W191" s="95"/>
      <c r="X191" s="15"/>
      <c r="Y191" s="15"/>
      <c r="Z191" s="15" t="str">
        <f t="shared" si="7"/>
        <v/>
      </c>
      <c r="AA191" s="15"/>
      <c r="AB191" s="15" t="str">
        <f t="shared" si="8"/>
        <v/>
      </c>
      <c r="AC191" s="15"/>
      <c r="AD191" s="15"/>
      <c r="AE191" s="15"/>
      <c r="AF191" s="15"/>
      <c r="AG191" s="15"/>
      <c r="AH191" s="15"/>
      <c r="AI191" s="15"/>
      <c r="AJ191" s="15"/>
      <c r="AK191" s="95"/>
      <c r="AL191" s="95"/>
      <c r="AM191" s="93"/>
      <c r="AN191" s="3"/>
      <c r="AP191" s="28"/>
      <c r="AQ191" s="29"/>
    </row>
    <row r="192" spans="1:43" ht="26.85" customHeight="1" x14ac:dyDescent="0.45">
      <c r="A192" s="15"/>
      <c r="B192" s="15"/>
      <c r="C192" s="15"/>
      <c r="D192" s="95"/>
      <c r="E192" s="95"/>
      <c r="F192" s="15"/>
      <c r="G192" s="95"/>
      <c r="H192" s="15"/>
      <c r="I192" s="15" t="str">
        <f>IF($H192&lt;&gt;"",(VLOOKUP(H192,'Other Lists'!O:P,2,FALSE)),"")</f>
        <v/>
      </c>
      <c r="J192" s="15"/>
      <c r="K192" s="15"/>
      <c r="L192" s="15"/>
      <c r="M192" s="15"/>
      <c r="N192" s="40"/>
      <c r="O192" s="15"/>
      <c r="P192" s="26"/>
      <c r="Q192" s="15"/>
      <c r="R192" s="15"/>
      <c r="S192" s="15"/>
      <c r="T192" s="15"/>
      <c r="U192" s="15"/>
      <c r="V192" s="95"/>
      <c r="W192" s="95"/>
      <c r="X192" s="15"/>
      <c r="Y192" s="15"/>
      <c r="Z192" s="15" t="str">
        <f t="shared" si="7"/>
        <v/>
      </c>
      <c r="AA192" s="15"/>
      <c r="AB192" s="15" t="str">
        <f t="shared" si="8"/>
        <v/>
      </c>
      <c r="AC192" s="15"/>
      <c r="AD192" s="15"/>
      <c r="AE192" s="15"/>
      <c r="AF192" s="15"/>
      <c r="AG192" s="15"/>
      <c r="AH192" s="15"/>
      <c r="AI192" s="15"/>
      <c r="AJ192" s="15"/>
      <c r="AK192" s="95"/>
      <c r="AL192" s="95"/>
      <c r="AM192" s="93"/>
      <c r="AN192" s="3"/>
      <c r="AP192" s="28"/>
      <c r="AQ192" s="29"/>
    </row>
    <row r="193" spans="1:43" ht="26.85" customHeight="1" x14ac:dyDescent="0.45">
      <c r="A193" s="15"/>
      <c r="B193" s="15"/>
      <c r="C193" s="15"/>
      <c r="D193" s="95"/>
      <c r="E193" s="95"/>
      <c r="F193" s="15"/>
      <c r="G193" s="95"/>
      <c r="H193" s="15"/>
      <c r="I193" s="15" t="str">
        <f>IF($H193&lt;&gt;"",(VLOOKUP(H193,'Other Lists'!O:P,2,FALSE)),"")</f>
        <v/>
      </c>
      <c r="J193" s="15"/>
      <c r="K193" s="15"/>
      <c r="L193" s="15"/>
      <c r="M193" s="15"/>
      <c r="N193" s="40"/>
      <c r="O193" s="15"/>
      <c r="P193" s="26"/>
      <c r="Q193" s="15"/>
      <c r="R193" s="15"/>
      <c r="S193" s="15"/>
      <c r="T193" s="15"/>
      <c r="U193" s="15"/>
      <c r="V193" s="95"/>
      <c r="W193" s="95"/>
      <c r="X193" s="15"/>
      <c r="Y193" s="15"/>
      <c r="Z193" s="15" t="str">
        <f t="shared" si="7"/>
        <v/>
      </c>
      <c r="AA193" s="15"/>
      <c r="AB193" s="15" t="str">
        <f t="shared" si="8"/>
        <v/>
      </c>
      <c r="AC193" s="15"/>
      <c r="AD193" s="15"/>
      <c r="AE193" s="15"/>
      <c r="AF193" s="15"/>
      <c r="AG193" s="15"/>
      <c r="AH193" s="15"/>
      <c r="AI193" s="15"/>
      <c r="AJ193" s="15"/>
      <c r="AK193" s="95"/>
      <c r="AL193" s="95"/>
      <c r="AM193" s="93"/>
      <c r="AN193" s="3"/>
      <c r="AP193" s="28"/>
      <c r="AQ193" s="29"/>
    </row>
    <row r="194" spans="1:43" ht="26.85" customHeight="1" x14ac:dyDescent="0.45">
      <c r="A194" s="15"/>
      <c r="B194" s="15"/>
      <c r="C194" s="15"/>
      <c r="D194" s="95"/>
      <c r="E194" s="95"/>
      <c r="F194" s="15"/>
      <c r="G194" s="95"/>
      <c r="H194" s="15"/>
      <c r="I194" s="15" t="str">
        <f>IF($H194&lt;&gt;"",(VLOOKUP(H194,'Other Lists'!O:P,2,FALSE)),"")</f>
        <v/>
      </c>
      <c r="J194" s="15"/>
      <c r="K194" s="15"/>
      <c r="L194" s="15"/>
      <c r="M194" s="15"/>
      <c r="N194" s="40"/>
      <c r="O194" s="15"/>
      <c r="P194" s="26"/>
      <c r="Q194" s="15"/>
      <c r="R194" s="15"/>
      <c r="S194" s="15"/>
      <c r="T194" s="15"/>
      <c r="U194" s="15"/>
      <c r="V194" s="95"/>
      <c r="W194" s="95"/>
      <c r="X194" s="15"/>
      <c r="Y194" s="15"/>
      <c r="Z194" s="15" t="str">
        <f t="shared" si="7"/>
        <v/>
      </c>
      <c r="AA194" s="15"/>
      <c r="AB194" s="15" t="str">
        <f t="shared" si="8"/>
        <v/>
      </c>
      <c r="AC194" s="15"/>
      <c r="AD194" s="15"/>
      <c r="AE194" s="15"/>
      <c r="AF194" s="15"/>
      <c r="AG194" s="15"/>
      <c r="AH194" s="15"/>
      <c r="AI194" s="15"/>
      <c r="AJ194" s="15"/>
      <c r="AK194" s="95"/>
      <c r="AL194" s="95"/>
      <c r="AM194" s="93"/>
      <c r="AN194" s="3"/>
      <c r="AP194" s="28"/>
      <c r="AQ194" s="29"/>
    </row>
    <row r="195" spans="1:43" ht="26.85" customHeight="1" x14ac:dyDescent="0.45">
      <c r="A195" s="15"/>
      <c r="B195" s="15"/>
      <c r="C195" s="15"/>
      <c r="D195" s="95"/>
      <c r="E195" s="95"/>
      <c r="F195" s="15"/>
      <c r="G195" s="95"/>
      <c r="H195" s="15"/>
      <c r="I195" s="15" t="str">
        <f>IF($H195&lt;&gt;"",(VLOOKUP(H195,'Other Lists'!O:P,2,FALSE)),"")</f>
        <v/>
      </c>
      <c r="J195" s="15"/>
      <c r="K195" s="15"/>
      <c r="L195" s="15"/>
      <c r="M195" s="15"/>
      <c r="N195" s="40"/>
      <c r="O195" s="15"/>
      <c r="P195" s="26"/>
      <c r="Q195" s="15"/>
      <c r="R195" s="15"/>
      <c r="S195" s="15"/>
      <c r="T195" s="15"/>
      <c r="U195" s="15"/>
      <c r="V195" s="95"/>
      <c r="W195" s="95"/>
      <c r="X195" s="15"/>
      <c r="Y195" s="15"/>
      <c r="Z195" s="15" t="str">
        <f t="shared" si="7"/>
        <v/>
      </c>
      <c r="AA195" s="15"/>
      <c r="AB195" s="15" t="str">
        <f t="shared" si="8"/>
        <v/>
      </c>
      <c r="AC195" s="15"/>
      <c r="AD195" s="15"/>
      <c r="AE195" s="15"/>
      <c r="AF195" s="15"/>
      <c r="AG195" s="15"/>
      <c r="AH195" s="15"/>
      <c r="AI195" s="15"/>
      <c r="AJ195" s="15"/>
      <c r="AK195" s="95"/>
      <c r="AL195" s="95"/>
      <c r="AM195" s="93"/>
      <c r="AN195" s="3"/>
      <c r="AP195" s="28"/>
      <c r="AQ195" s="29"/>
    </row>
    <row r="196" spans="1:43" ht="26.85" customHeight="1" x14ac:dyDescent="0.45">
      <c r="A196" s="15"/>
      <c r="B196" s="15"/>
      <c r="C196" s="15"/>
      <c r="D196" s="95"/>
      <c r="E196" s="95"/>
      <c r="F196" s="15"/>
      <c r="G196" s="95"/>
      <c r="H196" s="15"/>
      <c r="I196" s="15" t="str">
        <f>IF($H196&lt;&gt;"",(VLOOKUP(H196,'Other Lists'!O:P,2,FALSE)),"")</f>
        <v/>
      </c>
      <c r="J196" s="15"/>
      <c r="K196" s="15"/>
      <c r="L196" s="15"/>
      <c r="M196" s="15"/>
      <c r="N196" s="40"/>
      <c r="O196" s="15"/>
      <c r="P196" s="26"/>
      <c r="Q196" s="15"/>
      <c r="R196" s="15"/>
      <c r="S196" s="15"/>
      <c r="T196" s="15"/>
      <c r="U196" s="15"/>
      <c r="V196" s="95"/>
      <c r="W196" s="95"/>
      <c r="X196" s="15"/>
      <c r="Y196" s="15"/>
      <c r="Z196" s="15" t="str">
        <f t="shared" si="7"/>
        <v/>
      </c>
      <c r="AA196" s="15"/>
      <c r="AB196" s="15" t="str">
        <f t="shared" si="8"/>
        <v/>
      </c>
      <c r="AC196" s="15"/>
      <c r="AD196" s="15"/>
      <c r="AE196" s="15"/>
      <c r="AF196" s="15"/>
      <c r="AG196" s="15"/>
      <c r="AH196" s="15"/>
      <c r="AI196" s="15"/>
      <c r="AJ196" s="15"/>
      <c r="AK196" s="95"/>
      <c r="AL196" s="95"/>
      <c r="AM196" s="93"/>
      <c r="AN196" s="3"/>
      <c r="AP196" s="28"/>
      <c r="AQ196" s="29"/>
    </row>
    <row r="197" spans="1:43" ht="26.85" customHeight="1" x14ac:dyDescent="0.45">
      <c r="A197" s="15"/>
      <c r="B197" s="15"/>
      <c r="C197" s="15"/>
      <c r="D197" s="95"/>
      <c r="E197" s="95"/>
      <c r="F197" s="15"/>
      <c r="G197" s="95"/>
      <c r="H197" s="15"/>
      <c r="I197" s="15" t="str">
        <f>IF($H197&lt;&gt;"",(VLOOKUP(H197,'Other Lists'!O:P,2,FALSE)),"")</f>
        <v/>
      </c>
      <c r="J197" s="15"/>
      <c r="K197" s="15"/>
      <c r="L197" s="15"/>
      <c r="M197" s="15"/>
      <c r="N197" s="40"/>
      <c r="O197" s="15"/>
      <c r="P197" s="26"/>
      <c r="Q197" s="15"/>
      <c r="R197" s="15"/>
      <c r="S197" s="15"/>
      <c r="T197" s="15"/>
      <c r="U197" s="15"/>
      <c r="V197" s="95"/>
      <c r="W197" s="95"/>
      <c r="X197" s="15"/>
      <c r="Y197" s="15"/>
      <c r="Z197" s="15" t="str">
        <f t="shared" si="7"/>
        <v/>
      </c>
      <c r="AA197" s="15"/>
      <c r="AB197" s="15" t="str">
        <f t="shared" si="8"/>
        <v/>
      </c>
      <c r="AC197" s="15"/>
      <c r="AD197" s="15"/>
      <c r="AE197" s="15"/>
      <c r="AF197" s="15"/>
      <c r="AG197" s="15"/>
      <c r="AH197" s="15"/>
      <c r="AI197" s="15"/>
      <c r="AJ197" s="15"/>
      <c r="AK197" s="95"/>
      <c r="AL197" s="95"/>
      <c r="AM197" s="93"/>
      <c r="AN197" s="3"/>
      <c r="AP197" s="28"/>
      <c r="AQ197" s="29"/>
    </row>
    <row r="198" spans="1:43" ht="26.85" customHeight="1" x14ac:dyDescent="0.45">
      <c r="A198" s="15"/>
      <c r="B198" s="15"/>
      <c r="C198" s="15"/>
      <c r="D198" s="95"/>
      <c r="E198" s="95"/>
      <c r="F198" s="15"/>
      <c r="G198" s="95"/>
      <c r="H198" s="15"/>
      <c r="I198" s="15" t="str">
        <f>IF($H198&lt;&gt;"",(VLOOKUP(H198,'Other Lists'!O:P,2,FALSE)),"")</f>
        <v/>
      </c>
      <c r="J198" s="15"/>
      <c r="K198" s="15"/>
      <c r="L198" s="15"/>
      <c r="M198" s="15"/>
      <c r="N198" s="40"/>
      <c r="O198" s="15"/>
      <c r="P198" s="26"/>
      <c r="Q198" s="15"/>
      <c r="R198" s="15"/>
      <c r="S198" s="15"/>
      <c r="T198" s="15"/>
      <c r="U198" s="15"/>
      <c r="V198" s="95"/>
      <c r="W198" s="95"/>
      <c r="X198" s="15"/>
      <c r="Y198" s="15"/>
      <c r="Z198" s="15" t="str">
        <f t="shared" si="7"/>
        <v/>
      </c>
      <c r="AA198" s="15"/>
      <c r="AB198" s="15" t="str">
        <f t="shared" si="8"/>
        <v/>
      </c>
      <c r="AC198" s="15"/>
      <c r="AD198" s="15"/>
      <c r="AE198" s="15"/>
      <c r="AF198" s="15"/>
      <c r="AG198" s="15"/>
      <c r="AH198" s="15"/>
      <c r="AI198" s="15"/>
      <c r="AJ198" s="15"/>
      <c r="AK198" s="95"/>
      <c r="AL198" s="95"/>
      <c r="AM198" s="93"/>
      <c r="AN198" s="3"/>
      <c r="AP198" s="28"/>
      <c r="AQ198" s="29"/>
    </row>
    <row r="199" spans="1:43" ht="26.85" customHeight="1" x14ac:dyDescent="0.45">
      <c r="A199" s="15"/>
      <c r="B199" s="15"/>
      <c r="C199" s="15"/>
      <c r="D199" s="95"/>
      <c r="E199" s="95"/>
      <c r="F199" s="15"/>
      <c r="G199" s="95"/>
      <c r="H199" s="15"/>
      <c r="I199" s="15" t="str">
        <f>IF($H199&lt;&gt;"",(VLOOKUP(H199,'Other Lists'!O:P,2,FALSE)),"")</f>
        <v/>
      </c>
      <c r="J199" s="15"/>
      <c r="K199" s="15"/>
      <c r="L199" s="15"/>
      <c r="M199" s="15"/>
      <c r="N199" s="40"/>
      <c r="O199" s="15"/>
      <c r="P199" s="26"/>
      <c r="Q199" s="15"/>
      <c r="R199" s="15"/>
      <c r="S199" s="15"/>
      <c r="T199" s="15"/>
      <c r="U199" s="15"/>
      <c r="V199" s="95"/>
      <c r="W199" s="95"/>
      <c r="X199" s="15"/>
      <c r="Y199" s="15"/>
      <c r="Z199" s="15" t="str">
        <f t="shared" si="7"/>
        <v/>
      </c>
      <c r="AA199" s="15"/>
      <c r="AB199" s="15" t="str">
        <f t="shared" si="8"/>
        <v/>
      </c>
      <c r="AC199" s="15"/>
      <c r="AD199" s="15"/>
      <c r="AE199" s="15"/>
      <c r="AF199" s="15"/>
      <c r="AG199" s="15"/>
      <c r="AH199" s="15"/>
      <c r="AI199" s="15"/>
      <c r="AJ199" s="15"/>
      <c r="AK199" s="95"/>
      <c r="AL199" s="95"/>
      <c r="AM199" s="93"/>
      <c r="AN199" s="3"/>
      <c r="AP199" s="28"/>
      <c r="AQ199" s="29"/>
    </row>
    <row r="200" spans="1:43" ht="26.85" customHeight="1" x14ac:dyDescent="0.45">
      <c r="A200" s="15"/>
      <c r="B200" s="15"/>
      <c r="C200" s="15"/>
      <c r="D200" s="95"/>
      <c r="E200" s="95"/>
      <c r="F200" s="15"/>
      <c r="G200" s="95"/>
      <c r="H200" s="15"/>
      <c r="I200" s="15" t="str">
        <f>IF($H200&lt;&gt;"",(VLOOKUP(H200,'Other Lists'!O:P,2,FALSE)),"")</f>
        <v/>
      </c>
      <c r="J200" s="15"/>
      <c r="K200" s="15"/>
      <c r="L200" s="15"/>
      <c r="M200" s="15"/>
      <c r="N200" s="40"/>
      <c r="O200" s="15"/>
      <c r="P200" s="26"/>
      <c r="Q200" s="15"/>
      <c r="R200" s="15"/>
      <c r="S200" s="15"/>
      <c r="T200" s="15"/>
      <c r="U200" s="15"/>
      <c r="V200" s="95"/>
      <c r="W200" s="95"/>
      <c r="X200" s="15"/>
      <c r="Y200" s="15"/>
      <c r="Z200" s="15" t="str">
        <f t="shared" si="7"/>
        <v/>
      </c>
      <c r="AA200" s="15"/>
      <c r="AB200" s="15" t="str">
        <f t="shared" si="8"/>
        <v/>
      </c>
      <c r="AC200" s="15"/>
      <c r="AD200" s="15"/>
      <c r="AE200" s="15"/>
      <c r="AF200" s="15"/>
      <c r="AG200" s="15"/>
      <c r="AH200" s="15"/>
      <c r="AI200" s="15"/>
      <c r="AJ200" s="15"/>
      <c r="AK200" s="95"/>
      <c r="AL200" s="95"/>
      <c r="AM200" s="93"/>
      <c r="AN200" s="3"/>
      <c r="AP200" s="28"/>
      <c r="AQ200" s="29"/>
    </row>
    <row r="201" spans="1:43" ht="26.85" customHeight="1" x14ac:dyDescent="0.45">
      <c r="A201" s="15"/>
      <c r="B201" s="15"/>
      <c r="C201" s="15"/>
      <c r="D201" s="95"/>
      <c r="E201" s="95"/>
      <c r="F201" s="15"/>
      <c r="G201" s="95"/>
      <c r="H201" s="15"/>
      <c r="I201" s="15" t="str">
        <f>IF($H201&lt;&gt;"",(VLOOKUP(H201,'Other Lists'!O:P,2,FALSE)),"")</f>
        <v/>
      </c>
      <c r="J201" s="15"/>
      <c r="K201" s="15"/>
      <c r="L201" s="15"/>
      <c r="M201" s="15"/>
      <c r="N201" s="40"/>
      <c r="O201" s="15"/>
      <c r="P201" s="26"/>
      <c r="Q201" s="15"/>
      <c r="R201" s="15"/>
      <c r="S201" s="15"/>
      <c r="T201" s="15"/>
      <c r="U201" s="15"/>
      <c r="V201" s="95"/>
      <c r="W201" s="95"/>
      <c r="X201" s="15"/>
      <c r="Y201" s="15"/>
      <c r="Z201" s="15" t="str">
        <f t="shared" si="7"/>
        <v/>
      </c>
      <c r="AA201" s="15"/>
      <c r="AB201" s="15" t="str">
        <f t="shared" si="8"/>
        <v/>
      </c>
      <c r="AC201" s="15"/>
      <c r="AD201" s="15"/>
      <c r="AE201" s="15"/>
      <c r="AF201" s="15"/>
      <c r="AG201" s="15"/>
      <c r="AH201" s="15"/>
      <c r="AI201" s="15"/>
      <c r="AJ201" s="15"/>
      <c r="AK201" s="95"/>
      <c r="AL201" s="95"/>
      <c r="AM201" s="93"/>
      <c r="AN201" s="3"/>
      <c r="AP201" s="28"/>
      <c r="AQ201" s="29"/>
    </row>
    <row r="202" spans="1:43" ht="26.85" customHeight="1" x14ac:dyDescent="0.45">
      <c r="A202" s="15"/>
      <c r="B202" s="15"/>
      <c r="C202" s="15"/>
      <c r="D202" s="95"/>
      <c r="E202" s="95"/>
      <c r="F202" s="15"/>
      <c r="G202" s="95"/>
      <c r="H202" s="15"/>
      <c r="I202" s="15" t="str">
        <f>IF($H202&lt;&gt;"",(VLOOKUP(H202,'Other Lists'!O:P,2,FALSE)),"")</f>
        <v/>
      </c>
      <c r="J202" s="15"/>
      <c r="K202" s="15"/>
      <c r="L202" s="15"/>
      <c r="M202" s="15"/>
      <c r="N202" s="40"/>
      <c r="O202" s="15"/>
      <c r="P202" s="26"/>
      <c r="Q202" s="15"/>
      <c r="R202" s="15"/>
      <c r="S202" s="15"/>
      <c r="T202" s="15"/>
      <c r="U202" s="15"/>
      <c r="V202" s="95"/>
      <c r="W202" s="95"/>
      <c r="X202" s="15"/>
      <c r="Y202" s="15"/>
      <c r="Z202" s="15" t="str">
        <f t="shared" si="7"/>
        <v/>
      </c>
      <c r="AA202" s="15"/>
      <c r="AB202" s="15" t="str">
        <f t="shared" si="8"/>
        <v/>
      </c>
      <c r="AC202" s="15"/>
      <c r="AD202" s="15"/>
      <c r="AE202" s="15"/>
      <c r="AF202" s="15"/>
      <c r="AG202" s="15"/>
      <c r="AH202" s="15"/>
      <c r="AI202" s="15"/>
      <c r="AJ202" s="15"/>
      <c r="AK202" s="95"/>
      <c r="AL202" s="95"/>
      <c r="AM202" s="93"/>
      <c r="AN202" s="3"/>
      <c r="AP202" s="28"/>
      <c r="AQ202" s="29"/>
    </row>
    <row r="203" spans="1:43" ht="26.85" customHeight="1" x14ac:dyDescent="0.45">
      <c r="A203" s="15"/>
      <c r="B203" s="15"/>
      <c r="C203" s="15"/>
      <c r="D203" s="95"/>
      <c r="E203" s="95"/>
      <c r="F203" s="15"/>
      <c r="G203" s="95"/>
      <c r="H203" s="15"/>
      <c r="I203" s="15" t="str">
        <f>IF($H203&lt;&gt;"",(VLOOKUP(H203,'Other Lists'!O:P,2,FALSE)),"")</f>
        <v/>
      </c>
      <c r="J203" s="15"/>
      <c r="K203" s="15"/>
      <c r="L203" s="15"/>
      <c r="M203" s="15"/>
      <c r="N203" s="40"/>
      <c r="O203" s="15"/>
      <c r="P203" s="26"/>
      <c r="Q203" s="15"/>
      <c r="R203" s="15"/>
      <c r="S203" s="15"/>
      <c r="T203" s="15"/>
      <c r="U203" s="15"/>
      <c r="V203" s="95"/>
      <c r="W203" s="95"/>
      <c r="X203" s="15"/>
      <c r="Y203" s="15"/>
      <c r="Z203" s="15" t="str">
        <f t="shared" si="7"/>
        <v/>
      </c>
      <c r="AA203" s="15"/>
      <c r="AB203" s="15" t="str">
        <f t="shared" si="8"/>
        <v/>
      </c>
      <c r="AC203" s="15"/>
      <c r="AD203" s="15"/>
      <c r="AE203" s="15"/>
      <c r="AF203" s="15"/>
      <c r="AG203" s="15"/>
      <c r="AH203" s="15"/>
      <c r="AI203" s="15"/>
      <c r="AJ203" s="15"/>
      <c r="AK203" s="95"/>
      <c r="AL203" s="95"/>
      <c r="AM203" s="93"/>
      <c r="AN203" s="3"/>
      <c r="AP203" s="28"/>
      <c r="AQ203" s="29"/>
    </row>
    <row r="204" spans="1:43" ht="26.85" customHeight="1" x14ac:dyDescent="0.45">
      <c r="A204" s="15"/>
      <c r="B204" s="15"/>
      <c r="C204" s="15"/>
      <c r="D204" s="95"/>
      <c r="E204" s="95"/>
      <c r="F204" s="15"/>
      <c r="G204" s="95"/>
      <c r="H204" s="15"/>
      <c r="I204" s="15" t="str">
        <f>IF($H204&lt;&gt;"",(VLOOKUP(H204,'Other Lists'!O:P,2,FALSE)),"")</f>
        <v/>
      </c>
      <c r="J204" s="15"/>
      <c r="K204" s="15"/>
      <c r="L204" s="15"/>
      <c r="M204" s="15"/>
      <c r="N204" s="40"/>
      <c r="O204" s="15"/>
      <c r="P204" s="26"/>
      <c r="Q204" s="15"/>
      <c r="R204" s="15"/>
      <c r="S204" s="15"/>
      <c r="T204" s="15"/>
      <c r="U204" s="15"/>
      <c r="V204" s="95"/>
      <c r="W204" s="95"/>
      <c r="X204" s="15"/>
      <c r="Y204" s="15"/>
      <c r="Z204" s="15" t="str">
        <f t="shared" si="7"/>
        <v/>
      </c>
      <c r="AA204" s="15"/>
      <c r="AB204" s="15" t="str">
        <f t="shared" si="8"/>
        <v/>
      </c>
      <c r="AC204" s="15"/>
      <c r="AD204" s="15"/>
      <c r="AE204" s="15"/>
      <c r="AF204" s="15"/>
      <c r="AG204" s="15"/>
      <c r="AH204" s="15"/>
      <c r="AI204" s="15"/>
      <c r="AJ204" s="15"/>
      <c r="AK204" s="95"/>
      <c r="AL204" s="95"/>
      <c r="AM204" s="93"/>
      <c r="AN204" s="3"/>
      <c r="AP204" s="28"/>
      <c r="AQ204" s="29"/>
    </row>
    <row r="205" spans="1:43" ht="26.85" customHeight="1" x14ac:dyDescent="0.45">
      <c r="A205" s="15"/>
      <c r="B205" s="15"/>
      <c r="C205" s="15"/>
      <c r="D205" s="95"/>
      <c r="E205" s="95"/>
      <c r="F205" s="15"/>
      <c r="G205" s="95"/>
      <c r="H205" s="15"/>
      <c r="I205" s="15" t="str">
        <f>IF($H205&lt;&gt;"",(VLOOKUP(H205,'Other Lists'!O:P,2,FALSE)),"")</f>
        <v/>
      </c>
      <c r="J205" s="15"/>
      <c r="K205" s="15"/>
      <c r="L205" s="15"/>
      <c r="M205" s="15"/>
      <c r="N205" s="40"/>
      <c r="O205" s="15"/>
      <c r="P205" s="26"/>
      <c r="Q205" s="15"/>
      <c r="R205" s="15"/>
      <c r="S205" s="15"/>
      <c r="T205" s="15"/>
      <c r="U205" s="15"/>
      <c r="V205" s="95"/>
      <c r="W205" s="95"/>
      <c r="X205" s="15"/>
      <c r="Y205" s="15"/>
      <c r="Z205" s="15" t="str">
        <f t="shared" si="7"/>
        <v/>
      </c>
      <c r="AA205" s="15"/>
      <c r="AB205" s="15" t="str">
        <f t="shared" si="8"/>
        <v/>
      </c>
      <c r="AC205" s="15"/>
      <c r="AD205" s="15"/>
      <c r="AE205" s="15"/>
      <c r="AF205" s="15"/>
      <c r="AG205" s="15"/>
      <c r="AH205" s="15"/>
      <c r="AI205" s="15"/>
      <c r="AJ205" s="15"/>
      <c r="AK205" s="95"/>
      <c r="AL205" s="95"/>
      <c r="AM205" s="93"/>
      <c r="AN205" s="3"/>
      <c r="AP205" s="28"/>
      <c r="AQ205" s="29"/>
    </row>
    <row r="206" spans="1:43" ht="26.85" customHeight="1" x14ac:dyDescent="0.45">
      <c r="A206" s="15"/>
      <c r="B206" s="15"/>
      <c r="C206" s="15"/>
      <c r="D206" s="95"/>
      <c r="E206" s="95"/>
      <c r="F206" s="15"/>
      <c r="G206" s="95"/>
      <c r="H206" s="15"/>
      <c r="I206" s="15" t="str">
        <f>IF($H206&lt;&gt;"",(VLOOKUP(H206,'Other Lists'!O:P,2,FALSE)),"")</f>
        <v/>
      </c>
      <c r="J206" s="15"/>
      <c r="K206" s="15"/>
      <c r="L206" s="15"/>
      <c r="M206" s="15"/>
      <c r="N206" s="40"/>
      <c r="O206" s="15"/>
      <c r="P206" s="26"/>
      <c r="Q206" s="15"/>
      <c r="R206" s="15"/>
      <c r="S206" s="15"/>
      <c r="T206" s="15"/>
      <c r="U206" s="15"/>
      <c r="V206" s="95"/>
      <c r="W206" s="95"/>
      <c r="X206" s="15"/>
      <c r="Y206" s="15"/>
      <c r="Z206" s="15" t="str">
        <f t="shared" si="7"/>
        <v/>
      </c>
      <c r="AA206" s="15"/>
      <c r="AB206" s="15" t="str">
        <f t="shared" si="8"/>
        <v/>
      </c>
      <c r="AC206" s="15"/>
      <c r="AD206" s="15"/>
      <c r="AE206" s="15"/>
      <c r="AF206" s="15"/>
      <c r="AG206" s="15"/>
      <c r="AH206" s="15"/>
      <c r="AI206" s="15"/>
      <c r="AJ206" s="15"/>
      <c r="AK206" s="95"/>
      <c r="AL206" s="95"/>
      <c r="AM206" s="93"/>
      <c r="AN206" s="3"/>
      <c r="AP206" s="28"/>
      <c r="AQ206" s="29"/>
    </row>
    <row r="207" spans="1:43" ht="26.85" customHeight="1" x14ac:dyDescent="0.45">
      <c r="A207" s="15"/>
      <c r="B207" s="15"/>
      <c r="C207" s="15"/>
      <c r="D207" s="95"/>
      <c r="E207" s="95"/>
      <c r="F207" s="15"/>
      <c r="G207" s="95"/>
      <c r="H207" s="15"/>
      <c r="I207" s="15" t="str">
        <f>IF($H207&lt;&gt;"",(VLOOKUP(H207,'Other Lists'!O:P,2,FALSE)),"")</f>
        <v/>
      </c>
      <c r="J207" s="15"/>
      <c r="K207" s="15"/>
      <c r="L207" s="15"/>
      <c r="M207" s="15"/>
      <c r="N207" s="40"/>
      <c r="O207" s="15"/>
      <c r="P207" s="26"/>
      <c r="Q207" s="15"/>
      <c r="R207" s="15"/>
      <c r="S207" s="15"/>
      <c r="T207" s="15"/>
      <c r="U207" s="15"/>
      <c r="V207" s="95"/>
      <c r="W207" s="95"/>
      <c r="X207" s="15"/>
      <c r="Y207" s="15"/>
      <c r="Z207" s="15" t="str">
        <f t="shared" si="7"/>
        <v/>
      </c>
      <c r="AA207" s="15"/>
      <c r="AB207" s="15" t="str">
        <f t="shared" si="8"/>
        <v/>
      </c>
      <c r="AC207" s="15"/>
      <c r="AD207" s="15"/>
      <c r="AE207" s="15"/>
      <c r="AF207" s="15"/>
      <c r="AG207" s="15"/>
      <c r="AH207" s="15"/>
      <c r="AI207" s="15"/>
      <c r="AJ207" s="15"/>
      <c r="AK207" s="95"/>
      <c r="AL207" s="95"/>
      <c r="AM207" s="93"/>
      <c r="AN207" s="3"/>
      <c r="AP207" s="28"/>
      <c r="AQ207" s="29"/>
    </row>
    <row r="208" spans="1:43" ht="26.85" customHeight="1" x14ac:dyDescent="0.45">
      <c r="A208" s="15"/>
      <c r="B208" s="15"/>
      <c r="C208" s="15"/>
      <c r="D208" s="95"/>
      <c r="E208" s="95"/>
      <c r="F208" s="15"/>
      <c r="G208" s="95"/>
      <c r="H208" s="15"/>
      <c r="I208" s="15" t="str">
        <f>IF($H208&lt;&gt;"",(VLOOKUP(H208,'Other Lists'!O:P,2,FALSE)),"")</f>
        <v/>
      </c>
      <c r="J208" s="15"/>
      <c r="K208" s="15"/>
      <c r="L208" s="15"/>
      <c r="M208" s="15"/>
      <c r="N208" s="40"/>
      <c r="O208" s="15"/>
      <c r="P208" s="26"/>
      <c r="Q208" s="15"/>
      <c r="R208" s="15"/>
      <c r="S208" s="15"/>
      <c r="T208" s="15"/>
      <c r="U208" s="15"/>
      <c r="V208" s="95"/>
      <c r="W208" s="95"/>
      <c r="X208" s="15"/>
      <c r="Y208" s="15"/>
      <c r="Z208" s="15" t="str">
        <f t="shared" si="7"/>
        <v/>
      </c>
      <c r="AA208" s="15"/>
      <c r="AB208" s="15" t="str">
        <f t="shared" si="8"/>
        <v/>
      </c>
      <c r="AC208" s="15"/>
      <c r="AD208" s="15"/>
      <c r="AE208" s="15"/>
      <c r="AF208" s="15"/>
      <c r="AG208" s="15"/>
      <c r="AH208" s="15"/>
      <c r="AI208" s="15"/>
      <c r="AJ208" s="15"/>
      <c r="AK208" s="95"/>
      <c r="AL208" s="95"/>
      <c r="AM208" s="93"/>
      <c r="AN208" s="3"/>
      <c r="AP208" s="28"/>
      <c r="AQ208" s="29"/>
    </row>
    <row r="209" spans="1:43" ht="26.85" customHeight="1" x14ac:dyDescent="0.45">
      <c r="A209" s="15"/>
      <c r="B209" s="15"/>
      <c r="C209" s="15"/>
      <c r="D209" s="95"/>
      <c r="E209" s="95"/>
      <c r="F209" s="15"/>
      <c r="G209" s="95"/>
      <c r="H209" s="15"/>
      <c r="I209" s="15" t="str">
        <f>IF($H209&lt;&gt;"",(VLOOKUP(H209,'Other Lists'!O:P,2,FALSE)),"")</f>
        <v/>
      </c>
      <c r="J209" s="15"/>
      <c r="K209" s="15"/>
      <c r="L209" s="15"/>
      <c r="M209" s="15"/>
      <c r="N209" s="40"/>
      <c r="O209" s="15"/>
      <c r="P209" s="26"/>
      <c r="Q209" s="15"/>
      <c r="R209" s="15"/>
      <c r="S209" s="15"/>
      <c r="T209" s="15"/>
      <c r="U209" s="15"/>
      <c r="V209" s="95"/>
      <c r="W209" s="95"/>
      <c r="X209" s="15"/>
      <c r="Y209" s="15"/>
      <c r="Z209" s="15" t="str">
        <f t="shared" si="7"/>
        <v/>
      </c>
      <c r="AA209" s="15"/>
      <c r="AB209" s="15" t="str">
        <f t="shared" si="8"/>
        <v/>
      </c>
      <c r="AC209" s="15"/>
      <c r="AD209" s="15"/>
      <c r="AE209" s="15"/>
      <c r="AF209" s="15"/>
      <c r="AG209" s="15"/>
      <c r="AH209" s="15"/>
      <c r="AI209" s="15"/>
      <c r="AJ209" s="15"/>
      <c r="AK209" s="95"/>
      <c r="AL209" s="95"/>
      <c r="AM209" s="93"/>
      <c r="AN209" s="3"/>
      <c r="AP209" s="28"/>
      <c r="AQ209" s="29"/>
    </row>
    <row r="210" spans="1:43" ht="26.85" customHeight="1" x14ac:dyDescent="0.45">
      <c r="A210" s="15"/>
      <c r="B210" s="15"/>
      <c r="C210" s="15"/>
      <c r="D210" s="95"/>
      <c r="E210" s="95"/>
      <c r="F210" s="15"/>
      <c r="G210" s="95"/>
      <c r="H210" s="15"/>
      <c r="I210" s="15" t="str">
        <f>IF($H210&lt;&gt;"",(VLOOKUP(H210,'Other Lists'!O:P,2,FALSE)),"")</f>
        <v/>
      </c>
      <c r="J210" s="15"/>
      <c r="K210" s="15"/>
      <c r="L210" s="15"/>
      <c r="M210" s="15"/>
      <c r="N210" s="40"/>
      <c r="O210" s="15"/>
      <c r="P210" s="26"/>
      <c r="Q210" s="15"/>
      <c r="R210" s="15"/>
      <c r="S210" s="15"/>
      <c r="T210" s="15"/>
      <c r="U210" s="15"/>
      <c r="V210" s="95"/>
      <c r="W210" s="95"/>
      <c r="X210" s="15"/>
      <c r="Y210" s="15"/>
      <c r="Z210" s="15" t="str">
        <f t="shared" si="7"/>
        <v/>
      </c>
      <c r="AA210" s="15"/>
      <c r="AB210" s="15" t="str">
        <f t="shared" si="8"/>
        <v/>
      </c>
      <c r="AC210" s="15"/>
      <c r="AD210" s="15"/>
      <c r="AE210" s="15"/>
      <c r="AF210" s="15"/>
      <c r="AG210" s="15"/>
      <c r="AH210" s="15"/>
      <c r="AI210" s="15"/>
      <c r="AJ210" s="15"/>
      <c r="AK210" s="95"/>
      <c r="AL210" s="95"/>
      <c r="AM210" s="93"/>
      <c r="AN210" s="3"/>
      <c r="AP210" s="28"/>
      <c r="AQ210" s="29"/>
    </row>
    <row r="211" spans="1:43" ht="26.85" customHeight="1" x14ac:dyDescent="0.45">
      <c r="A211" s="15"/>
      <c r="B211" s="15"/>
      <c r="C211" s="15"/>
      <c r="D211" s="95"/>
      <c r="E211" s="95"/>
      <c r="F211" s="15"/>
      <c r="G211" s="95"/>
      <c r="H211" s="15"/>
      <c r="I211" s="15" t="str">
        <f>IF($H211&lt;&gt;"",(VLOOKUP(H211,'Other Lists'!O:P,2,FALSE)),"")</f>
        <v/>
      </c>
      <c r="J211" s="15"/>
      <c r="K211" s="15"/>
      <c r="L211" s="15"/>
      <c r="M211" s="15"/>
      <c r="N211" s="40"/>
      <c r="O211" s="15"/>
      <c r="P211" s="26"/>
      <c r="Q211" s="15"/>
      <c r="R211" s="15"/>
      <c r="S211" s="15"/>
      <c r="T211" s="15"/>
      <c r="U211" s="15"/>
      <c r="V211" s="95"/>
      <c r="W211" s="95"/>
      <c r="X211" s="15"/>
      <c r="Y211" s="15"/>
      <c r="Z211" s="15" t="str">
        <f t="shared" si="7"/>
        <v/>
      </c>
      <c r="AA211" s="15"/>
      <c r="AB211" s="15" t="str">
        <f t="shared" si="8"/>
        <v/>
      </c>
      <c r="AC211" s="15"/>
      <c r="AD211" s="15"/>
      <c r="AE211" s="15"/>
      <c r="AF211" s="15"/>
      <c r="AG211" s="15"/>
      <c r="AH211" s="15"/>
      <c r="AI211" s="15"/>
      <c r="AJ211" s="15"/>
      <c r="AK211" s="95"/>
      <c r="AL211" s="95"/>
      <c r="AM211" s="93"/>
      <c r="AN211" s="3"/>
      <c r="AP211" s="28"/>
      <c r="AQ211" s="29"/>
    </row>
    <row r="212" spans="1:43" ht="26.85" customHeight="1" x14ac:dyDescent="0.45">
      <c r="A212" s="15"/>
      <c r="B212" s="15"/>
      <c r="C212" s="15"/>
      <c r="D212" s="95"/>
      <c r="E212" s="95"/>
      <c r="F212" s="15"/>
      <c r="G212" s="95"/>
      <c r="H212" s="15"/>
      <c r="I212" s="15" t="str">
        <f>IF($H212&lt;&gt;"",(VLOOKUP(H212,'Other Lists'!O:P,2,FALSE)),"")</f>
        <v/>
      </c>
      <c r="J212" s="15"/>
      <c r="K212" s="15"/>
      <c r="L212" s="15"/>
      <c r="M212" s="15"/>
      <c r="N212" s="40"/>
      <c r="O212" s="15"/>
      <c r="P212" s="26"/>
      <c r="Q212" s="15"/>
      <c r="R212" s="15"/>
      <c r="S212" s="15"/>
      <c r="T212" s="15"/>
      <c r="U212" s="15"/>
      <c r="V212" s="95"/>
      <c r="W212" s="95"/>
      <c r="X212" s="15"/>
      <c r="Y212" s="15"/>
      <c r="Z212" s="15" t="str">
        <f t="shared" si="7"/>
        <v/>
      </c>
      <c r="AA212" s="15"/>
      <c r="AB212" s="15" t="str">
        <f t="shared" si="8"/>
        <v/>
      </c>
      <c r="AC212" s="15"/>
      <c r="AD212" s="15"/>
      <c r="AE212" s="15"/>
      <c r="AF212" s="15"/>
      <c r="AG212" s="15"/>
      <c r="AH212" s="15"/>
      <c r="AI212" s="15"/>
      <c r="AJ212" s="15"/>
      <c r="AK212" s="95"/>
      <c r="AL212" s="95"/>
      <c r="AM212" s="93"/>
      <c r="AN212" s="3"/>
      <c r="AP212" s="28"/>
      <c r="AQ212" s="29"/>
    </row>
    <row r="213" spans="1:43" ht="26.85" customHeight="1" x14ac:dyDescent="0.45">
      <c r="A213" s="15"/>
      <c r="B213" s="15"/>
      <c r="C213" s="15"/>
      <c r="D213" s="95"/>
      <c r="E213" s="95"/>
      <c r="F213" s="15"/>
      <c r="G213" s="95"/>
      <c r="H213" s="15"/>
      <c r="I213" s="15" t="str">
        <f>IF($H213&lt;&gt;"",(VLOOKUP(H213,'Other Lists'!O:P,2,FALSE)),"")</f>
        <v/>
      </c>
      <c r="J213" s="15"/>
      <c r="K213" s="15"/>
      <c r="L213" s="15"/>
      <c r="M213" s="15"/>
      <c r="N213" s="40"/>
      <c r="O213" s="15"/>
      <c r="P213" s="26"/>
      <c r="Q213" s="15"/>
      <c r="R213" s="15"/>
      <c r="S213" s="15"/>
      <c r="T213" s="15"/>
      <c r="U213" s="15"/>
      <c r="V213" s="95"/>
      <c r="W213" s="95"/>
      <c r="X213" s="15"/>
      <c r="Y213" s="15"/>
      <c r="Z213" s="15" t="str">
        <f t="shared" si="7"/>
        <v/>
      </c>
      <c r="AA213" s="15"/>
      <c r="AB213" s="15" t="str">
        <f t="shared" si="8"/>
        <v/>
      </c>
      <c r="AC213" s="15"/>
      <c r="AD213" s="15"/>
      <c r="AE213" s="15"/>
      <c r="AF213" s="15"/>
      <c r="AG213" s="15"/>
      <c r="AH213" s="15"/>
      <c r="AI213" s="15"/>
      <c r="AJ213" s="15"/>
      <c r="AK213" s="95"/>
      <c r="AL213" s="95"/>
      <c r="AM213" s="93"/>
      <c r="AN213" s="3"/>
      <c r="AP213" s="28"/>
      <c r="AQ213" s="29"/>
    </row>
    <row r="214" spans="1:43" ht="26.85" customHeight="1" x14ac:dyDescent="0.45">
      <c r="A214" s="15"/>
      <c r="B214" s="15"/>
      <c r="C214" s="15"/>
      <c r="D214" s="95"/>
      <c r="E214" s="95"/>
      <c r="F214" s="15"/>
      <c r="G214" s="95"/>
      <c r="H214" s="15"/>
      <c r="I214" s="15" t="str">
        <f>IF($H214&lt;&gt;"",(VLOOKUP(H214,'Other Lists'!O:P,2,FALSE)),"")</f>
        <v/>
      </c>
      <c r="J214" s="15"/>
      <c r="K214" s="15"/>
      <c r="L214" s="15"/>
      <c r="M214" s="15"/>
      <c r="N214" s="40"/>
      <c r="O214" s="15"/>
      <c r="P214" s="26"/>
      <c r="Q214" s="15"/>
      <c r="R214" s="15"/>
      <c r="S214" s="15"/>
      <c r="T214" s="15"/>
      <c r="U214" s="15"/>
      <c r="V214" s="95"/>
      <c r="W214" s="95"/>
      <c r="X214" s="15"/>
      <c r="Y214" s="15"/>
      <c r="Z214" s="15" t="str">
        <f t="shared" si="7"/>
        <v/>
      </c>
      <c r="AA214" s="15"/>
      <c r="AB214" s="15" t="str">
        <f t="shared" si="8"/>
        <v/>
      </c>
      <c r="AC214" s="15"/>
      <c r="AD214" s="15"/>
      <c r="AE214" s="15"/>
      <c r="AF214" s="15"/>
      <c r="AG214" s="15"/>
      <c r="AH214" s="15"/>
      <c r="AI214" s="15"/>
      <c r="AJ214" s="15"/>
      <c r="AK214" s="95"/>
      <c r="AL214" s="95"/>
      <c r="AM214" s="93"/>
      <c r="AN214" s="3"/>
      <c r="AP214" s="28"/>
      <c r="AQ214" s="29"/>
    </row>
    <row r="215" spans="1:43" ht="26.85" customHeight="1" x14ac:dyDescent="0.45">
      <c r="A215" s="15"/>
      <c r="B215" s="15"/>
      <c r="C215" s="15"/>
      <c r="D215" s="95"/>
      <c r="E215" s="95"/>
      <c r="F215" s="15"/>
      <c r="G215" s="95"/>
      <c r="H215" s="15"/>
      <c r="I215" s="15" t="str">
        <f>IF($H215&lt;&gt;"",(VLOOKUP(H215,'Other Lists'!O:P,2,FALSE)),"")</f>
        <v/>
      </c>
      <c r="J215" s="15"/>
      <c r="K215" s="15"/>
      <c r="L215" s="15"/>
      <c r="M215" s="15"/>
      <c r="N215" s="40"/>
      <c r="O215" s="15"/>
      <c r="P215" s="26"/>
      <c r="Q215" s="15"/>
      <c r="R215" s="15"/>
      <c r="S215" s="15"/>
      <c r="T215" s="15"/>
      <c r="U215" s="15"/>
      <c r="V215" s="95"/>
      <c r="W215" s="95"/>
      <c r="X215" s="15"/>
      <c r="Y215" s="15"/>
      <c r="Z215" s="15" t="str">
        <f t="shared" si="7"/>
        <v/>
      </c>
      <c r="AA215" s="15"/>
      <c r="AB215" s="15" t="str">
        <f t="shared" si="8"/>
        <v/>
      </c>
      <c r="AC215" s="15"/>
      <c r="AD215" s="15"/>
      <c r="AE215" s="15"/>
      <c r="AF215" s="15"/>
      <c r="AG215" s="15"/>
      <c r="AH215" s="15"/>
      <c r="AI215" s="15"/>
      <c r="AJ215" s="15"/>
      <c r="AK215" s="95"/>
      <c r="AL215" s="95"/>
      <c r="AM215" s="93"/>
      <c r="AN215" s="3"/>
      <c r="AP215" s="28"/>
      <c r="AQ215" s="29"/>
    </row>
    <row r="216" spans="1:43" ht="26.85" customHeight="1" x14ac:dyDescent="0.45">
      <c r="A216" s="15"/>
      <c r="B216" s="15"/>
      <c r="C216" s="15"/>
      <c r="D216" s="95"/>
      <c r="E216" s="95"/>
      <c r="F216" s="15"/>
      <c r="G216" s="95"/>
      <c r="H216" s="15"/>
      <c r="I216" s="15" t="str">
        <f>IF($H216&lt;&gt;"",(VLOOKUP(H216,'Other Lists'!O:P,2,FALSE)),"")</f>
        <v/>
      </c>
      <c r="J216" s="15"/>
      <c r="K216" s="15"/>
      <c r="L216" s="15"/>
      <c r="M216" s="15"/>
      <c r="N216" s="40"/>
      <c r="O216" s="15"/>
      <c r="P216" s="26"/>
      <c r="Q216" s="15"/>
      <c r="R216" s="15"/>
      <c r="S216" s="15"/>
      <c r="T216" s="15"/>
      <c r="U216" s="15"/>
      <c r="V216" s="95"/>
      <c r="W216" s="95"/>
      <c r="X216" s="15"/>
      <c r="Y216" s="15"/>
      <c r="Z216" s="15" t="str">
        <f t="shared" si="7"/>
        <v/>
      </c>
      <c r="AA216" s="15"/>
      <c r="AB216" s="15" t="str">
        <f t="shared" si="8"/>
        <v/>
      </c>
      <c r="AC216" s="15"/>
      <c r="AD216" s="15"/>
      <c r="AE216" s="15"/>
      <c r="AF216" s="15"/>
      <c r="AG216" s="15"/>
      <c r="AH216" s="15"/>
      <c r="AI216" s="15"/>
      <c r="AJ216" s="15"/>
      <c r="AK216" s="95"/>
      <c r="AL216" s="95"/>
      <c r="AM216" s="93"/>
      <c r="AN216" s="3"/>
      <c r="AP216" s="28"/>
      <c r="AQ216" s="29"/>
    </row>
    <row r="217" spans="1:43" ht="26.85" customHeight="1" x14ac:dyDescent="0.45">
      <c r="A217" s="15"/>
      <c r="B217" s="15"/>
      <c r="C217" s="15"/>
      <c r="D217" s="95"/>
      <c r="E217" s="95"/>
      <c r="F217" s="15"/>
      <c r="G217" s="95"/>
      <c r="H217" s="15"/>
      <c r="I217" s="15" t="str">
        <f>IF($H217&lt;&gt;"",(VLOOKUP(H217,'Other Lists'!O:P,2,FALSE)),"")</f>
        <v/>
      </c>
      <c r="J217" s="15"/>
      <c r="K217" s="15"/>
      <c r="L217" s="15"/>
      <c r="M217" s="15"/>
      <c r="N217" s="40"/>
      <c r="O217" s="15"/>
      <c r="P217" s="26"/>
      <c r="Q217" s="15"/>
      <c r="R217" s="15"/>
      <c r="S217" s="15"/>
      <c r="T217" s="15"/>
      <c r="U217" s="15"/>
      <c r="V217" s="95"/>
      <c r="W217" s="95"/>
      <c r="X217" s="15"/>
      <c r="Y217" s="15"/>
      <c r="Z217" s="15" t="str">
        <f t="shared" si="7"/>
        <v/>
      </c>
      <c r="AA217" s="15"/>
      <c r="AB217" s="15" t="str">
        <f t="shared" si="8"/>
        <v/>
      </c>
      <c r="AC217" s="15"/>
      <c r="AD217" s="15"/>
      <c r="AE217" s="15"/>
      <c r="AF217" s="15"/>
      <c r="AG217" s="15"/>
      <c r="AH217" s="15"/>
      <c r="AI217" s="15"/>
      <c r="AJ217" s="15"/>
      <c r="AK217" s="95"/>
      <c r="AL217" s="95"/>
      <c r="AM217" s="93"/>
      <c r="AN217" s="3"/>
      <c r="AP217" s="28"/>
      <c r="AQ217" s="29"/>
    </row>
    <row r="218" spans="1:43" ht="26.85" customHeight="1" x14ac:dyDescent="0.45">
      <c r="A218" s="15"/>
      <c r="B218" s="15"/>
      <c r="C218" s="15"/>
      <c r="D218" s="95"/>
      <c r="E218" s="95"/>
      <c r="F218" s="15"/>
      <c r="G218" s="95"/>
      <c r="H218" s="15"/>
      <c r="I218" s="15" t="str">
        <f>IF($H218&lt;&gt;"",(VLOOKUP(H218,'Other Lists'!O:P,2,FALSE)),"")</f>
        <v/>
      </c>
      <c r="J218" s="15"/>
      <c r="K218" s="15"/>
      <c r="L218" s="15"/>
      <c r="M218" s="15"/>
      <c r="N218" s="40"/>
      <c r="O218" s="15"/>
      <c r="P218" s="26"/>
      <c r="Q218" s="15"/>
      <c r="R218" s="15"/>
      <c r="S218" s="15"/>
      <c r="T218" s="15"/>
      <c r="U218" s="15"/>
      <c r="V218" s="95"/>
      <c r="W218" s="95"/>
      <c r="X218" s="15"/>
      <c r="Y218" s="15"/>
      <c r="Z218" s="15" t="str">
        <f t="shared" si="7"/>
        <v/>
      </c>
      <c r="AA218" s="15"/>
      <c r="AB218" s="15" t="str">
        <f t="shared" si="8"/>
        <v/>
      </c>
      <c r="AC218" s="15"/>
      <c r="AD218" s="15"/>
      <c r="AE218" s="15"/>
      <c r="AF218" s="15"/>
      <c r="AG218" s="15"/>
      <c r="AH218" s="15"/>
      <c r="AI218" s="15"/>
      <c r="AJ218" s="15"/>
      <c r="AK218" s="95"/>
      <c r="AL218" s="95"/>
      <c r="AM218" s="93"/>
      <c r="AN218" s="3"/>
      <c r="AP218" s="28"/>
      <c r="AQ218" s="29"/>
    </row>
    <row r="219" spans="1:43" ht="26.85" customHeight="1" x14ac:dyDescent="0.45">
      <c r="A219" s="15"/>
      <c r="B219" s="15"/>
      <c r="C219" s="15"/>
      <c r="D219" s="95"/>
      <c r="E219" s="95"/>
      <c r="F219" s="15"/>
      <c r="G219" s="95"/>
      <c r="H219" s="15"/>
      <c r="I219" s="15" t="str">
        <f>IF($H219&lt;&gt;"",(VLOOKUP(H219,'Other Lists'!O:P,2,FALSE)),"")</f>
        <v/>
      </c>
      <c r="J219" s="15"/>
      <c r="K219" s="15"/>
      <c r="L219" s="15"/>
      <c r="M219" s="15"/>
      <c r="N219" s="40"/>
      <c r="O219" s="15"/>
      <c r="P219" s="26"/>
      <c r="Q219" s="15"/>
      <c r="R219" s="15"/>
      <c r="S219" s="15"/>
      <c r="T219" s="15"/>
      <c r="U219" s="15"/>
      <c r="V219" s="95"/>
      <c r="W219" s="95"/>
      <c r="X219" s="23"/>
      <c r="Y219" s="15"/>
      <c r="Z219" s="15" t="str">
        <f t="shared" si="7"/>
        <v/>
      </c>
      <c r="AA219" s="15"/>
      <c r="AB219" s="15" t="str">
        <f t="shared" si="8"/>
        <v/>
      </c>
      <c r="AC219" s="15"/>
      <c r="AD219" s="15"/>
      <c r="AE219" s="15"/>
      <c r="AF219" s="15"/>
      <c r="AG219" s="15"/>
      <c r="AH219" s="15"/>
      <c r="AI219" s="15"/>
      <c r="AJ219" s="15"/>
      <c r="AK219" s="95"/>
      <c r="AL219" s="95"/>
      <c r="AM219" s="93"/>
      <c r="AN219" s="3"/>
      <c r="AP219" s="28"/>
      <c r="AQ219" s="29"/>
    </row>
    <row r="220" spans="1:43" ht="26.85" customHeight="1" x14ac:dyDescent="0.45">
      <c r="A220" s="15"/>
      <c r="B220" s="15"/>
      <c r="C220" s="15"/>
      <c r="D220" s="95"/>
      <c r="E220" s="95"/>
      <c r="F220" s="15"/>
      <c r="G220" s="95"/>
      <c r="H220" s="15"/>
      <c r="I220" s="15" t="str">
        <f>IF($H220&lt;&gt;"",(VLOOKUP(H220,'Other Lists'!O:P,2,FALSE)),"")</f>
        <v/>
      </c>
      <c r="J220" s="15"/>
      <c r="K220" s="15"/>
      <c r="L220" s="15"/>
      <c r="M220" s="15"/>
      <c r="N220" s="40"/>
      <c r="O220" s="15"/>
      <c r="P220" s="26"/>
      <c r="Q220" s="15"/>
      <c r="R220" s="15"/>
      <c r="S220" s="15"/>
      <c r="T220" s="15"/>
      <c r="U220" s="15"/>
      <c r="V220" s="95"/>
      <c r="W220" s="95"/>
      <c r="X220" s="15"/>
      <c r="Y220" s="15"/>
      <c r="Z220" s="15" t="str">
        <f t="shared" si="7"/>
        <v/>
      </c>
      <c r="AA220" s="15"/>
      <c r="AB220" s="15" t="str">
        <f t="shared" si="8"/>
        <v/>
      </c>
      <c r="AC220" s="15"/>
      <c r="AD220" s="15"/>
      <c r="AE220" s="15"/>
      <c r="AF220" s="15"/>
      <c r="AG220" s="15"/>
      <c r="AH220" s="15"/>
      <c r="AI220" s="15"/>
      <c r="AJ220" s="15"/>
      <c r="AK220" s="95"/>
      <c r="AL220" s="95"/>
      <c r="AM220" s="93"/>
      <c r="AN220" s="3"/>
      <c r="AP220" s="28"/>
      <c r="AQ220" s="29"/>
    </row>
    <row r="221" spans="1:43" ht="26.85" customHeight="1" x14ac:dyDescent="0.45">
      <c r="A221" s="15"/>
      <c r="B221" s="15"/>
      <c r="C221" s="15"/>
      <c r="D221" s="95"/>
      <c r="E221" s="95"/>
      <c r="F221" s="15"/>
      <c r="G221" s="95"/>
      <c r="H221" s="15"/>
      <c r="I221" s="15" t="str">
        <f>IF($H221&lt;&gt;"",(VLOOKUP(H221,'Other Lists'!O:P,2,FALSE)),"")</f>
        <v/>
      </c>
      <c r="J221" s="15"/>
      <c r="K221" s="15"/>
      <c r="L221" s="15"/>
      <c r="M221" s="15"/>
      <c r="N221" s="40"/>
      <c r="O221" s="15"/>
      <c r="P221" s="26"/>
      <c r="Q221" s="15"/>
      <c r="R221" s="15"/>
      <c r="S221" s="15"/>
      <c r="T221" s="15"/>
      <c r="U221" s="15"/>
      <c r="V221" s="95"/>
      <c r="W221" s="95"/>
      <c r="X221" s="15"/>
      <c r="Y221" s="15"/>
      <c r="Z221" s="15" t="str">
        <f t="shared" si="7"/>
        <v/>
      </c>
      <c r="AA221" s="15"/>
      <c r="AB221" s="15" t="str">
        <f t="shared" si="8"/>
        <v/>
      </c>
      <c r="AC221" s="15"/>
      <c r="AD221" s="15"/>
      <c r="AE221" s="15"/>
      <c r="AF221" s="15"/>
      <c r="AG221" s="15"/>
      <c r="AH221" s="15"/>
      <c r="AI221" s="15"/>
      <c r="AJ221" s="15"/>
      <c r="AK221" s="95"/>
      <c r="AL221" s="95"/>
      <c r="AM221" s="93"/>
      <c r="AN221" s="3"/>
      <c r="AP221" s="28"/>
      <c r="AQ221" s="29"/>
    </row>
    <row r="222" spans="1:43" ht="26.85" customHeight="1" x14ac:dyDescent="0.45">
      <c r="A222" s="15"/>
      <c r="B222" s="15"/>
      <c r="C222" s="15"/>
      <c r="D222" s="95"/>
      <c r="E222" s="95"/>
      <c r="F222" s="15"/>
      <c r="G222" s="95"/>
      <c r="H222" s="15"/>
      <c r="I222" s="15" t="str">
        <f>IF($H222&lt;&gt;"",(VLOOKUP(H222,'Other Lists'!O:P,2,FALSE)),"")</f>
        <v/>
      </c>
      <c r="J222" s="15"/>
      <c r="K222" s="15"/>
      <c r="L222" s="15"/>
      <c r="M222" s="15"/>
      <c r="N222" s="40"/>
      <c r="O222" s="15"/>
      <c r="P222" s="26"/>
      <c r="Q222" s="15"/>
      <c r="R222" s="15"/>
      <c r="S222" s="15"/>
      <c r="T222" s="15"/>
      <c r="U222" s="15"/>
      <c r="V222" s="95"/>
      <c r="W222" s="95"/>
      <c r="X222" s="15"/>
      <c r="Y222" s="15"/>
      <c r="Z222" s="15" t="str">
        <f t="shared" si="7"/>
        <v/>
      </c>
      <c r="AA222" s="15"/>
      <c r="AB222" s="15" t="str">
        <f t="shared" si="8"/>
        <v/>
      </c>
      <c r="AC222" s="15"/>
      <c r="AD222" s="15"/>
      <c r="AE222" s="15"/>
      <c r="AF222" s="15"/>
      <c r="AG222" s="15"/>
      <c r="AH222" s="15"/>
      <c r="AI222" s="15"/>
      <c r="AJ222" s="15"/>
      <c r="AK222" s="95"/>
      <c r="AL222" s="95"/>
      <c r="AM222" s="93"/>
      <c r="AN222" s="3"/>
      <c r="AP222" s="28"/>
      <c r="AQ222" s="29"/>
    </row>
    <row r="223" spans="1:43" ht="26.85" customHeight="1" x14ac:dyDescent="0.45">
      <c r="A223" s="15"/>
      <c r="B223" s="15"/>
      <c r="C223" s="15"/>
      <c r="D223" s="95"/>
      <c r="E223" s="95"/>
      <c r="F223" s="15"/>
      <c r="G223" s="95"/>
      <c r="H223" s="15"/>
      <c r="I223" s="15" t="str">
        <f>IF($H223&lt;&gt;"",(VLOOKUP(H223,'Other Lists'!O:P,2,FALSE)),"")</f>
        <v/>
      </c>
      <c r="J223" s="15"/>
      <c r="K223" s="15"/>
      <c r="L223" s="15"/>
      <c r="M223" s="15"/>
      <c r="N223" s="40"/>
      <c r="O223" s="15"/>
      <c r="P223" s="26"/>
      <c r="Q223" s="15"/>
      <c r="R223" s="15"/>
      <c r="S223" s="15"/>
      <c r="T223" s="15"/>
      <c r="U223" s="15"/>
      <c r="V223" s="95"/>
      <c r="W223" s="95"/>
      <c r="X223" s="15"/>
      <c r="Y223" s="15"/>
      <c r="Z223" s="15" t="str">
        <f t="shared" si="7"/>
        <v/>
      </c>
      <c r="AA223" s="15"/>
      <c r="AB223" s="15" t="str">
        <f t="shared" si="8"/>
        <v/>
      </c>
      <c r="AC223" s="15"/>
      <c r="AD223" s="15"/>
      <c r="AE223" s="15"/>
      <c r="AF223" s="15"/>
      <c r="AG223" s="15"/>
      <c r="AH223" s="15"/>
      <c r="AI223" s="15"/>
      <c r="AJ223" s="15"/>
      <c r="AK223" s="95"/>
      <c r="AL223" s="95"/>
      <c r="AM223" s="93"/>
      <c r="AN223" s="3"/>
      <c r="AP223" s="28"/>
      <c r="AQ223" s="29"/>
    </row>
    <row r="224" spans="1:43" ht="26.85" customHeight="1" x14ac:dyDescent="0.45">
      <c r="A224" s="15"/>
      <c r="B224" s="15"/>
      <c r="C224" s="15"/>
      <c r="D224" s="95"/>
      <c r="E224" s="95"/>
      <c r="F224" s="15"/>
      <c r="G224" s="95"/>
      <c r="H224" s="15"/>
      <c r="I224" s="15" t="str">
        <f>IF($H224&lt;&gt;"",(VLOOKUP(H224,'Other Lists'!O:P,2,FALSE)),"")</f>
        <v/>
      </c>
      <c r="J224" s="15"/>
      <c r="K224" s="15"/>
      <c r="L224" s="15"/>
      <c r="M224" s="15"/>
      <c r="N224" s="40"/>
      <c r="O224" s="15"/>
      <c r="P224" s="26"/>
      <c r="Q224" s="15"/>
      <c r="R224" s="15"/>
      <c r="S224" s="15"/>
      <c r="T224" s="15"/>
      <c r="U224" s="15"/>
      <c r="V224" s="95"/>
      <c r="W224" s="95"/>
      <c r="X224" s="15"/>
      <c r="Y224" s="15"/>
      <c r="Z224" s="15" t="str">
        <f t="shared" si="7"/>
        <v/>
      </c>
      <c r="AA224" s="15"/>
      <c r="AB224" s="15" t="str">
        <f t="shared" si="8"/>
        <v/>
      </c>
      <c r="AC224" s="15"/>
      <c r="AD224" s="15"/>
      <c r="AE224" s="15"/>
      <c r="AF224" s="15"/>
      <c r="AG224" s="15"/>
      <c r="AH224" s="15"/>
      <c r="AI224" s="15"/>
      <c r="AJ224" s="15"/>
      <c r="AK224" s="95"/>
      <c r="AL224" s="95"/>
      <c r="AM224" s="93"/>
      <c r="AN224" s="3"/>
      <c r="AP224" s="28"/>
      <c r="AQ224" s="29"/>
    </row>
    <row r="225" spans="1:43" ht="26.85" customHeight="1" x14ac:dyDescent="0.45">
      <c r="A225" s="15"/>
      <c r="B225" s="15"/>
      <c r="C225" s="15"/>
      <c r="D225" s="95"/>
      <c r="E225" s="95"/>
      <c r="F225" s="15"/>
      <c r="G225" s="95"/>
      <c r="H225" s="15"/>
      <c r="I225" s="15" t="str">
        <f>IF($H225&lt;&gt;"",(VLOOKUP(H225,'Other Lists'!O:P,2,FALSE)),"")</f>
        <v/>
      </c>
      <c r="J225" s="15"/>
      <c r="K225" s="15"/>
      <c r="L225" s="15"/>
      <c r="M225" s="15"/>
      <c r="N225" s="40"/>
      <c r="O225" s="15"/>
      <c r="P225" s="26"/>
      <c r="Q225" s="15"/>
      <c r="R225" s="15"/>
      <c r="S225" s="15"/>
      <c r="T225" s="15"/>
      <c r="U225" s="15"/>
      <c r="V225" s="95"/>
      <c r="W225" s="95"/>
      <c r="X225" s="15"/>
      <c r="Y225" s="15"/>
      <c r="Z225" s="15" t="str">
        <f t="shared" si="7"/>
        <v/>
      </c>
      <c r="AA225" s="15"/>
      <c r="AB225" s="15" t="str">
        <f t="shared" si="8"/>
        <v/>
      </c>
      <c r="AC225" s="15"/>
      <c r="AD225" s="15"/>
      <c r="AE225" s="15"/>
      <c r="AF225" s="15"/>
      <c r="AG225" s="15"/>
      <c r="AH225" s="15"/>
      <c r="AI225" s="15"/>
      <c r="AJ225" s="15"/>
      <c r="AK225" s="95"/>
      <c r="AL225" s="95"/>
      <c r="AM225" s="93"/>
      <c r="AN225" s="3"/>
      <c r="AP225" s="28"/>
      <c r="AQ225" s="29"/>
    </row>
    <row r="226" spans="1:43" ht="26.85" customHeight="1" x14ac:dyDescent="0.45">
      <c r="A226" s="15"/>
      <c r="B226" s="15"/>
      <c r="C226" s="15"/>
      <c r="D226" s="95"/>
      <c r="E226" s="95"/>
      <c r="F226" s="15"/>
      <c r="G226" s="95"/>
      <c r="H226" s="15"/>
      <c r="I226" s="15" t="str">
        <f>IF($H226&lt;&gt;"",(VLOOKUP(H226,'Other Lists'!O:P,2,FALSE)),"")</f>
        <v/>
      </c>
      <c r="J226" s="15"/>
      <c r="K226" s="15"/>
      <c r="L226" s="15"/>
      <c r="M226" s="15"/>
      <c r="N226" s="40"/>
      <c r="O226" s="15"/>
      <c r="P226" s="26"/>
      <c r="Q226" s="15"/>
      <c r="R226" s="15"/>
      <c r="S226" s="15"/>
      <c r="T226" s="15"/>
      <c r="U226" s="15"/>
      <c r="V226" s="95"/>
      <c r="W226" s="95"/>
      <c r="X226" s="15"/>
      <c r="Y226" s="15"/>
      <c r="Z226" s="15" t="str">
        <f t="shared" si="7"/>
        <v/>
      </c>
      <c r="AA226" s="15"/>
      <c r="AB226" s="15" t="str">
        <f t="shared" si="8"/>
        <v/>
      </c>
      <c r="AC226" s="15"/>
      <c r="AD226" s="15"/>
      <c r="AE226" s="15"/>
      <c r="AF226" s="15"/>
      <c r="AG226" s="15"/>
      <c r="AH226" s="15"/>
      <c r="AI226" s="15"/>
      <c r="AJ226" s="15"/>
      <c r="AK226" s="95"/>
      <c r="AL226" s="95"/>
      <c r="AM226" s="93"/>
      <c r="AN226" s="3"/>
      <c r="AP226" s="28"/>
      <c r="AQ226" s="29"/>
    </row>
    <row r="227" spans="1:43" ht="26.85" customHeight="1" x14ac:dyDescent="0.45">
      <c r="A227" s="15"/>
      <c r="B227" s="15"/>
      <c r="C227" s="15"/>
      <c r="D227" s="95"/>
      <c r="E227" s="95"/>
      <c r="F227" s="15"/>
      <c r="G227" s="95"/>
      <c r="H227" s="15"/>
      <c r="I227" s="15" t="str">
        <f>IF($H227&lt;&gt;"",(VLOOKUP(H227,'Other Lists'!O:P,2,FALSE)),"")</f>
        <v/>
      </c>
      <c r="J227" s="15"/>
      <c r="K227" s="15"/>
      <c r="L227" s="15"/>
      <c r="M227" s="15"/>
      <c r="N227" s="40"/>
      <c r="O227" s="15"/>
      <c r="P227" s="26"/>
      <c r="Q227" s="15"/>
      <c r="R227" s="15"/>
      <c r="S227" s="15"/>
      <c r="T227" s="15"/>
      <c r="U227" s="15"/>
      <c r="V227" s="95"/>
      <c r="W227" s="95"/>
      <c r="X227" s="15"/>
      <c r="Y227" s="15"/>
      <c r="Z227" s="15" t="str">
        <f t="shared" si="7"/>
        <v/>
      </c>
      <c r="AA227" s="15"/>
      <c r="AB227" s="15" t="str">
        <f t="shared" si="8"/>
        <v/>
      </c>
      <c r="AC227" s="15"/>
      <c r="AD227" s="15"/>
      <c r="AE227" s="15"/>
      <c r="AF227" s="15"/>
      <c r="AG227" s="15"/>
      <c r="AH227" s="15"/>
      <c r="AI227" s="15"/>
      <c r="AJ227" s="15"/>
      <c r="AK227" s="95"/>
      <c r="AL227" s="95"/>
      <c r="AM227" s="93"/>
      <c r="AN227" s="3"/>
      <c r="AP227" s="28"/>
      <c r="AQ227" s="29"/>
    </row>
    <row r="228" spans="1:43" ht="26.85" customHeight="1" x14ac:dyDescent="0.45">
      <c r="A228" s="15"/>
      <c r="B228" s="15"/>
      <c r="C228" s="15"/>
      <c r="D228" s="95"/>
      <c r="E228" s="95"/>
      <c r="F228" s="15"/>
      <c r="G228" s="95"/>
      <c r="H228" s="15"/>
      <c r="I228" s="15" t="str">
        <f>IF($H228&lt;&gt;"",(VLOOKUP(H228,'Other Lists'!O:P,2,FALSE)),"")</f>
        <v/>
      </c>
      <c r="J228" s="15"/>
      <c r="K228" s="15"/>
      <c r="L228" s="15"/>
      <c r="M228" s="15"/>
      <c r="N228" s="40"/>
      <c r="O228" s="15"/>
      <c r="P228" s="26"/>
      <c r="Q228" s="15"/>
      <c r="R228" s="15"/>
      <c r="S228" s="15"/>
      <c r="T228" s="15"/>
      <c r="U228" s="15"/>
      <c r="V228" s="95"/>
      <c r="W228" s="95"/>
      <c r="X228" s="15"/>
      <c r="Y228" s="15"/>
      <c r="Z228" s="15" t="str">
        <f t="shared" si="7"/>
        <v/>
      </c>
      <c r="AA228" s="15"/>
      <c r="AB228" s="15" t="str">
        <f t="shared" si="8"/>
        <v/>
      </c>
      <c r="AC228" s="15"/>
      <c r="AD228" s="15"/>
      <c r="AE228" s="15"/>
      <c r="AF228" s="15"/>
      <c r="AG228" s="15"/>
      <c r="AH228" s="15"/>
      <c r="AI228" s="15"/>
      <c r="AJ228" s="15"/>
      <c r="AK228" s="95"/>
      <c r="AL228" s="95"/>
      <c r="AM228" s="93"/>
      <c r="AN228" s="3"/>
      <c r="AP228" s="28"/>
      <c r="AQ228" s="29"/>
    </row>
    <row r="229" spans="1:43" ht="26.85" customHeight="1" x14ac:dyDescent="0.45">
      <c r="A229" s="15"/>
      <c r="B229" s="15"/>
      <c r="C229" s="15"/>
      <c r="D229" s="95"/>
      <c r="E229" s="95"/>
      <c r="F229" s="15"/>
      <c r="G229" s="95"/>
      <c r="H229" s="15"/>
      <c r="I229" s="15" t="str">
        <f>IF($H229&lt;&gt;"",(VLOOKUP(H229,'Other Lists'!O:P,2,FALSE)),"")</f>
        <v/>
      </c>
      <c r="J229" s="15"/>
      <c r="K229" s="15"/>
      <c r="L229" s="15"/>
      <c r="M229" s="15"/>
      <c r="N229" s="40"/>
      <c r="O229" s="15"/>
      <c r="P229" s="26"/>
      <c r="Q229" s="15"/>
      <c r="R229" s="15"/>
      <c r="S229" s="15"/>
      <c r="T229" s="15"/>
      <c r="U229" s="15"/>
      <c r="V229" s="95"/>
      <c r="W229" s="95"/>
      <c r="X229" s="15"/>
      <c r="Y229" s="15"/>
      <c r="Z229" s="15" t="str">
        <f t="shared" si="7"/>
        <v/>
      </c>
      <c r="AA229" s="15"/>
      <c r="AB229" s="15" t="str">
        <f t="shared" si="8"/>
        <v/>
      </c>
      <c r="AC229" s="15"/>
      <c r="AD229" s="15"/>
      <c r="AE229" s="15"/>
      <c r="AF229" s="15"/>
      <c r="AG229" s="15"/>
      <c r="AH229" s="15"/>
      <c r="AI229" s="15"/>
      <c r="AJ229" s="15"/>
      <c r="AK229" s="95"/>
      <c r="AL229" s="95"/>
      <c r="AM229" s="93"/>
      <c r="AN229" s="3"/>
      <c r="AP229" s="28"/>
      <c r="AQ229" s="29"/>
    </row>
    <row r="230" spans="1:43" ht="26.85" customHeight="1" x14ac:dyDescent="0.45">
      <c r="A230" s="15"/>
      <c r="B230" s="15"/>
      <c r="C230" s="15"/>
      <c r="D230" s="95"/>
      <c r="E230" s="95"/>
      <c r="F230" s="15"/>
      <c r="G230" s="95"/>
      <c r="H230" s="15"/>
      <c r="I230" s="15" t="str">
        <f>IF($H230&lt;&gt;"",(VLOOKUP(H230,'Other Lists'!O:P,2,FALSE)),"")</f>
        <v/>
      </c>
      <c r="J230" s="15"/>
      <c r="K230" s="15"/>
      <c r="L230" s="15"/>
      <c r="M230" s="15"/>
      <c r="N230" s="40"/>
      <c r="O230" s="15"/>
      <c r="P230" s="26"/>
      <c r="Q230" s="15"/>
      <c r="R230" s="15"/>
      <c r="S230" s="15"/>
      <c r="T230" s="15"/>
      <c r="U230" s="15"/>
      <c r="V230" s="95"/>
      <c r="W230" s="95"/>
      <c r="X230" s="15"/>
      <c r="Y230" s="15"/>
      <c r="Z230" s="15" t="str">
        <f t="shared" si="7"/>
        <v/>
      </c>
      <c r="AA230" s="15"/>
      <c r="AB230" s="15" t="str">
        <f t="shared" si="8"/>
        <v/>
      </c>
      <c r="AC230" s="15"/>
      <c r="AD230" s="15"/>
      <c r="AE230" s="15"/>
      <c r="AF230" s="15"/>
      <c r="AG230" s="15"/>
      <c r="AH230" s="15"/>
      <c r="AI230" s="15"/>
      <c r="AJ230" s="15"/>
      <c r="AK230" s="95"/>
      <c r="AL230" s="95"/>
      <c r="AM230" s="93"/>
      <c r="AN230" s="3"/>
      <c r="AP230" s="28"/>
      <c r="AQ230" s="29"/>
    </row>
    <row r="231" spans="1:43" ht="26.85" customHeight="1" x14ac:dyDescent="0.45">
      <c r="A231" s="15"/>
      <c r="B231" s="15"/>
      <c r="C231" s="15"/>
      <c r="D231" s="95"/>
      <c r="E231" s="95"/>
      <c r="F231" s="15"/>
      <c r="G231" s="95"/>
      <c r="H231" s="15"/>
      <c r="I231" s="15" t="str">
        <f>IF($H231&lt;&gt;"",(VLOOKUP(H231,'Other Lists'!O:P,2,FALSE)),"")</f>
        <v/>
      </c>
      <c r="J231" s="15"/>
      <c r="K231" s="15"/>
      <c r="L231" s="15"/>
      <c r="M231" s="15"/>
      <c r="N231" s="40"/>
      <c r="O231" s="15"/>
      <c r="P231" s="26"/>
      <c r="Q231" s="15"/>
      <c r="R231" s="15"/>
      <c r="S231" s="15"/>
      <c r="T231" s="15"/>
      <c r="U231" s="15"/>
      <c r="V231" s="95"/>
      <c r="W231" s="95"/>
      <c r="X231" s="15"/>
      <c r="Y231" s="15"/>
      <c r="Z231" s="15" t="str">
        <f t="shared" si="7"/>
        <v/>
      </c>
      <c r="AA231" s="15"/>
      <c r="AB231" s="15" t="str">
        <f t="shared" si="8"/>
        <v/>
      </c>
      <c r="AC231" s="15"/>
      <c r="AD231" s="15"/>
      <c r="AE231" s="15"/>
      <c r="AF231" s="15"/>
      <c r="AG231" s="15"/>
      <c r="AH231" s="15"/>
      <c r="AI231" s="15"/>
      <c r="AJ231" s="15"/>
      <c r="AK231" s="95"/>
      <c r="AL231" s="95"/>
      <c r="AM231" s="93"/>
      <c r="AN231" s="3"/>
      <c r="AP231" s="28"/>
      <c r="AQ231" s="29"/>
    </row>
    <row r="232" spans="1:43" ht="26.85" customHeight="1" x14ac:dyDescent="0.45">
      <c r="A232" s="15"/>
      <c r="B232" s="15"/>
      <c r="C232" s="15"/>
      <c r="D232" s="95"/>
      <c r="E232" s="95"/>
      <c r="F232" s="15"/>
      <c r="G232" s="95"/>
      <c r="H232" s="15"/>
      <c r="I232" s="15" t="str">
        <f>IF($H232&lt;&gt;"",(VLOOKUP(H232,'Other Lists'!O:P,2,FALSE)),"")</f>
        <v/>
      </c>
      <c r="J232" s="15"/>
      <c r="K232" s="15"/>
      <c r="L232" s="15"/>
      <c r="M232" s="15"/>
      <c r="N232" s="40"/>
      <c r="O232" s="15"/>
      <c r="P232" s="26"/>
      <c r="Q232" s="15"/>
      <c r="R232" s="15"/>
      <c r="S232" s="15"/>
      <c r="T232" s="15"/>
      <c r="U232" s="15"/>
      <c r="V232" s="95"/>
      <c r="W232" s="95"/>
      <c r="X232" s="15"/>
      <c r="Y232" s="15"/>
      <c r="Z232" s="15" t="str">
        <f t="shared" si="7"/>
        <v/>
      </c>
      <c r="AA232" s="15"/>
      <c r="AB232" s="15" t="str">
        <f t="shared" si="8"/>
        <v/>
      </c>
      <c r="AC232" s="15"/>
      <c r="AD232" s="15"/>
      <c r="AE232" s="15"/>
      <c r="AF232" s="15"/>
      <c r="AG232" s="15"/>
      <c r="AH232" s="15"/>
      <c r="AI232" s="15"/>
      <c r="AJ232" s="15"/>
      <c r="AK232" s="95"/>
      <c r="AL232" s="95"/>
      <c r="AM232" s="93"/>
      <c r="AN232" s="3"/>
      <c r="AP232" s="28"/>
      <c r="AQ232" s="29"/>
    </row>
    <row r="233" spans="1:43" ht="26.85" customHeight="1" x14ac:dyDescent="0.45">
      <c r="A233" s="15"/>
      <c r="B233" s="15"/>
      <c r="C233" s="15"/>
      <c r="D233" s="95"/>
      <c r="E233" s="95"/>
      <c r="F233" s="15"/>
      <c r="G233" s="95"/>
      <c r="H233" s="15"/>
      <c r="I233" s="15" t="str">
        <f>IF($H233&lt;&gt;"",(VLOOKUP(H233,'Other Lists'!O:P,2,FALSE)),"")</f>
        <v/>
      </c>
      <c r="J233" s="15"/>
      <c r="K233" s="15"/>
      <c r="L233" s="15"/>
      <c r="M233" s="15"/>
      <c r="N233" s="40"/>
      <c r="O233" s="15"/>
      <c r="P233" s="26"/>
      <c r="Q233" s="15"/>
      <c r="R233" s="15"/>
      <c r="S233" s="15"/>
      <c r="T233" s="15"/>
      <c r="U233" s="15"/>
      <c r="V233" s="95"/>
      <c r="W233" s="95"/>
      <c r="X233" s="15"/>
      <c r="Y233" s="15"/>
      <c r="Z233" s="15" t="str">
        <f t="shared" si="7"/>
        <v/>
      </c>
      <c r="AA233" s="15"/>
      <c r="AB233" s="15" t="str">
        <f t="shared" si="8"/>
        <v/>
      </c>
      <c r="AC233" s="15"/>
      <c r="AD233" s="15"/>
      <c r="AE233" s="15"/>
      <c r="AF233" s="15"/>
      <c r="AG233" s="15"/>
      <c r="AH233" s="15"/>
      <c r="AI233" s="15"/>
      <c r="AJ233" s="15"/>
      <c r="AK233" s="95"/>
      <c r="AL233" s="95"/>
      <c r="AM233" s="93"/>
      <c r="AN233" s="3"/>
      <c r="AP233" s="28"/>
      <c r="AQ233" s="29"/>
    </row>
    <row r="234" spans="1:43" ht="26.85" customHeight="1" x14ac:dyDescent="0.45">
      <c r="A234" s="15"/>
      <c r="B234" s="15"/>
      <c r="C234" s="15"/>
      <c r="D234" s="95"/>
      <c r="E234" s="95"/>
      <c r="F234" s="15"/>
      <c r="G234" s="95"/>
      <c r="H234" s="15"/>
      <c r="I234" s="15" t="str">
        <f>IF($H234&lt;&gt;"",(VLOOKUP(H234,'Other Lists'!O:P,2,FALSE)),"")</f>
        <v/>
      </c>
      <c r="J234" s="15"/>
      <c r="K234" s="15"/>
      <c r="L234" s="15"/>
      <c r="M234" s="15"/>
      <c r="N234" s="40"/>
      <c r="O234" s="15"/>
      <c r="P234" s="26"/>
      <c r="Q234" s="15"/>
      <c r="R234" s="15"/>
      <c r="S234" s="15"/>
      <c r="T234" s="15"/>
      <c r="U234" s="15"/>
      <c r="V234" s="95"/>
      <c r="W234" s="95"/>
      <c r="X234" s="15"/>
      <c r="Y234" s="15"/>
      <c r="Z234" s="15" t="str">
        <f t="shared" si="7"/>
        <v/>
      </c>
      <c r="AA234" s="15"/>
      <c r="AB234" s="15" t="str">
        <f t="shared" si="8"/>
        <v/>
      </c>
      <c r="AC234" s="15"/>
      <c r="AD234" s="15"/>
      <c r="AE234" s="15"/>
      <c r="AF234" s="15"/>
      <c r="AG234" s="15"/>
      <c r="AH234" s="15"/>
      <c r="AI234" s="15"/>
      <c r="AJ234" s="15"/>
      <c r="AK234" s="95"/>
      <c r="AL234" s="95"/>
      <c r="AM234" s="93"/>
      <c r="AN234" s="3"/>
      <c r="AP234" s="28"/>
      <c r="AQ234" s="29"/>
    </row>
    <row r="235" spans="1:43" ht="26.85" customHeight="1" x14ac:dyDescent="0.45">
      <c r="A235" s="15"/>
      <c r="B235" s="15"/>
      <c r="C235" s="15"/>
      <c r="D235" s="95"/>
      <c r="E235" s="95"/>
      <c r="F235" s="15"/>
      <c r="G235" s="95"/>
      <c r="H235" s="15"/>
      <c r="I235" s="15" t="str">
        <f>IF($H235&lt;&gt;"",(VLOOKUP(H235,'Other Lists'!O:P,2,FALSE)),"")</f>
        <v/>
      </c>
      <c r="J235" s="15"/>
      <c r="K235" s="15"/>
      <c r="L235" s="15"/>
      <c r="M235" s="15"/>
      <c r="N235" s="40"/>
      <c r="O235" s="15"/>
      <c r="P235" s="26"/>
      <c r="Q235" s="15"/>
      <c r="R235" s="15"/>
      <c r="S235" s="15"/>
      <c r="T235" s="15"/>
      <c r="U235" s="15"/>
      <c r="V235" s="95"/>
      <c r="W235" s="95"/>
      <c r="X235" s="15"/>
      <c r="Y235" s="15"/>
      <c r="Z235" s="15" t="str">
        <f t="shared" si="7"/>
        <v/>
      </c>
      <c r="AA235" s="15"/>
      <c r="AB235" s="15" t="str">
        <f t="shared" si="8"/>
        <v/>
      </c>
      <c r="AC235" s="15"/>
      <c r="AD235" s="15"/>
      <c r="AE235" s="15"/>
      <c r="AF235" s="15"/>
      <c r="AG235" s="15"/>
      <c r="AH235" s="15"/>
      <c r="AI235" s="15"/>
      <c r="AJ235" s="15"/>
      <c r="AK235" s="95"/>
      <c r="AL235" s="95"/>
      <c r="AM235" s="93"/>
      <c r="AN235" s="3"/>
      <c r="AP235" s="28"/>
      <c r="AQ235" s="29"/>
    </row>
    <row r="236" spans="1:43" ht="26.85" customHeight="1" x14ac:dyDescent="0.45">
      <c r="A236" s="15"/>
      <c r="B236" s="15"/>
      <c r="C236" s="15"/>
      <c r="D236" s="95"/>
      <c r="E236" s="95"/>
      <c r="F236" s="15"/>
      <c r="G236" s="95"/>
      <c r="H236" s="15"/>
      <c r="I236" s="15" t="str">
        <f>IF($H236&lt;&gt;"",(VLOOKUP(H236,'Other Lists'!O:P,2,FALSE)),"")</f>
        <v/>
      </c>
      <c r="J236" s="15"/>
      <c r="K236" s="15"/>
      <c r="L236" s="15"/>
      <c r="M236" s="15"/>
      <c r="N236" s="40"/>
      <c r="O236" s="15"/>
      <c r="P236" s="26"/>
      <c r="Q236" s="15"/>
      <c r="R236" s="15"/>
      <c r="S236" s="15"/>
      <c r="T236" s="15"/>
      <c r="U236" s="15"/>
      <c r="V236" s="95"/>
      <c r="W236" s="95"/>
      <c r="X236" s="15"/>
      <c r="Y236" s="15"/>
      <c r="Z236" s="15" t="str">
        <f t="shared" si="7"/>
        <v/>
      </c>
      <c r="AA236" s="15"/>
      <c r="AB236" s="15" t="str">
        <f t="shared" si="8"/>
        <v/>
      </c>
      <c r="AC236" s="15"/>
      <c r="AD236" s="15"/>
      <c r="AE236" s="15"/>
      <c r="AF236" s="15"/>
      <c r="AG236" s="15"/>
      <c r="AH236" s="15"/>
      <c r="AI236" s="15"/>
      <c r="AJ236" s="15"/>
      <c r="AK236" s="95"/>
      <c r="AL236" s="95"/>
      <c r="AM236" s="93"/>
      <c r="AN236" s="3"/>
      <c r="AP236" s="28"/>
      <c r="AQ236" s="29"/>
    </row>
    <row r="237" spans="1:43" ht="26.85" customHeight="1" x14ac:dyDescent="0.45">
      <c r="A237" s="15"/>
      <c r="B237" s="15"/>
      <c r="C237" s="15"/>
      <c r="D237" s="95"/>
      <c r="E237" s="95"/>
      <c r="F237" s="15"/>
      <c r="G237" s="95"/>
      <c r="H237" s="15"/>
      <c r="I237" s="15" t="str">
        <f>IF($H237&lt;&gt;"",(VLOOKUP(H237,'Other Lists'!O:P,2,FALSE)),"")</f>
        <v/>
      </c>
      <c r="J237" s="15"/>
      <c r="K237" s="15"/>
      <c r="L237" s="15"/>
      <c r="M237" s="15"/>
      <c r="N237" s="40"/>
      <c r="O237" s="15"/>
      <c r="P237" s="26"/>
      <c r="Q237" s="15"/>
      <c r="R237" s="15"/>
      <c r="S237" s="15"/>
      <c r="T237" s="15"/>
      <c r="U237" s="15"/>
      <c r="V237" s="95"/>
      <c r="W237" s="95"/>
      <c r="X237" s="15"/>
      <c r="Y237" s="15"/>
      <c r="Z237" s="15" t="str">
        <f t="shared" si="7"/>
        <v/>
      </c>
      <c r="AA237" s="15"/>
      <c r="AB237" s="15" t="str">
        <f t="shared" si="8"/>
        <v/>
      </c>
      <c r="AC237" s="15"/>
      <c r="AD237" s="15"/>
      <c r="AE237" s="15"/>
      <c r="AF237" s="15"/>
      <c r="AG237" s="15"/>
      <c r="AH237" s="15"/>
      <c r="AI237" s="15"/>
      <c r="AJ237" s="15"/>
      <c r="AK237" s="95"/>
      <c r="AL237" s="95"/>
      <c r="AM237" s="93"/>
      <c r="AN237" s="3"/>
      <c r="AP237" s="28"/>
      <c r="AQ237" s="29"/>
    </row>
    <row r="238" spans="1:43" ht="26.85" customHeight="1" x14ac:dyDescent="0.45">
      <c r="A238" s="15"/>
      <c r="B238" s="15"/>
      <c r="C238" s="15"/>
      <c r="D238" s="95"/>
      <c r="E238" s="95"/>
      <c r="F238" s="15"/>
      <c r="G238" s="95"/>
      <c r="H238" s="15"/>
      <c r="I238" s="15" t="str">
        <f>IF($H238&lt;&gt;"",(VLOOKUP(H238,'Other Lists'!O:P,2,FALSE)),"")</f>
        <v/>
      </c>
      <c r="J238" s="15"/>
      <c r="K238" s="15"/>
      <c r="L238" s="15"/>
      <c r="M238" s="15"/>
      <c r="N238" s="40"/>
      <c r="O238" s="15"/>
      <c r="P238" s="26"/>
      <c r="Q238" s="15"/>
      <c r="R238" s="15"/>
      <c r="S238" s="15"/>
      <c r="T238" s="15"/>
      <c r="U238" s="15"/>
      <c r="V238" s="95"/>
      <c r="W238" s="95"/>
      <c r="X238" s="15"/>
      <c r="Y238" s="15"/>
      <c r="Z238" s="15" t="str">
        <f t="shared" si="7"/>
        <v/>
      </c>
      <c r="AA238" s="15"/>
      <c r="AB238" s="15" t="str">
        <f t="shared" si="8"/>
        <v/>
      </c>
      <c r="AC238" s="15"/>
      <c r="AD238" s="15"/>
      <c r="AE238" s="15"/>
      <c r="AF238" s="15"/>
      <c r="AG238" s="15"/>
      <c r="AH238" s="15"/>
      <c r="AI238" s="15"/>
      <c r="AJ238" s="15"/>
      <c r="AK238" s="95"/>
      <c r="AL238" s="95"/>
      <c r="AM238" s="93"/>
      <c r="AN238" s="3"/>
      <c r="AP238" s="28"/>
      <c r="AQ238" s="29"/>
    </row>
    <row r="239" spans="1:43" ht="26.85" customHeight="1" x14ac:dyDescent="0.45">
      <c r="A239" s="15"/>
      <c r="B239" s="15"/>
      <c r="C239" s="15"/>
      <c r="D239" s="95"/>
      <c r="E239" s="95"/>
      <c r="F239" s="15"/>
      <c r="G239" s="95"/>
      <c r="H239" s="15"/>
      <c r="I239" s="15" t="str">
        <f>IF($H239&lt;&gt;"",(VLOOKUP(H239,'Other Lists'!O:P,2,FALSE)),"")</f>
        <v/>
      </c>
      <c r="J239" s="15"/>
      <c r="K239" s="15"/>
      <c r="L239" s="15"/>
      <c r="M239" s="15"/>
      <c r="N239" s="40"/>
      <c r="O239" s="15"/>
      <c r="P239" s="26"/>
      <c r="Q239" s="15"/>
      <c r="R239" s="15"/>
      <c r="S239" s="15"/>
      <c r="T239" s="15"/>
      <c r="U239" s="15"/>
      <c r="V239" s="95"/>
      <c r="W239" s="95"/>
      <c r="X239" s="15"/>
      <c r="Y239" s="15"/>
      <c r="Z239" s="15" t="str">
        <f t="shared" si="7"/>
        <v/>
      </c>
      <c r="AA239" s="15"/>
      <c r="AB239" s="15" t="str">
        <f t="shared" si="8"/>
        <v/>
      </c>
      <c r="AC239" s="15"/>
      <c r="AD239" s="15"/>
      <c r="AE239" s="15"/>
      <c r="AF239" s="15"/>
      <c r="AG239" s="15"/>
      <c r="AH239" s="15"/>
      <c r="AI239" s="15"/>
      <c r="AJ239" s="15"/>
      <c r="AK239" s="95"/>
      <c r="AL239" s="95"/>
      <c r="AM239" s="93"/>
      <c r="AN239" s="3"/>
      <c r="AP239" s="28"/>
      <c r="AQ239" s="29"/>
    </row>
    <row r="240" spans="1:43" ht="26.85" customHeight="1" x14ac:dyDescent="0.45">
      <c r="A240" s="15"/>
      <c r="B240" s="15"/>
      <c r="C240" s="15"/>
      <c r="D240" s="95"/>
      <c r="E240" s="95"/>
      <c r="F240" s="15"/>
      <c r="G240" s="95"/>
      <c r="H240" s="15"/>
      <c r="I240" s="15" t="str">
        <f>IF($H240&lt;&gt;"",(VLOOKUP(H240,'Other Lists'!O:P,2,FALSE)),"")</f>
        <v/>
      </c>
      <c r="J240" s="15"/>
      <c r="K240" s="15"/>
      <c r="L240" s="15"/>
      <c r="M240" s="15"/>
      <c r="N240" s="40"/>
      <c r="O240" s="15"/>
      <c r="P240" s="26"/>
      <c r="Q240" s="15"/>
      <c r="R240" s="15"/>
      <c r="S240" s="15"/>
      <c r="T240" s="15"/>
      <c r="U240" s="15"/>
      <c r="V240" s="95"/>
      <c r="W240" s="95"/>
      <c r="X240" s="15"/>
      <c r="Y240" s="15"/>
      <c r="Z240" s="15" t="str">
        <f t="shared" si="7"/>
        <v/>
      </c>
      <c r="AA240" s="15"/>
      <c r="AB240" s="15" t="str">
        <f t="shared" si="8"/>
        <v/>
      </c>
      <c r="AC240" s="15"/>
      <c r="AD240" s="15"/>
      <c r="AE240" s="15"/>
      <c r="AF240" s="15"/>
      <c r="AG240" s="15"/>
      <c r="AH240" s="15"/>
      <c r="AI240" s="15"/>
      <c r="AJ240" s="15"/>
      <c r="AK240" s="95"/>
      <c r="AL240" s="95"/>
      <c r="AM240" s="93"/>
      <c r="AN240" s="3"/>
      <c r="AP240" s="28"/>
      <c r="AQ240" s="29"/>
    </row>
    <row r="241" spans="1:43" ht="26.85" customHeight="1" x14ac:dyDescent="0.45">
      <c r="A241" s="15"/>
      <c r="B241" s="15"/>
      <c r="C241" s="15"/>
      <c r="D241" s="95"/>
      <c r="E241" s="95"/>
      <c r="F241" s="15"/>
      <c r="G241" s="95"/>
      <c r="H241" s="15"/>
      <c r="I241" s="15" t="str">
        <f>IF($H241&lt;&gt;"",(VLOOKUP(H241,'Other Lists'!O:P,2,FALSE)),"")</f>
        <v/>
      </c>
      <c r="J241" s="15"/>
      <c r="K241" s="15"/>
      <c r="L241" s="15"/>
      <c r="M241" s="15"/>
      <c r="N241" s="40"/>
      <c r="O241" s="15"/>
      <c r="P241" s="26"/>
      <c r="Q241" s="15"/>
      <c r="R241" s="15"/>
      <c r="S241" s="15"/>
      <c r="T241" s="15"/>
      <c r="U241" s="15"/>
      <c r="V241" s="95"/>
      <c r="W241" s="95"/>
      <c r="X241" s="15"/>
      <c r="Y241" s="15"/>
      <c r="Z241" s="15" t="str">
        <f t="shared" si="7"/>
        <v/>
      </c>
      <c r="AA241" s="15"/>
      <c r="AB241" s="15" t="str">
        <f t="shared" si="8"/>
        <v/>
      </c>
      <c r="AC241" s="15"/>
      <c r="AD241" s="15"/>
      <c r="AE241" s="15"/>
      <c r="AF241" s="15"/>
      <c r="AG241" s="15"/>
      <c r="AH241" s="15"/>
      <c r="AI241" s="15"/>
      <c r="AJ241" s="15"/>
      <c r="AK241" s="95"/>
      <c r="AL241" s="95"/>
      <c r="AM241" s="93"/>
      <c r="AN241" s="3"/>
      <c r="AP241" s="28"/>
      <c r="AQ241" s="29"/>
    </row>
    <row r="242" spans="1:43" ht="26.85" customHeight="1" x14ac:dyDescent="0.45">
      <c r="A242" s="15"/>
      <c r="B242" s="15"/>
      <c r="C242" s="15"/>
      <c r="D242" s="95"/>
      <c r="E242" s="95"/>
      <c r="F242" s="15"/>
      <c r="G242" s="95"/>
      <c r="H242" s="15"/>
      <c r="I242" s="15" t="str">
        <f>IF($H242&lt;&gt;"",(VLOOKUP(H242,'Other Lists'!O:P,2,FALSE)),"")</f>
        <v/>
      </c>
      <c r="J242" s="15"/>
      <c r="K242" s="15"/>
      <c r="L242" s="15"/>
      <c r="M242" s="15"/>
      <c r="N242" s="40"/>
      <c r="O242" s="15"/>
      <c r="P242" s="26"/>
      <c r="Q242" s="15"/>
      <c r="R242" s="15"/>
      <c r="S242" s="15"/>
      <c r="T242" s="15"/>
      <c r="U242" s="15"/>
      <c r="V242" s="95"/>
      <c r="W242" s="95"/>
      <c r="X242" s="15"/>
      <c r="Y242" s="15"/>
      <c r="Z242" s="15" t="str">
        <f t="shared" si="7"/>
        <v/>
      </c>
      <c r="AA242" s="15"/>
      <c r="AB242" s="15" t="str">
        <f t="shared" si="8"/>
        <v/>
      </c>
      <c r="AC242" s="15"/>
      <c r="AD242" s="15"/>
      <c r="AE242" s="15"/>
      <c r="AF242" s="15"/>
      <c r="AG242" s="15"/>
      <c r="AH242" s="15"/>
      <c r="AI242" s="15"/>
      <c r="AJ242" s="15"/>
      <c r="AK242" s="95"/>
      <c r="AL242" s="95"/>
      <c r="AM242" s="93"/>
      <c r="AN242" s="3"/>
      <c r="AP242" s="28"/>
      <c r="AQ242" s="29"/>
    </row>
    <row r="243" spans="1:43" ht="26.85" customHeight="1" x14ac:dyDescent="0.45">
      <c r="A243" s="15"/>
      <c r="B243" s="15"/>
      <c r="C243" s="15"/>
      <c r="D243" s="95"/>
      <c r="E243" s="95"/>
      <c r="F243" s="15"/>
      <c r="G243" s="95"/>
      <c r="H243" s="15"/>
      <c r="I243" s="15" t="str">
        <f>IF($H243&lt;&gt;"",(VLOOKUP(H243,'Other Lists'!O:P,2,FALSE)),"")</f>
        <v/>
      </c>
      <c r="J243" s="15"/>
      <c r="K243" s="15"/>
      <c r="L243" s="15"/>
      <c r="M243" s="15"/>
      <c r="N243" s="40"/>
      <c r="O243" s="15"/>
      <c r="P243" s="26"/>
      <c r="Q243" s="15"/>
      <c r="R243" s="15"/>
      <c r="S243" s="15"/>
      <c r="T243" s="15"/>
      <c r="U243" s="15"/>
      <c r="V243" s="95"/>
      <c r="W243" s="95"/>
      <c r="X243" s="15"/>
      <c r="Y243" s="15"/>
      <c r="Z243" s="15" t="str">
        <f t="shared" si="7"/>
        <v/>
      </c>
      <c r="AA243" s="15"/>
      <c r="AB243" s="15" t="str">
        <f t="shared" si="8"/>
        <v/>
      </c>
      <c r="AC243" s="15"/>
      <c r="AD243" s="15"/>
      <c r="AE243" s="15"/>
      <c r="AF243" s="15"/>
      <c r="AG243" s="15"/>
      <c r="AH243" s="15"/>
      <c r="AI243" s="15"/>
      <c r="AJ243" s="15"/>
      <c r="AK243" s="95"/>
      <c r="AL243" s="95"/>
      <c r="AM243" s="93"/>
      <c r="AN243" s="3"/>
      <c r="AP243" s="28"/>
      <c r="AQ243" s="29"/>
    </row>
    <row r="244" spans="1:43" ht="26.85" customHeight="1" x14ac:dyDescent="0.45">
      <c r="A244" s="15"/>
      <c r="B244" s="15"/>
      <c r="C244" s="15"/>
      <c r="D244" s="95"/>
      <c r="E244" s="95"/>
      <c r="F244" s="15"/>
      <c r="G244" s="95"/>
      <c r="H244" s="15"/>
      <c r="I244" s="15" t="str">
        <f>IF($H244&lt;&gt;"",(VLOOKUP(H244,'Other Lists'!O:P,2,FALSE)),"")</f>
        <v/>
      </c>
      <c r="J244" s="15"/>
      <c r="K244" s="15"/>
      <c r="L244" s="15"/>
      <c r="M244" s="15"/>
      <c r="N244" s="40"/>
      <c r="O244" s="15"/>
      <c r="P244" s="26"/>
      <c r="Q244" s="15"/>
      <c r="R244" s="15"/>
      <c r="S244" s="15"/>
      <c r="T244" s="15"/>
      <c r="U244" s="15"/>
      <c r="V244" s="95"/>
      <c r="W244" s="95"/>
      <c r="X244" s="15"/>
      <c r="Y244" s="15"/>
      <c r="Z244" s="15" t="str">
        <f t="shared" si="7"/>
        <v/>
      </c>
      <c r="AA244" s="15"/>
      <c r="AB244" s="15" t="str">
        <f t="shared" si="8"/>
        <v/>
      </c>
      <c r="AC244" s="15"/>
      <c r="AD244" s="15"/>
      <c r="AE244" s="15"/>
      <c r="AF244" s="15"/>
      <c r="AG244" s="15"/>
      <c r="AH244" s="15"/>
      <c r="AI244" s="15"/>
      <c r="AJ244" s="15"/>
      <c r="AK244" s="95"/>
      <c r="AL244" s="95"/>
      <c r="AM244" s="93"/>
      <c r="AN244" s="3"/>
      <c r="AP244" s="28"/>
      <c r="AQ244" s="29"/>
    </row>
    <row r="245" spans="1:43" ht="26.85" customHeight="1" x14ac:dyDescent="0.45">
      <c r="A245" s="15"/>
      <c r="B245" s="15"/>
      <c r="C245" s="15"/>
      <c r="D245" s="95"/>
      <c r="E245" s="95"/>
      <c r="F245" s="15"/>
      <c r="G245" s="95"/>
      <c r="H245" s="15"/>
      <c r="I245" s="15" t="str">
        <f>IF($H245&lt;&gt;"",(VLOOKUP(H245,'Other Lists'!O:P,2,FALSE)),"")</f>
        <v/>
      </c>
      <c r="J245" s="15"/>
      <c r="K245" s="15"/>
      <c r="L245" s="15"/>
      <c r="M245" s="15"/>
      <c r="N245" s="40"/>
      <c r="O245" s="15"/>
      <c r="P245" s="26"/>
      <c r="Q245" s="15"/>
      <c r="R245" s="15"/>
      <c r="S245" s="15"/>
      <c r="T245" s="15"/>
      <c r="U245" s="15"/>
      <c r="V245" s="95"/>
      <c r="W245" s="95"/>
      <c r="X245" s="15"/>
      <c r="Y245" s="15"/>
      <c r="Z245" s="15" t="str">
        <f t="shared" si="7"/>
        <v/>
      </c>
      <c r="AA245" s="15"/>
      <c r="AB245" s="15" t="str">
        <f t="shared" ref="AB245:AB308" si="9">(SUBSTITUTE(SUBSTITUTE(SUBSTITUTE(SUBSTITUTE(SUBSTITUTE(SUBSTITUTE($AA245,",","_")," ","_"),"/","_"),"(","_"),")",""),"_","_"))</f>
        <v/>
      </c>
      <c r="AC245" s="15"/>
      <c r="AD245" s="15"/>
      <c r="AE245" s="15"/>
      <c r="AF245" s="15"/>
      <c r="AG245" s="15"/>
      <c r="AH245" s="15"/>
      <c r="AI245" s="15"/>
      <c r="AJ245" s="15"/>
      <c r="AK245" s="95"/>
      <c r="AL245" s="95"/>
      <c r="AM245" s="93"/>
      <c r="AN245" s="3"/>
      <c r="AP245" s="28"/>
      <c r="AQ245" s="29"/>
    </row>
    <row r="246" spans="1:43" ht="26.85" customHeight="1" x14ac:dyDescent="0.45">
      <c r="A246" s="15"/>
      <c r="B246" s="15"/>
      <c r="C246" s="15"/>
      <c r="D246" s="95"/>
      <c r="E246" s="95"/>
      <c r="F246" s="15"/>
      <c r="G246" s="95"/>
      <c r="H246" s="15"/>
      <c r="I246" s="15" t="str">
        <f>IF($H246&lt;&gt;"",(VLOOKUP(H246,'Other Lists'!O:P,2,FALSE)),"")</f>
        <v/>
      </c>
      <c r="J246" s="15"/>
      <c r="K246" s="15"/>
      <c r="L246" s="15"/>
      <c r="M246" s="15"/>
      <c r="N246" s="40"/>
      <c r="O246" s="15"/>
      <c r="P246" s="26"/>
      <c r="Q246" s="15"/>
      <c r="R246" s="15"/>
      <c r="S246" s="15"/>
      <c r="T246" s="15"/>
      <c r="U246" s="15"/>
      <c r="V246" s="95"/>
      <c r="W246" s="95"/>
      <c r="X246" s="15"/>
      <c r="Y246" s="15"/>
      <c r="Z246" s="15" t="str">
        <f t="shared" si="7"/>
        <v/>
      </c>
      <c r="AA246" s="15"/>
      <c r="AB246" s="15" t="str">
        <f t="shared" si="9"/>
        <v/>
      </c>
      <c r="AC246" s="15"/>
      <c r="AD246" s="15"/>
      <c r="AE246" s="15"/>
      <c r="AF246" s="15"/>
      <c r="AG246" s="15"/>
      <c r="AH246" s="15"/>
      <c r="AI246" s="15"/>
      <c r="AJ246" s="15"/>
      <c r="AK246" s="95"/>
      <c r="AL246" s="95"/>
      <c r="AM246" s="93"/>
      <c r="AN246" s="3"/>
      <c r="AP246" s="28"/>
      <c r="AQ246" s="29"/>
    </row>
    <row r="247" spans="1:43" ht="26.85" customHeight="1" x14ac:dyDescent="0.45">
      <c r="A247" s="15"/>
      <c r="B247" s="15"/>
      <c r="C247" s="15"/>
      <c r="D247" s="95"/>
      <c r="E247" s="95"/>
      <c r="F247" s="15"/>
      <c r="G247" s="95"/>
      <c r="H247" s="15"/>
      <c r="I247" s="15" t="str">
        <f>IF($H247&lt;&gt;"",(VLOOKUP(H247,'Other Lists'!O:P,2,FALSE)),"")</f>
        <v/>
      </c>
      <c r="J247" s="15"/>
      <c r="K247" s="15"/>
      <c r="L247" s="15"/>
      <c r="M247" s="15"/>
      <c r="N247" s="40"/>
      <c r="O247" s="15"/>
      <c r="P247" s="26"/>
      <c r="Q247" s="15"/>
      <c r="R247" s="15"/>
      <c r="S247" s="15"/>
      <c r="T247" s="15"/>
      <c r="U247" s="15"/>
      <c r="V247" s="95"/>
      <c r="W247" s="95"/>
      <c r="X247" s="15"/>
      <c r="Y247" s="15"/>
      <c r="Z247" s="15" t="str">
        <f t="shared" ref="Z247:Z308" si="10">(SUBSTITUTE(SUBSTITUTE(SUBSTITUTE(SUBSTITUTE(SUBSTITUTE(SUBSTITUTE($Y247,",","_")," ","_"),"/","_"),"(","_"),")",""),"-","_"))</f>
        <v/>
      </c>
      <c r="AA247" s="15"/>
      <c r="AB247" s="15" t="str">
        <f t="shared" si="9"/>
        <v/>
      </c>
      <c r="AC247" s="15"/>
      <c r="AD247" s="15"/>
      <c r="AE247" s="15"/>
      <c r="AF247" s="15"/>
      <c r="AG247" s="15"/>
      <c r="AH247" s="15"/>
      <c r="AI247" s="15"/>
      <c r="AJ247" s="15"/>
      <c r="AK247" s="95"/>
      <c r="AL247" s="95"/>
      <c r="AM247" s="93"/>
      <c r="AN247" s="3"/>
      <c r="AP247" s="28"/>
      <c r="AQ247" s="29"/>
    </row>
    <row r="248" spans="1:43" ht="26.85" customHeight="1" x14ac:dyDescent="0.45">
      <c r="A248" s="15"/>
      <c r="B248" s="15"/>
      <c r="C248" s="15"/>
      <c r="D248" s="95"/>
      <c r="E248" s="95"/>
      <c r="F248" s="15"/>
      <c r="G248" s="95"/>
      <c r="H248" s="15"/>
      <c r="I248" s="15" t="str">
        <f>IF($H248&lt;&gt;"",(VLOOKUP(H248,'Other Lists'!O:P,2,FALSE)),"")</f>
        <v/>
      </c>
      <c r="J248" s="15"/>
      <c r="K248" s="15"/>
      <c r="L248" s="15"/>
      <c r="M248" s="15"/>
      <c r="N248" s="40"/>
      <c r="O248" s="15"/>
      <c r="P248" s="26"/>
      <c r="Q248" s="15"/>
      <c r="R248" s="15"/>
      <c r="S248" s="15"/>
      <c r="T248" s="15"/>
      <c r="U248" s="15"/>
      <c r="V248" s="95"/>
      <c r="W248" s="95"/>
      <c r="X248" s="15"/>
      <c r="Y248" s="15"/>
      <c r="Z248" s="15" t="str">
        <f t="shared" si="10"/>
        <v/>
      </c>
      <c r="AA248" s="15"/>
      <c r="AB248" s="15" t="str">
        <f t="shared" si="9"/>
        <v/>
      </c>
      <c r="AC248" s="15"/>
      <c r="AD248" s="15"/>
      <c r="AE248" s="15"/>
      <c r="AF248" s="15"/>
      <c r="AG248" s="15"/>
      <c r="AH248" s="15"/>
      <c r="AI248" s="15"/>
      <c r="AJ248" s="15"/>
      <c r="AK248" s="95"/>
      <c r="AL248" s="95"/>
      <c r="AM248" s="93"/>
      <c r="AN248" s="3"/>
      <c r="AP248" s="28"/>
      <c r="AQ248" s="29"/>
    </row>
    <row r="249" spans="1:43" ht="26.85" customHeight="1" x14ac:dyDescent="0.45">
      <c r="A249" s="15"/>
      <c r="B249" s="15"/>
      <c r="C249" s="15"/>
      <c r="D249" s="95"/>
      <c r="E249" s="95"/>
      <c r="F249" s="15"/>
      <c r="G249" s="95"/>
      <c r="H249" s="15"/>
      <c r="I249" s="15" t="str">
        <f>IF($H249&lt;&gt;"",(VLOOKUP(H249,'Other Lists'!O:P,2,FALSE)),"")</f>
        <v/>
      </c>
      <c r="J249" s="15"/>
      <c r="K249" s="15"/>
      <c r="L249" s="15"/>
      <c r="M249" s="15"/>
      <c r="N249" s="40"/>
      <c r="O249" s="15"/>
      <c r="P249" s="26"/>
      <c r="Q249" s="15"/>
      <c r="R249" s="15"/>
      <c r="S249" s="15"/>
      <c r="T249" s="15"/>
      <c r="U249" s="15"/>
      <c r="V249" s="95"/>
      <c r="W249" s="95"/>
      <c r="X249" s="15"/>
      <c r="Y249" s="15"/>
      <c r="Z249" s="15" t="str">
        <f t="shared" si="10"/>
        <v/>
      </c>
      <c r="AA249" s="15"/>
      <c r="AB249" s="15" t="str">
        <f t="shared" si="9"/>
        <v/>
      </c>
      <c r="AC249" s="15"/>
      <c r="AD249" s="15"/>
      <c r="AE249" s="15"/>
      <c r="AF249" s="15"/>
      <c r="AG249" s="15"/>
      <c r="AH249" s="15"/>
      <c r="AI249" s="15"/>
      <c r="AJ249" s="15"/>
      <c r="AK249" s="95"/>
      <c r="AL249" s="95"/>
      <c r="AM249" s="93"/>
      <c r="AN249" s="3"/>
      <c r="AP249" s="28"/>
      <c r="AQ249" s="29"/>
    </row>
    <row r="250" spans="1:43" ht="26.85" customHeight="1" x14ac:dyDescent="0.45">
      <c r="A250" s="15"/>
      <c r="B250" s="15"/>
      <c r="C250" s="15"/>
      <c r="D250" s="95"/>
      <c r="E250" s="95"/>
      <c r="F250" s="15"/>
      <c r="G250" s="95"/>
      <c r="H250" s="15"/>
      <c r="I250" s="15" t="str">
        <f>IF($H250&lt;&gt;"",(VLOOKUP(H250,'Other Lists'!O:P,2,FALSE)),"")</f>
        <v/>
      </c>
      <c r="J250" s="15"/>
      <c r="K250" s="15"/>
      <c r="L250" s="15"/>
      <c r="M250" s="15"/>
      <c r="N250" s="40"/>
      <c r="O250" s="15"/>
      <c r="P250" s="26"/>
      <c r="Q250" s="15"/>
      <c r="R250" s="15"/>
      <c r="S250" s="15"/>
      <c r="T250" s="15"/>
      <c r="U250" s="15"/>
      <c r="V250" s="95"/>
      <c r="W250" s="95"/>
      <c r="X250" s="15"/>
      <c r="Y250" s="15"/>
      <c r="Z250" s="15" t="str">
        <f t="shared" si="10"/>
        <v/>
      </c>
      <c r="AA250" s="15"/>
      <c r="AB250" s="15" t="str">
        <f t="shared" si="9"/>
        <v/>
      </c>
      <c r="AC250" s="15"/>
      <c r="AD250" s="15"/>
      <c r="AE250" s="15"/>
      <c r="AF250" s="15"/>
      <c r="AG250" s="15"/>
      <c r="AH250" s="15"/>
      <c r="AI250" s="15"/>
      <c r="AJ250" s="15"/>
      <c r="AK250" s="95"/>
      <c r="AL250" s="95"/>
      <c r="AM250" s="93"/>
      <c r="AN250" s="3"/>
      <c r="AP250" s="28"/>
      <c r="AQ250" s="29"/>
    </row>
    <row r="251" spans="1:43" ht="26.85" customHeight="1" x14ac:dyDescent="0.45">
      <c r="A251" s="15"/>
      <c r="B251" s="15"/>
      <c r="C251" s="15"/>
      <c r="D251" s="95"/>
      <c r="E251" s="95"/>
      <c r="F251" s="15"/>
      <c r="G251" s="95"/>
      <c r="H251" s="15"/>
      <c r="I251" s="15" t="str">
        <f>IF($H251&lt;&gt;"",(VLOOKUP(H251,'Other Lists'!O:P,2,FALSE)),"")</f>
        <v/>
      </c>
      <c r="J251" s="15"/>
      <c r="K251" s="15"/>
      <c r="L251" s="15"/>
      <c r="M251" s="15"/>
      <c r="N251" s="40"/>
      <c r="O251" s="15"/>
      <c r="P251" s="26"/>
      <c r="Q251" s="15"/>
      <c r="R251" s="15"/>
      <c r="S251" s="15"/>
      <c r="T251" s="15"/>
      <c r="U251" s="15"/>
      <c r="V251" s="95"/>
      <c r="W251" s="95"/>
      <c r="X251" s="15"/>
      <c r="Y251" s="15"/>
      <c r="Z251" s="15" t="str">
        <f t="shared" si="10"/>
        <v/>
      </c>
      <c r="AA251" s="15"/>
      <c r="AB251" s="15" t="str">
        <f t="shared" si="9"/>
        <v/>
      </c>
      <c r="AC251" s="15"/>
      <c r="AD251" s="15"/>
      <c r="AE251" s="15"/>
      <c r="AF251" s="15"/>
      <c r="AG251" s="15"/>
      <c r="AH251" s="15"/>
      <c r="AI251" s="15"/>
      <c r="AJ251" s="15"/>
      <c r="AK251" s="95"/>
      <c r="AL251" s="95"/>
      <c r="AM251" s="93"/>
      <c r="AN251" s="3"/>
      <c r="AP251" s="28"/>
      <c r="AQ251" s="29"/>
    </row>
    <row r="252" spans="1:43" ht="26.85" customHeight="1" x14ac:dyDescent="0.45">
      <c r="A252" s="15"/>
      <c r="B252" s="15"/>
      <c r="C252" s="15"/>
      <c r="D252" s="95"/>
      <c r="E252" s="95"/>
      <c r="F252" s="15"/>
      <c r="G252" s="95"/>
      <c r="H252" s="15"/>
      <c r="I252" s="15" t="str">
        <f>IF($H252&lt;&gt;"",(VLOOKUP(H252,'Other Lists'!O:P,2,FALSE)),"")</f>
        <v/>
      </c>
      <c r="J252" s="15"/>
      <c r="K252" s="15"/>
      <c r="L252" s="15"/>
      <c r="M252" s="15"/>
      <c r="N252" s="40"/>
      <c r="O252" s="15"/>
      <c r="P252" s="26"/>
      <c r="Q252" s="15"/>
      <c r="R252" s="15"/>
      <c r="S252" s="15"/>
      <c r="T252" s="15"/>
      <c r="U252" s="15"/>
      <c r="V252" s="95"/>
      <c r="W252" s="95"/>
      <c r="X252" s="15"/>
      <c r="Y252" s="15"/>
      <c r="Z252" s="15" t="str">
        <f t="shared" si="10"/>
        <v/>
      </c>
      <c r="AA252" s="15"/>
      <c r="AB252" s="15" t="str">
        <f t="shared" si="9"/>
        <v/>
      </c>
      <c r="AC252" s="15"/>
      <c r="AD252" s="15"/>
      <c r="AE252" s="15"/>
      <c r="AF252" s="15"/>
      <c r="AG252" s="15"/>
      <c r="AH252" s="15"/>
      <c r="AI252" s="15"/>
      <c r="AJ252" s="15"/>
      <c r="AK252" s="95"/>
      <c r="AL252" s="95"/>
      <c r="AM252" s="93"/>
      <c r="AN252" s="3"/>
      <c r="AP252" s="28"/>
      <c r="AQ252" s="29"/>
    </row>
    <row r="253" spans="1:43" ht="26.85" customHeight="1" x14ac:dyDescent="0.45">
      <c r="A253" s="15"/>
      <c r="B253" s="15"/>
      <c r="C253" s="15"/>
      <c r="D253" s="95"/>
      <c r="E253" s="95"/>
      <c r="F253" s="15"/>
      <c r="G253" s="95"/>
      <c r="H253" s="15"/>
      <c r="I253" s="15" t="str">
        <f>IF($H253&lt;&gt;"",(VLOOKUP(H253,'Other Lists'!O:P,2,FALSE)),"")</f>
        <v/>
      </c>
      <c r="J253" s="15"/>
      <c r="K253" s="15"/>
      <c r="L253" s="15"/>
      <c r="M253" s="15"/>
      <c r="N253" s="40"/>
      <c r="O253" s="15"/>
      <c r="P253" s="26"/>
      <c r="Q253" s="15"/>
      <c r="R253" s="15"/>
      <c r="S253" s="15"/>
      <c r="T253" s="15"/>
      <c r="U253" s="15"/>
      <c r="V253" s="95"/>
      <c r="W253" s="95"/>
      <c r="X253" s="15"/>
      <c r="Y253" s="15"/>
      <c r="Z253" s="15" t="str">
        <f t="shared" si="10"/>
        <v/>
      </c>
      <c r="AA253" s="15"/>
      <c r="AB253" s="15" t="str">
        <f t="shared" si="9"/>
        <v/>
      </c>
      <c r="AC253" s="15"/>
      <c r="AD253" s="15"/>
      <c r="AE253" s="15"/>
      <c r="AF253" s="15"/>
      <c r="AG253" s="15"/>
      <c r="AH253" s="15"/>
      <c r="AI253" s="15"/>
      <c r="AJ253" s="15"/>
      <c r="AK253" s="95"/>
      <c r="AL253" s="95"/>
      <c r="AM253" s="93"/>
      <c r="AN253" s="3"/>
      <c r="AP253" s="28"/>
      <c r="AQ253" s="29"/>
    </row>
    <row r="254" spans="1:43" ht="26.85" customHeight="1" x14ac:dyDescent="0.45">
      <c r="A254" s="15"/>
      <c r="B254" s="15"/>
      <c r="C254" s="15"/>
      <c r="D254" s="95"/>
      <c r="E254" s="95"/>
      <c r="F254" s="15"/>
      <c r="G254" s="95"/>
      <c r="H254" s="15"/>
      <c r="I254" s="15" t="str">
        <f>IF($H254&lt;&gt;"",(VLOOKUP(H254,'Other Lists'!O:P,2,FALSE)),"")</f>
        <v/>
      </c>
      <c r="J254" s="15"/>
      <c r="K254" s="15"/>
      <c r="L254" s="15"/>
      <c r="M254" s="15"/>
      <c r="N254" s="40"/>
      <c r="O254" s="15"/>
      <c r="P254" s="26"/>
      <c r="Q254" s="15"/>
      <c r="R254" s="15"/>
      <c r="S254" s="15"/>
      <c r="T254" s="15"/>
      <c r="U254" s="15"/>
      <c r="V254" s="95"/>
      <c r="W254" s="95"/>
      <c r="X254" s="15"/>
      <c r="Y254" s="15"/>
      <c r="Z254" s="15" t="str">
        <f t="shared" si="10"/>
        <v/>
      </c>
      <c r="AA254" s="15"/>
      <c r="AB254" s="15" t="str">
        <f t="shared" si="9"/>
        <v/>
      </c>
      <c r="AC254" s="15"/>
      <c r="AD254" s="15"/>
      <c r="AE254" s="15"/>
      <c r="AF254" s="15"/>
      <c r="AG254" s="15"/>
      <c r="AH254" s="15"/>
      <c r="AI254" s="15"/>
      <c r="AJ254" s="15"/>
      <c r="AK254" s="95"/>
      <c r="AL254" s="95"/>
      <c r="AM254" s="93"/>
      <c r="AN254" s="3"/>
      <c r="AP254" s="28"/>
      <c r="AQ254" s="29"/>
    </row>
    <row r="255" spans="1:43" ht="26.85" customHeight="1" x14ac:dyDescent="0.45">
      <c r="A255" s="15"/>
      <c r="B255" s="15"/>
      <c r="C255" s="15"/>
      <c r="D255" s="95"/>
      <c r="E255" s="95"/>
      <c r="F255" s="15"/>
      <c r="G255" s="95"/>
      <c r="H255" s="15"/>
      <c r="I255" s="15" t="str">
        <f>IF($H255&lt;&gt;"",(VLOOKUP(H255,'Other Lists'!O:P,2,FALSE)),"")</f>
        <v/>
      </c>
      <c r="J255" s="15"/>
      <c r="K255" s="15"/>
      <c r="L255" s="15"/>
      <c r="M255" s="15"/>
      <c r="N255" s="40"/>
      <c r="O255" s="15"/>
      <c r="P255" s="26"/>
      <c r="Q255" s="15"/>
      <c r="R255" s="15"/>
      <c r="S255" s="15"/>
      <c r="T255" s="15"/>
      <c r="U255" s="15"/>
      <c r="V255" s="95"/>
      <c r="W255" s="95"/>
      <c r="X255" s="15"/>
      <c r="Y255" s="15"/>
      <c r="Z255" s="15" t="str">
        <f t="shared" si="10"/>
        <v/>
      </c>
      <c r="AA255" s="15"/>
      <c r="AB255" s="15" t="str">
        <f t="shared" si="9"/>
        <v/>
      </c>
      <c r="AC255" s="15"/>
      <c r="AD255" s="15"/>
      <c r="AE255" s="15"/>
      <c r="AF255" s="15"/>
      <c r="AG255" s="15"/>
      <c r="AH255" s="15"/>
      <c r="AI255" s="15"/>
      <c r="AJ255" s="15"/>
      <c r="AK255" s="95"/>
      <c r="AL255" s="95"/>
      <c r="AM255" s="93"/>
      <c r="AN255" s="3"/>
      <c r="AP255" s="28"/>
      <c r="AQ255" s="29"/>
    </row>
    <row r="256" spans="1:43" ht="26.85" customHeight="1" x14ac:dyDescent="0.45">
      <c r="A256" s="15"/>
      <c r="B256" s="15"/>
      <c r="C256" s="15"/>
      <c r="D256" s="95"/>
      <c r="E256" s="95"/>
      <c r="F256" s="15"/>
      <c r="G256" s="95"/>
      <c r="H256" s="15"/>
      <c r="I256" s="15" t="str">
        <f>IF($H256&lt;&gt;"",(VLOOKUP(H256,'Other Lists'!O:P,2,FALSE)),"")</f>
        <v/>
      </c>
      <c r="J256" s="15"/>
      <c r="K256" s="15"/>
      <c r="L256" s="15"/>
      <c r="M256" s="15"/>
      <c r="N256" s="40"/>
      <c r="O256" s="15"/>
      <c r="P256" s="26"/>
      <c r="Q256" s="15"/>
      <c r="R256" s="15"/>
      <c r="S256" s="15"/>
      <c r="T256" s="15"/>
      <c r="U256" s="15"/>
      <c r="V256" s="95"/>
      <c r="W256" s="95"/>
      <c r="X256" s="15"/>
      <c r="Y256" s="15"/>
      <c r="Z256" s="15" t="str">
        <f t="shared" si="10"/>
        <v/>
      </c>
      <c r="AA256" s="15"/>
      <c r="AB256" s="15" t="str">
        <f t="shared" si="9"/>
        <v/>
      </c>
      <c r="AC256" s="15"/>
      <c r="AD256" s="15"/>
      <c r="AE256" s="15"/>
      <c r="AF256" s="15"/>
      <c r="AG256" s="15"/>
      <c r="AH256" s="15"/>
      <c r="AI256" s="15"/>
      <c r="AJ256" s="15"/>
      <c r="AK256" s="95"/>
      <c r="AL256" s="95"/>
      <c r="AM256" s="93"/>
      <c r="AN256" s="3"/>
      <c r="AP256" s="28"/>
      <c r="AQ256" s="29"/>
    </row>
    <row r="257" spans="1:43" ht="26.85" customHeight="1" x14ac:dyDescent="0.45">
      <c r="A257" s="15"/>
      <c r="B257" s="15"/>
      <c r="C257" s="15"/>
      <c r="D257" s="95"/>
      <c r="E257" s="95"/>
      <c r="F257" s="15"/>
      <c r="G257" s="95"/>
      <c r="H257" s="15"/>
      <c r="I257" s="15" t="str">
        <f>IF($H257&lt;&gt;"",(VLOOKUP(H257,'Other Lists'!O:P,2,FALSE)),"")</f>
        <v/>
      </c>
      <c r="J257" s="15"/>
      <c r="K257" s="15"/>
      <c r="L257" s="15"/>
      <c r="M257" s="15"/>
      <c r="N257" s="40"/>
      <c r="O257" s="15"/>
      <c r="P257" s="26"/>
      <c r="Q257" s="15"/>
      <c r="R257" s="15"/>
      <c r="S257" s="15"/>
      <c r="T257" s="15"/>
      <c r="U257" s="15"/>
      <c r="V257" s="95"/>
      <c r="W257" s="95"/>
      <c r="X257" s="15"/>
      <c r="Y257" s="15"/>
      <c r="Z257" s="15" t="str">
        <f t="shared" si="10"/>
        <v/>
      </c>
      <c r="AA257" s="15"/>
      <c r="AB257" s="15" t="str">
        <f t="shared" si="9"/>
        <v/>
      </c>
      <c r="AC257" s="15"/>
      <c r="AD257" s="15"/>
      <c r="AE257" s="15"/>
      <c r="AF257" s="15"/>
      <c r="AG257" s="15"/>
      <c r="AH257" s="15"/>
      <c r="AI257" s="15"/>
      <c r="AJ257" s="15"/>
      <c r="AK257" s="95"/>
      <c r="AL257" s="95"/>
      <c r="AM257" s="93"/>
      <c r="AN257" s="3"/>
      <c r="AP257" s="28"/>
      <c r="AQ257" s="29"/>
    </row>
    <row r="258" spans="1:43" ht="26.85" customHeight="1" x14ac:dyDescent="0.45">
      <c r="A258" s="15"/>
      <c r="B258" s="15"/>
      <c r="C258" s="15"/>
      <c r="D258" s="95"/>
      <c r="E258" s="95"/>
      <c r="F258" s="15"/>
      <c r="G258" s="95"/>
      <c r="H258" s="15"/>
      <c r="I258" s="15" t="str">
        <f>IF($H258&lt;&gt;"",(VLOOKUP(H258,'Other Lists'!O:P,2,FALSE)),"")</f>
        <v/>
      </c>
      <c r="J258" s="15"/>
      <c r="K258" s="15"/>
      <c r="L258" s="15"/>
      <c r="M258" s="15"/>
      <c r="N258" s="40"/>
      <c r="O258" s="15"/>
      <c r="P258" s="26"/>
      <c r="Q258" s="15"/>
      <c r="R258" s="15"/>
      <c r="S258" s="15"/>
      <c r="T258" s="15"/>
      <c r="U258" s="15"/>
      <c r="V258" s="95"/>
      <c r="W258" s="95"/>
      <c r="X258" s="15"/>
      <c r="Y258" s="15"/>
      <c r="Z258" s="15" t="str">
        <f t="shared" si="10"/>
        <v/>
      </c>
      <c r="AA258" s="15"/>
      <c r="AB258" s="15" t="str">
        <f t="shared" si="9"/>
        <v/>
      </c>
      <c r="AC258" s="15"/>
      <c r="AD258" s="15"/>
      <c r="AE258" s="15"/>
      <c r="AF258" s="15"/>
      <c r="AG258" s="15"/>
      <c r="AH258" s="15"/>
      <c r="AI258" s="15"/>
      <c r="AJ258" s="15"/>
      <c r="AK258" s="95"/>
      <c r="AL258" s="95"/>
      <c r="AM258" s="93"/>
      <c r="AN258" s="3"/>
      <c r="AP258" s="28"/>
      <c r="AQ258" s="29"/>
    </row>
    <row r="259" spans="1:43" ht="26.85" customHeight="1" x14ac:dyDescent="0.45">
      <c r="A259" s="15"/>
      <c r="B259" s="15"/>
      <c r="C259" s="15"/>
      <c r="D259" s="95"/>
      <c r="E259" s="95"/>
      <c r="F259" s="15"/>
      <c r="G259" s="95"/>
      <c r="H259" s="15"/>
      <c r="I259" s="15" t="str">
        <f>IF($H259&lt;&gt;"",(VLOOKUP(H259,'Other Lists'!O:P,2,FALSE)),"")</f>
        <v/>
      </c>
      <c r="J259" s="15"/>
      <c r="K259" s="15"/>
      <c r="L259" s="15"/>
      <c r="M259" s="15"/>
      <c r="N259" s="40"/>
      <c r="O259" s="15"/>
      <c r="P259" s="26"/>
      <c r="Q259" s="15"/>
      <c r="R259" s="15"/>
      <c r="S259" s="15"/>
      <c r="T259" s="15"/>
      <c r="U259" s="15"/>
      <c r="V259" s="95"/>
      <c r="W259" s="95"/>
      <c r="X259" s="15"/>
      <c r="Y259" s="15"/>
      <c r="Z259" s="15" t="str">
        <f t="shared" si="10"/>
        <v/>
      </c>
      <c r="AA259" s="15"/>
      <c r="AB259" s="15" t="str">
        <f t="shared" si="9"/>
        <v/>
      </c>
      <c r="AC259" s="15"/>
      <c r="AD259" s="15"/>
      <c r="AE259" s="15"/>
      <c r="AF259" s="15"/>
      <c r="AG259" s="15"/>
      <c r="AH259" s="15"/>
      <c r="AI259" s="15"/>
      <c r="AJ259" s="15"/>
      <c r="AK259" s="95"/>
      <c r="AL259" s="95"/>
      <c r="AM259" s="93"/>
      <c r="AN259" s="3"/>
      <c r="AP259" s="28"/>
      <c r="AQ259" s="29"/>
    </row>
    <row r="260" spans="1:43" ht="26.85" customHeight="1" x14ac:dyDescent="0.45">
      <c r="A260" s="15"/>
      <c r="B260" s="15"/>
      <c r="C260" s="15"/>
      <c r="D260" s="95"/>
      <c r="E260" s="95"/>
      <c r="F260" s="15"/>
      <c r="G260" s="95"/>
      <c r="H260" s="15"/>
      <c r="I260" s="15" t="str">
        <f>IF($H260&lt;&gt;"",(VLOOKUP(H260,'Other Lists'!O:P,2,FALSE)),"")</f>
        <v/>
      </c>
      <c r="J260" s="15"/>
      <c r="K260" s="15"/>
      <c r="L260" s="15"/>
      <c r="M260" s="15"/>
      <c r="N260" s="40"/>
      <c r="O260" s="15"/>
      <c r="P260" s="26"/>
      <c r="Q260" s="15"/>
      <c r="R260" s="15"/>
      <c r="S260" s="15"/>
      <c r="T260" s="15"/>
      <c r="U260" s="15"/>
      <c r="V260" s="95"/>
      <c r="W260" s="95"/>
      <c r="X260" s="15"/>
      <c r="Y260" s="15"/>
      <c r="Z260" s="15" t="str">
        <f t="shared" si="10"/>
        <v/>
      </c>
      <c r="AA260" s="15"/>
      <c r="AB260" s="15" t="str">
        <f t="shared" si="9"/>
        <v/>
      </c>
      <c r="AC260" s="15"/>
      <c r="AD260" s="15"/>
      <c r="AE260" s="15"/>
      <c r="AF260" s="15"/>
      <c r="AG260" s="15"/>
      <c r="AH260" s="15"/>
      <c r="AI260" s="15"/>
      <c r="AJ260" s="15"/>
      <c r="AK260" s="95"/>
      <c r="AL260" s="95"/>
      <c r="AM260" s="93"/>
      <c r="AN260" s="3"/>
      <c r="AP260" s="28"/>
      <c r="AQ260" s="29"/>
    </row>
    <row r="261" spans="1:43" ht="26.85" customHeight="1" x14ac:dyDescent="0.45">
      <c r="A261" s="15"/>
      <c r="B261" s="15"/>
      <c r="C261" s="15"/>
      <c r="D261" s="95"/>
      <c r="E261" s="95"/>
      <c r="F261" s="15"/>
      <c r="G261" s="95"/>
      <c r="H261" s="15"/>
      <c r="I261" s="15" t="str">
        <f>IF($H261&lt;&gt;"",(VLOOKUP(H261,'Other Lists'!O:P,2,FALSE)),"")</f>
        <v/>
      </c>
      <c r="J261" s="15"/>
      <c r="K261" s="15"/>
      <c r="L261" s="15"/>
      <c r="M261" s="15"/>
      <c r="N261" s="40"/>
      <c r="O261" s="15"/>
      <c r="P261" s="26"/>
      <c r="Q261" s="15"/>
      <c r="R261" s="15"/>
      <c r="S261" s="15"/>
      <c r="T261" s="15"/>
      <c r="U261" s="15"/>
      <c r="V261" s="95"/>
      <c r="W261" s="95"/>
      <c r="X261" s="15"/>
      <c r="Y261" s="15"/>
      <c r="Z261" s="15" t="str">
        <f t="shared" si="10"/>
        <v/>
      </c>
      <c r="AA261" s="15"/>
      <c r="AB261" s="15" t="str">
        <f t="shared" si="9"/>
        <v/>
      </c>
      <c r="AC261" s="15"/>
      <c r="AD261" s="15"/>
      <c r="AE261" s="15"/>
      <c r="AF261" s="15"/>
      <c r="AG261" s="15"/>
      <c r="AH261" s="15"/>
      <c r="AI261" s="15"/>
      <c r="AJ261" s="15"/>
      <c r="AK261" s="95"/>
      <c r="AL261" s="95"/>
      <c r="AM261" s="93"/>
      <c r="AN261" s="3"/>
      <c r="AP261" s="28"/>
      <c r="AQ261" s="29"/>
    </row>
    <row r="262" spans="1:43" ht="26.85" customHeight="1" x14ac:dyDescent="0.45">
      <c r="A262" s="15"/>
      <c r="B262" s="15"/>
      <c r="C262" s="15"/>
      <c r="D262" s="95"/>
      <c r="E262" s="95"/>
      <c r="F262" s="15"/>
      <c r="G262" s="95"/>
      <c r="H262" s="15"/>
      <c r="I262" s="15" t="str">
        <f>IF($H262&lt;&gt;"",(VLOOKUP(H262,'Other Lists'!O:P,2,FALSE)),"")</f>
        <v/>
      </c>
      <c r="J262" s="15"/>
      <c r="K262" s="15"/>
      <c r="L262" s="15"/>
      <c r="M262" s="15"/>
      <c r="N262" s="40"/>
      <c r="O262" s="15"/>
      <c r="P262" s="26"/>
      <c r="Q262" s="15"/>
      <c r="R262" s="15"/>
      <c r="S262" s="15"/>
      <c r="T262" s="15"/>
      <c r="U262" s="15"/>
      <c r="V262" s="95"/>
      <c r="W262" s="95"/>
      <c r="X262" s="15"/>
      <c r="Y262" s="15"/>
      <c r="Z262" s="15" t="str">
        <f t="shared" si="10"/>
        <v/>
      </c>
      <c r="AA262" s="15"/>
      <c r="AB262" s="15" t="str">
        <f t="shared" si="9"/>
        <v/>
      </c>
      <c r="AC262" s="15"/>
      <c r="AD262" s="15"/>
      <c r="AE262" s="15"/>
      <c r="AF262" s="15"/>
      <c r="AG262" s="15"/>
      <c r="AH262" s="15"/>
      <c r="AI262" s="15"/>
      <c r="AJ262" s="15"/>
      <c r="AK262" s="95"/>
      <c r="AL262" s="95"/>
      <c r="AM262" s="93"/>
      <c r="AN262" s="3"/>
      <c r="AP262" s="28"/>
      <c r="AQ262" s="29"/>
    </row>
    <row r="263" spans="1:43" ht="26.85" customHeight="1" x14ac:dyDescent="0.45">
      <c r="A263" s="15"/>
      <c r="B263" s="15"/>
      <c r="C263" s="15"/>
      <c r="D263" s="95"/>
      <c r="E263" s="95"/>
      <c r="F263" s="15"/>
      <c r="G263" s="95"/>
      <c r="H263" s="15"/>
      <c r="I263" s="15" t="str">
        <f>IF($H263&lt;&gt;"",(VLOOKUP(H263,'Other Lists'!O:P,2,FALSE)),"")</f>
        <v/>
      </c>
      <c r="J263" s="15"/>
      <c r="K263" s="15"/>
      <c r="L263" s="15"/>
      <c r="M263" s="15"/>
      <c r="N263" s="40"/>
      <c r="O263" s="15"/>
      <c r="P263" s="26"/>
      <c r="Q263" s="15"/>
      <c r="R263" s="15"/>
      <c r="S263" s="15"/>
      <c r="T263" s="15"/>
      <c r="U263" s="15"/>
      <c r="V263" s="95"/>
      <c r="W263" s="95"/>
      <c r="X263" s="15"/>
      <c r="Y263" s="15"/>
      <c r="Z263" s="15" t="str">
        <f t="shared" si="10"/>
        <v/>
      </c>
      <c r="AA263" s="15"/>
      <c r="AB263" s="15" t="str">
        <f t="shared" si="9"/>
        <v/>
      </c>
      <c r="AC263" s="15"/>
      <c r="AD263" s="15"/>
      <c r="AE263" s="15"/>
      <c r="AF263" s="15"/>
      <c r="AG263" s="15"/>
      <c r="AH263" s="15"/>
      <c r="AI263" s="15"/>
      <c r="AJ263" s="15"/>
      <c r="AK263" s="95"/>
      <c r="AL263" s="95"/>
      <c r="AM263" s="93"/>
      <c r="AN263" s="3"/>
      <c r="AP263" s="28"/>
      <c r="AQ263" s="29"/>
    </row>
    <row r="264" spans="1:43" ht="26.85" customHeight="1" x14ac:dyDescent="0.45">
      <c r="A264" s="15"/>
      <c r="B264" s="15"/>
      <c r="C264" s="15"/>
      <c r="D264" s="95"/>
      <c r="E264" s="95"/>
      <c r="F264" s="15"/>
      <c r="G264" s="95"/>
      <c r="H264" s="15"/>
      <c r="I264" s="15" t="str">
        <f>IF($H264&lt;&gt;"",(VLOOKUP(H264,'Other Lists'!O:P,2,FALSE)),"")</f>
        <v/>
      </c>
      <c r="J264" s="15"/>
      <c r="K264" s="15"/>
      <c r="L264" s="15"/>
      <c r="M264" s="15"/>
      <c r="N264" s="40"/>
      <c r="O264" s="15"/>
      <c r="P264" s="26"/>
      <c r="Q264" s="15"/>
      <c r="R264" s="15"/>
      <c r="S264" s="15"/>
      <c r="T264" s="15"/>
      <c r="U264" s="15"/>
      <c r="V264" s="95"/>
      <c r="W264" s="95"/>
      <c r="X264" s="15"/>
      <c r="Y264" s="15"/>
      <c r="Z264" s="15" t="str">
        <f t="shared" si="10"/>
        <v/>
      </c>
      <c r="AA264" s="15"/>
      <c r="AB264" s="15" t="str">
        <f t="shared" si="9"/>
        <v/>
      </c>
      <c r="AC264" s="15"/>
      <c r="AD264" s="15"/>
      <c r="AE264" s="15"/>
      <c r="AF264" s="15"/>
      <c r="AG264" s="15"/>
      <c r="AH264" s="15"/>
      <c r="AI264" s="15"/>
      <c r="AJ264" s="15"/>
      <c r="AK264" s="95"/>
      <c r="AL264" s="95"/>
      <c r="AM264" s="93"/>
      <c r="AN264" s="3"/>
      <c r="AP264" s="28"/>
      <c r="AQ264" s="29"/>
    </row>
    <row r="265" spans="1:43" ht="26.85" customHeight="1" x14ac:dyDescent="0.45">
      <c r="A265" s="15"/>
      <c r="B265" s="15"/>
      <c r="C265" s="15"/>
      <c r="D265" s="95"/>
      <c r="E265" s="95"/>
      <c r="F265" s="15"/>
      <c r="G265" s="95"/>
      <c r="H265" s="15"/>
      <c r="I265" s="15" t="str">
        <f>IF($H265&lt;&gt;"",(VLOOKUP(H265,'Other Lists'!O:P,2,FALSE)),"")</f>
        <v/>
      </c>
      <c r="J265" s="15"/>
      <c r="K265" s="15"/>
      <c r="L265" s="15"/>
      <c r="M265" s="15"/>
      <c r="N265" s="40"/>
      <c r="O265" s="15"/>
      <c r="P265" s="26"/>
      <c r="Q265" s="15"/>
      <c r="R265" s="15"/>
      <c r="S265" s="15"/>
      <c r="T265" s="15"/>
      <c r="U265" s="15"/>
      <c r="V265" s="95"/>
      <c r="W265" s="95"/>
      <c r="X265" s="15"/>
      <c r="Y265" s="15"/>
      <c r="Z265" s="15" t="str">
        <f t="shared" si="10"/>
        <v/>
      </c>
      <c r="AA265" s="15"/>
      <c r="AB265" s="15" t="str">
        <f t="shared" si="9"/>
        <v/>
      </c>
      <c r="AC265" s="15"/>
      <c r="AD265" s="15"/>
      <c r="AE265" s="15"/>
      <c r="AF265" s="15"/>
      <c r="AG265" s="15"/>
      <c r="AH265" s="15"/>
      <c r="AI265" s="15"/>
      <c r="AJ265" s="15"/>
      <c r="AK265" s="95"/>
      <c r="AL265" s="95"/>
      <c r="AM265" s="93"/>
      <c r="AN265" s="3"/>
      <c r="AP265" s="28"/>
      <c r="AQ265" s="29"/>
    </row>
    <row r="266" spans="1:43" ht="26.85" customHeight="1" x14ac:dyDescent="0.45">
      <c r="A266" s="15"/>
      <c r="B266" s="15"/>
      <c r="C266" s="15"/>
      <c r="D266" s="95"/>
      <c r="E266" s="95"/>
      <c r="F266" s="15"/>
      <c r="G266" s="95"/>
      <c r="H266" s="15"/>
      <c r="I266" s="15" t="str">
        <f>IF($H266&lt;&gt;"",(VLOOKUP(H266,'Other Lists'!O:P,2,FALSE)),"")</f>
        <v/>
      </c>
      <c r="J266" s="15"/>
      <c r="K266" s="15"/>
      <c r="L266" s="15"/>
      <c r="M266" s="15"/>
      <c r="N266" s="40"/>
      <c r="O266" s="15"/>
      <c r="P266" s="26"/>
      <c r="Q266" s="15"/>
      <c r="R266" s="15"/>
      <c r="S266" s="15"/>
      <c r="T266" s="15"/>
      <c r="U266" s="15"/>
      <c r="V266" s="95"/>
      <c r="W266" s="95"/>
      <c r="X266" s="15"/>
      <c r="Y266" s="15"/>
      <c r="Z266" s="15" t="str">
        <f t="shared" si="10"/>
        <v/>
      </c>
      <c r="AA266" s="15"/>
      <c r="AB266" s="15" t="str">
        <f t="shared" si="9"/>
        <v/>
      </c>
      <c r="AC266" s="15"/>
      <c r="AD266" s="15"/>
      <c r="AE266" s="15"/>
      <c r="AF266" s="15"/>
      <c r="AG266" s="15"/>
      <c r="AH266" s="15"/>
      <c r="AI266" s="15"/>
      <c r="AJ266" s="15"/>
      <c r="AK266" s="95"/>
      <c r="AL266" s="95"/>
      <c r="AM266" s="93"/>
      <c r="AN266" s="3"/>
      <c r="AP266" s="28"/>
      <c r="AQ266" s="29"/>
    </row>
    <row r="267" spans="1:43" ht="26.85" customHeight="1" x14ac:dyDescent="0.45">
      <c r="A267" s="15"/>
      <c r="B267" s="15"/>
      <c r="C267" s="15"/>
      <c r="D267" s="95"/>
      <c r="E267" s="95"/>
      <c r="F267" s="15"/>
      <c r="G267" s="95"/>
      <c r="H267" s="15"/>
      <c r="I267" s="15" t="str">
        <f>IF($H267&lt;&gt;"",(VLOOKUP(H267,'Other Lists'!O:P,2,FALSE)),"")</f>
        <v/>
      </c>
      <c r="J267" s="15"/>
      <c r="K267" s="15"/>
      <c r="L267" s="15"/>
      <c r="M267" s="15"/>
      <c r="N267" s="40"/>
      <c r="O267" s="15"/>
      <c r="P267" s="26"/>
      <c r="Q267" s="15"/>
      <c r="R267" s="15"/>
      <c r="S267" s="15"/>
      <c r="T267" s="15"/>
      <c r="U267" s="15"/>
      <c r="V267" s="95"/>
      <c r="W267" s="95"/>
      <c r="X267" s="15"/>
      <c r="Y267" s="15"/>
      <c r="Z267" s="15" t="str">
        <f t="shared" si="10"/>
        <v/>
      </c>
      <c r="AA267" s="15"/>
      <c r="AB267" s="15" t="str">
        <f t="shared" si="9"/>
        <v/>
      </c>
      <c r="AC267" s="15"/>
      <c r="AD267" s="15"/>
      <c r="AE267" s="15"/>
      <c r="AF267" s="15"/>
      <c r="AG267" s="15"/>
      <c r="AH267" s="15"/>
      <c r="AI267" s="15"/>
      <c r="AJ267" s="15"/>
      <c r="AK267" s="95"/>
      <c r="AL267" s="95"/>
      <c r="AM267" s="93"/>
      <c r="AN267" s="3"/>
      <c r="AP267" s="28"/>
      <c r="AQ267" s="29"/>
    </row>
    <row r="268" spans="1:43" ht="26.85" customHeight="1" x14ac:dyDescent="0.45">
      <c r="A268" s="15"/>
      <c r="B268" s="15"/>
      <c r="C268" s="15"/>
      <c r="D268" s="95"/>
      <c r="E268" s="95"/>
      <c r="F268" s="15"/>
      <c r="G268" s="95"/>
      <c r="H268" s="15"/>
      <c r="I268" s="15" t="str">
        <f>IF($H268&lt;&gt;"",(VLOOKUP(H268,'Other Lists'!O:P,2,FALSE)),"")</f>
        <v/>
      </c>
      <c r="J268" s="15"/>
      <c r="K268" s="15"/>
      <c r="L268" s="15"/>
      <c r="M268" s="15"/>
      <c r="N268" s="40"/>
      <c r="O268" s="15"/>
      <c r="P268" s="26"/>
      <c r="Q268" s="15"/>
      <c r="R268" s="15"/>
      <c r="S268" s="15"/>
      <c r="T268" s="15"/>
      <c r="U268" s="15"/>
      <c r="V268" s="95"/>
      <c r="W268" s="95"/>
      <c r="X268" s="15"/>
      <c r="Y268" s="15"/>
      <c r="Z268" s="15" t="str">
        <f t="shared" si="10"/>
        <v/>
      </c>
      <c r="AA268" s="15"/>
      <c r="AB268" s="15" t="str">
        <f t="shared" si="9"/>
        <v/>
      </c>
      <c r="AC268" s="15"/>
      <c r="AD268" s="15"/>
      <c r="AE268" s="15"/>
      <c r="AF268" s="15"/>
      <c r="AG268" s="15"/>
      <c r="AH268" s="15"/>
      <c r="AI268" s="15"/>
      <c r="AJ268" s="15"/>
      <c r="AK268" s="95"/>
      <c r="AL268" s="95"/>
      <c r="AM268" s="93"/>
      <c r="AN268" s="3"/>
      <c r="AP268" s="28"/>
      <c r="AQ268" s="29"/>
    </row>
    <row r="269" spans="1:43" ht="26.85" customHeight="1" x14ac:dyDescent="0.45">
      <c r="A269" s="15"/>
      <c r="B269" s="15"/>
      <c r="C269" s="15"/>
      <c r="D269" s="95"/>
      <c r="E269" s="95"/>
      <c r="F269" s="15"/>
      <c r="G269" s="95"/>
      <c r="H269" s="15"/>
      <c r="I269" s="15" t="str">
        <f>IF($H269&lt;&gt;"",(VLOOKUP(H269,'Other Lists'!O:P,2,FALSE)),"")</f>
        <v/>
      </c>
      <c r="J269" s="15"/>
      <c r="K269" s="15"/>
      <c r="L269" s="15"/>
      <c r="M269" s="15"/>
      <c r="N269" s="40"/>
      <c r="O269" s="15"/>
      <c r="P269" s="26"/>
      <c r="Q269" s="15"/>
      <c r="R269" s="15"/>
      <c r="S269" s="15"/>
      <c r="T269" s="15"/>
      <c r="U269" s="15"/>
      <c r="V269" s="95"/>
      <c r="W269" s="95"/>
      <c r="X269" s="15"/>
      <c r="Y269" s="15"/>
      <c r="Z269" s="15" t="str">
        <f t="shared" si="10"/>
        <v/>
      </c>
      <c r="AA269" s="15"/>
      <c r="AB269" s="15" t="str">
        <f t="shared" si="9"/>
        <v/>
      </c>
      <c r="AC269" s="15"/>
      <c r="AD269" s="15"/>
      <c r="AE269" s="15"/>
      <c r="AF269" s="15"/>
      <c r="AG269" s="15"/>
      <c r="AH269" s="15"/>
      <c r="AI269" s="15"/>
      <c r="AJ269" s="15"/>
      <c r="AK269" s="95"/>
      <c r="AL269" s="95"/>
      <c r="AM269" s="93"/>
      <c r="AN269" s="3"/>
      <c r="AP269" s="28"/>
      <c r="AQ269" s="29"/>
    </row>
    <row r="270" spans="1:43" ht="26.85" customHeight="1" x14ac:dyDescent="0.45">
      <c r="A270" s="15"/>
      <c r="B270" s="15"/>
      <c r="C270" s="15"/>
      <c r="D270" s="95"/>
      <c r="E270" s="95"/>
      <c r="F270" s="15"/>
      <c r="G270" s="95"/>
      <c r="H270" s="15"/>
      <c r="I270" s="15" t="str">
        <f>IF($H270&lt;&gt;"",(VLOOKUP(H270,'Other Lists'!O:P,2,FALSE)),"")</f>
        <v/>
      </c>
      <c r="J270" s="15"/>
      <c r="K270" s="15"/>
      <c r="L270" s="15"/>
      <c r="M270" s="15"/>
      <c r="N270" s="40"/>
      <c r="O270" s="15"/>
      <c r="P270" s="26"/>
      <c r="Q270" s="15"/>
      <c r="R270" s="15"/>
      <c r="S270" s="15"/>
      <c r="T270" s="15"/>
      <c r="U270" s="15"/>
      <c r="V270" s="95"/>
      <c r="W270" s="95"/>
      <c r="X270" s="15"/>
      <c r="Y270" s="15"/>
      <c r="Z270" s="15" t="str">
        <f t="shared" si="10"/>
        <v/>
      </c>
      <c r="AA270" s="15"/>
      <c r="AB270" s="15" t="str">
        <f t="shared" si="9"/>
        <v/>
      </c>
      <c r="AC270" s="15"/>
      <c r="AD270" s="15"/>
      <c r="AE270" s="15"/>
      <c r="AF270" s="15"/>
      <c r="AG270" s="15"/>
      <c r="AH270" s="15"/>
      <c r="AI270" s="15"/>
      <c r="AJ270" s="15"/>
      <c r="AK270" s="95"/>
      <c r="AL270" s="95"/>
      <c r="AM270" s="93"/>
      <c r="AN270" s="3"/>
      <c r="AP270" s="28"/>
      <c r="AQ270" s="29"/>
    </row>
    <row r="271" spans="1:43" ht="26.85" customHeight="1" x14ac:dyDescent="0.45">
      <c r="A271" s="15"/>
      <c r="B271" s="15"/>
      <c r="C271" s="15"/>
      <c r="D271" s="95"/>
      <c r="E271" s="95"/>
      <c r="F271" s="15"/>
      <c r="G271" s="95"/>
      <c r="H271" s="15"/>
      <c r="I271" s="15" t="str">
        <f>IF($H271&lt;&gt;"",(VLOOKUP(H271,'Other Lists'!O:P,2,FALSE)),"")</f>
        <v/>
      </c>
      <c r="J271" s="15"/>
      <c r="K271" s="15"/>
      <c r="L271" s="15"/>
      <c r="M271" s="15"/>
      <c r="N271" s="40"/>
      <c r="O271" s="15"/>
      <c r="P271" s="26"/>
      <c r="Q271" s="15"/>
      <c r="R271" s="15"/>
      <c r="S271" s="15"/>
      <c r="T271" s="15"/>
      <c r="U271" s="15"/>
      <c r="V271" s="95"/>
      <c r="W271" s="95"/>
      <c r="X271" s="15"/>
      <c r="Y271" s="15"/>
      <c r="Z271" s="15" t="str">
        <f t="shared" si="10"/>
        <v/>
      </c>
      <c r="AA271" s="15"/>
      <c r="AB271" s="15" t="str">
        <f t="shared" si="9"/>
        <v/>
      </c>
      <c r="AC271" s="15"/>
      <c r="AD271" s="15"/>
      <c r="AE271" s="15"/>
      <c r="AF271" s="15"/>
      <c r="AG271" s="15"/>
      <c r="AH271" s="15"/>
      <c r="AI271" s="15"/>
      <c r="AJ271" s="15"/>
      <c r="AK271" s="95"/>
      <c r="AL271" s="95"/>
      <c r="AM271" s="93"/>
      <c r="AN271" s="3"/>
      <c r="AP271" s="28"/>
      <c r="AQ271" s="29"/>
    </row>
    <row r="272" spans="1:43" ht="26.85" customHeight="1" x14ac:dyDescent="0.45">
      <c r="A272" s="15"/>
      <c r="B272" s="15"/>
      <c r="C272" s="15"/>
      <c r="D272" s="95"/>
      <c r="E272" s="95"/>
      <c r="F272" s="15"/>
      <c r="G272" s="95"/>
      <c r="H272" s="15"/>
      <c r="I272" s="15" t="str">
        <f>IF($H272&lt;&gt;"",(VLOOKUP(H272,'Other Lists'!O:P,2,FALSE)),"")</f>
        <v/>
      </c>
      <c r="J272" s="15"/>
      <c r="K272" s="15"/>
      <c r="L272" s="15"/>
      <c r="M272" s="15"/>
      <c r="N272" s="40"/>
      <c r="O272" s="15"/>
      <c r="P272" s="26"/>
      <c r="Q272" s="15"/>
      <c r="R272" s="15"/>
      <c r="S272" s="15"/>
      <c r="T272" s="15"/>
      <c r="U272" s="15"/>
      <c r="V272" s="95"/>
      <c r="W272" s="95"/>
      <c r="X272" s="15"/>
      <c r="Y272" s="15"/>
      <c r="Z272" s="15" t="str">
        <f t="shared" si="10"/>
        <v/>
      </c>
      <c r="AA272" s="15"/>
      <c r="AB272" s="15" t="str">
        <f t="shared" si="9"/>
        <v/>
      </c>
      <c r="AC272" s="15"/>
      <c r="AD272" s="15"/>
      <c r="AE272" s="15"/>
      <c r="AF272" s="15"/>
      <c r="AG272" s="15"/>
      <c r="AH272" s="15"/>
      <c r="AI272" s="15"/>
      <c r="AJ272" s="15"/>
      <c r="AK272" s="95"/>
      <c r="AL272" s="95"/>
      <c r="AM272" s="93"/>
      <c r="AN272" s="3"/>
      <c r="AP272" s="28"/>
      <c r="AQ272" s="29"/>
    </row>
    <row r="273" spans="1:43" ht="26.85" customHeight="1" x14ac:dyDescent="0.45">
      <c r="A273" s="15"/>
      <c r="B273" s="15"/>
      <c r="C273" s="15"/>
      <c r="D273" s="95"/>
      <c r="E273" s="95"/>
      <c r="F273" s="15"/>
      <c r="G273" s="95"/>
      <c r="H273" s="15"/>
      <c r="I273" s="15" t="str">
        <f>IF($H273&lt;&gt;"",(VLOOKUP(H273,'Other Lists'!O:P,2,FALSE)),"")</f>
        <v/>
      </c>
      <c r="J273" s="15"/>
      <c r="K273" s="15"/>
      <c r="L273" s="15"/>
      <c r="M273" s="15"/>
      <c r="N273" s="40"/>
      <c r="O273" s="15"/>
      <c r="P273" s="26"/>
      <c r="Q273" s="15"/>
      <c r="R273" s="15"/>
      <c r="S273" s="15"/>
      <c r="T273" s="15"/>
      <c r="U273" s="15"/>
      <c r="V273" s="95"/>
      <c r="W273" s="95"/>
      <c r="X273" s="15"/>
      <c r="Y273" s="15"/>
      <c r="Z273" s="15" t="str">
        <f t="shared" si="10"/>
        <v/>
      </c>
      <c r="AA273" s="15"/>
      <c r="AB273" s="15" t="str">
        <f t="shared" si="9"/>
        <v/>
      </c>
      <c r="AC273" s="15"/>
      <c r="AD273" s="15"/>
      <c r="AE273" s="15"/>
      <c r="AF273" s="15"/>
      <c r="AG273" s="15"/>
      <c r="AH273" s="15"/>
      <c r="AI273" s="15"/>
      <c r="AJ273" s="15"/>
      <c r="AK273" s="95"/>
      <c r="AL273" s="95"/>
      <c r="AM273" s="93"/>
      <c r="AN273" s="3"/>
      <c r="AP273" s="28"/>
      <c r="AQ273" s="29"/>
    </row>
    <row r="274" spans="1:43" ht="26.85" customHeight="1" x14ac:dyDescent="0.45">
      <c r="A274" s="15"/>
      <c r="B274" s="15"/>
      <c r="C274" s="15"/>
      <c r="D274" s="95"/>
      <c r="E274" s="95"/>
      <c r="F274" s="15"/>
      <c r="G274" s="95"/>
      <c r="H274" s="15"/>
      <c r="I274" s="15" t="str">
        <f>IF($H274&lt;&gt;"",(VLOOKUP(H274,'Other Lists'!O:P,2,FALSE)),"")</f>
        <v/>
      </c>
      <c r="J274" s="15"/>
      <c r="K274" s="15"/>
      <c r="L274" s="15"/>
      <c r="M274" s="15"/>
      <c r="N274" s="40"/>
      <c r="O274" s="15"/>
      <c r="P274" s="26"/>
      <c r="Q274" s="15"/>
      <c r="R274" s="15"/>
      <c r="S274" s="15"/>
      <c r="T274" s="15"/>
      <c r="U274" s="15"/>
      <c r="V274" s="95"/>
      <c r="W274" s="95"/>
      <c r="X274" s="15"/>
      <c r="Y274" s="15"/>
      <c r="Z274" s="15" t="str">
        <f t="shared" si="10"/>
        <v/>
      </c>
      <c r="AA274" s="15"/>
      <c r="AB274" s="15" t="str">
        <f t="shared" si="9"/>
        <v/>
      </c>
      <c r="AC274" s="15"/>
      <c r="AD274" s="15"/>
      <c r="AE274" s="15"/>
      <c r="AF274" s="15"/>
      <c r="AG274" s="15"/>
      <c r="AH274" s="15"/>
      <c r="AI274" s="15"/>
      <c r="AJ274" s="15"/>
      <c r="AK274" s="95"/>
      <c r="AL274" s="95"/>
      <c r="AM274" s="93"/>
      <c r="AN274" s="3"/>
      <c r="AP274" s="28"/>
      <c r="AQ274" s="29"/>
    </row>
    <row r="275" spans="1:43" ht="26.85" customHeight="1" x14ac:dyDescent="0.45">
      <c r="A275" s="15"/>
      <c r="B275" s="15"/>
      <c r="C275" s="15"/>
      <c r="D275" s="95"/>
      <c r="E275" s="95"/>
      <c r="F275" s="15"/>
      <c r="G275" s="95"/>
      <c r="H275" s="15"/>
      <c r="I275" s="15" t="str">
        <f>IF($H275&lt;&gt;"",(VLOOKUP(H275,'Other Lists'!O:P,2,FALSE)),"")</f>
        <v/>
      </c>
      <c r="J275" s="15"/>
      <c r="K275" s="15"/>
      <c r="L275" s="15"/>
      <c r="M275" s="15"/>
      <c r="N275" s="40"/>
      <c r="O275" s="15"/>
      <c r="P275" s="26"/>
      <c r="Q275" s="15"/>
      <c r="R275" s="15"/>
      <c r="S275" s="15"/>
      <c r="T275" s="15"/>
      <c r="U275" s="15"/>
      <c r="V275" s="95"/>
      <c r="W275" s="95"/>
      <c r="X275" s="15"/>
      <c r="Y275" s="15"/>
      <c r="Z275" s="15" t="str">
        <f t="shared" si="10"/>
        <v/>
      </c>
      <c r="AA275" s="15"/>
      <c r="AB275" s="15" t="str">
        <f t="shared" si="9"/>
        <v/>
      </c>
      <c r="AC275" s="15"/>
      <c r="AD275" s="15"/>
      <c r="AE275" s="15"/>
      <c r="AF275" s="15"/>
      <c r="AG275" s="15"/>
      <c r="AH275" s="15"/>
      <c r="AI275" s="15"/>
      <c r="AJ275" s="15"/>
      <c r="AK275" s="95"/>
      <c r="AL275" s="95"/>
      <c r="AM275" s="93"/>
      <c r="AN275" s="3"/>
      <c r="AP275" s="28"/>
      <c r="AQ275" s="29"/>
    </row>
    <row r="276" spans="1:43" ht="26.85" customHeight="1" x14ac:dyDescent="0.45">
      <c r="A276" s="15"/>
      <c r="B276" s="15"/>
      <c r="C276" s="15"/>
      <c r="D276" s="95"/>
      <c r="E276" s="95"/>
      <c r="F276" s="15"/>
      <c r="G276" s="95"/>
      <c r="H276" s="15"/>
      <c r="I276" s="15" t="str">
        <f>IF($H276&lt;&gt;"",(VLOOKUP(H276,'Other Lists'!O:P,2,FALSE)),"")</f>
        <v/>
      </c>
      <c r="J276" s="15"/>
      <c r="K276" s="15"/>
      <c r="L276" s="15"/>
      <c r="M276" s="15"/>
      <c r="N276" s="40"/>
      <c r="O276" s="15"/>
      <c r="P276" s="26"/>
      <c r="Q276" s="15"/>
      <c r="R276" s="15"/>
      <c r="S276" s="15"/>
      <c r="T276" s="15"/>
      <c r="U276" s="15"/>
      <c r="V276" s="95"/>
      <c r="W276" s="95"/>
      <c r="X276" s="15"/>
      <c r="Y276" s="15"/>
      <c r="Z276" s="15" t="str">
        <f t="shared" si="10"/>
        <v/>
      </c>
      <c r="AA276" s="15"/>
      <c r="AB276" s="15" t="str">
        <f t="shared" si="9"/>
        <v/>
      </c>
      <c r="AC276" s="15"/>
      <c r="AD276" s="15"/>
      <c r="AE276" s="15"/>
      <c r="AF276" s="15"/>
      <c r="AG276" s="15"/>
      <c r="AH276" s="15"/>
      <c r="AI276" s="15"/>
      <c r="AJ276" s="15"/>
      <c r="AK276" s="95"/>
      <c r="AL276" s="95"/>
      <c r="AM276" s="93"/>
      <c r="AN276" s="3"/>
      <c r="AP276" s="28"/>
      <c r="AQ276" s="29"/>
    </row>
    <row r="277" spans="1:43" ht="26.85" customHeight="1" x14ac:dyDescent="0.45">
      <c r="A277" s="15"/>
      <c r="B277" s="15"/>
      <c r="C277" s="15"/>
      <c r="D277" s="95"/>
      <c r="E277" s="95"/>
      <c r="F277" s="15"/>
      <c r="G277" s="95"/>
      <c r="H277" s="15"/>
      <c r="I277" s="15" t="str">
        <f>IF($H277&lt;&gt;"",(VLOOKUP(H277,'Other Lists'!O:P,2,FALSE)),"")</f>
        <v/>
      </c>
      <c r="J277" s="15"/>
      <c r="K277" s="15"/>
      <c r="L277" s="15"/>
      <c r="M277" s="15"/>
      <c r="N277" s="40"/>
      <c r="O277" s="15"/>
      <c r="P277" s="26"/>
      <c r="Q277" s="15"/>
      <c r="R277" s="15"/>
      <c r="S277" s="15"/>
      <c r="T277" s="15"/>
      <c r="U277" s="15"/>
      <c r="V277" s="95"/>
      <c r="W277" s="95"/>
      <c r="X277" s="15"/>
      <c r="Y277" s="15"/>
      <c r="Z277" s="15" t="str">
        <f t="shared" si="10"/>
        <v/>
      </c>
      <c r="AA277" s="15"/>
      <c r="AB277" s="15" t="str">
        <f t="shared" si="9"/>
        <v/>
      </c>
      <c r="AC277" s="15"/>
      <c r="AD277" s="15"/>
      <c r="AE277" s="15"/>
      <c r="AF277" s="15"/>
      <c r="AG277" s="15"/>
      <c r="AH277" s="15"/>
      <c r="AI277" s="15"/>
      <c r="AJ277" s="15"/>
      <c r="AK277" s="95"/>
      <c r="AL277" s="95"/>
      <c r="AM277" s="93"/>
      <c r="AN277" s="3"/>
      <c r="AP277" s="28"/>
      <c r="AQ277" s="29"/>
    </row>
    <row r="278" spans="1:43" ht="26.85" customHeight="1" x14ac:dyDescent="0.45">
      <c r="A278" s="15"/>
      <c r="B278" s="15"/>
      <c r="C278" s="15"/>
      <c r="D278" s="95"/>
      <c r="E278" s="95"/>
      <c r="F278" s="15"/>
      <c r="G278" s="95"/>
      <c r="H278" s="15"/>
      <c r="I278" s="15" t="str">
        <f>IF($H278&lt;&gt;"",(VLOOKUP(H278,'Other Lists'!O:P,2,FALSE)),"")</f>
        <v/>
      </c>
      <c r="J278" s="15"/>
      <c r="K278" s="15"/>
      <c r="L278" s="15"/>
      <c r="M278" s="15"/>
      <c r="N278" s="40"/>
      <c r="O278" s="15"/>
      <c r="P278" s="26"/>
      <c r="Q278" s="15"/>
      <c r="R278" s="15"/>
      <c r="S278" s="15"/>
      <c r="T278" s="15"/>
      <c r="U278" s="15"/>
      <c r="V278" s="95"/>
      <c r="W278" s="95"/>
      <c r="X278" s="15"/>
      <c r="Y278" s="15"/>
      <c r="Z278" s="15" t="str">
        <f t="shared" si="10"/>
        <v/>
      </c>
      <c r="AA278" s="15"/>
      <c r="AB278" s="15" t="str">
        <f t="shared" si="9"/>
        <v/>
      </c>
      <c r="AC278" s="15"/>
      <c r="AD278" s="15"/>
      <c r="AE278" s="15"/>
      <c r="AF278" s="15"/>
      <c r="AG278" s="15"/>
      <c r="AH278" s="15"/>
      <c r="AI278" s="15"/>
      <c r="AJ278" s="15"/>
      <c r="AK278" s="95"/>
      <c r="AL278" s="95"/>
      <c r="AM278" s="93"/>
      <c r="AN278" s="3"/>
      <c r="AP278" s="28"/>
      <c r="AQ278" s="29"/>
    </row>
    <row r="279" spans="1:43" ht="26.85" customHeight="1" x14ac:dyDescent="0.45">
      <c r="A279" s="15"/>
      <c r="B279" s="15"/>
      <c r="C279" s="15"/>
      <c r="D279" s="95"/>
      <c r="E279" s="95"/>
      <c r="F279" s="15"/>
      <c r="G279" s="95"/>
      <c r="H279" s="15"/>
      <c r="I279" s="15" t="str">
        <f>IF($H279&lt;&gt;"",(VLOOKUP(H279,'Other Lists'!O:P,2,FALSE)),"")</f>
        <v/>
      </c>
      <c r="J279" s="15"/>
      <c r="K279" s="15"/>
      <c r="L279" s="15"/>
      <c r="M279" s="15"/>
      <c r="N279" s="40"/>
      <c r="O279" s="15"/>
      <c r="P279" s="26"/>
      <c r="Q279" s="15"/>
      <c r="R279" s="15"/>
      <c r="S279" s="15"/>
      <c r="T279" s="15"/>
      <c r="U279" s="15"/>
      <c r="V279" s="95"/>
      <c r="W279" s="95"/>
      <c r="X279" s="15"/>
      <c r="Y279" s="15"/>
      <c r="Z279" s="15" t="str">
        <f t="shared" si="10"/>
        <v/>
      </c>
      <c r="AA279" s="15"/>
      <c r="AB279" s="15" t="str">
        <f t="shared" si="9"/>
        <v/>
      </c>
      <c r="AC279" s="15"/>
      <c r="AD279" s="15"/>
      <c r="AE279" s="15"/>
      <c r="AF279" s="15"/>
      <c r="AG279" s="15"/>
      <c r="AH279" s="15"/>
      <c r="AI279" s="15"/>
      <c r="AJ279" s="15"/>
      <c r="AK279" s="95"/>
      <c r="AL279" s="95"/>
      <c r="AM279" s="93"/>
      <c r="AN279" s="3"/>
      <c r="AP279" s="28"/>
      <c r="AQ279" s="29"/>
    </row>
    <row r="280" spans="1:43" ht="26.85" customHeight="1" x14ac:dyDescent="0.45">
      <c r="A280" s="15"/>
      <c r="B280" s="15"/>
      <c r="C280" s="15"/>
      <c r="D280" s="95"/>
      <c r="E280" s="95"/>
      <c r="F280" s="15"/>
      <c r="G280" s="95"/>
      <c r="H280" s="15"/>
      <c r="I280" s="15" t="str">
        <f>IF($H280&lt;&gt;"",(VLOOKUP(H280,'Other Lists'!O:P,2,FALSE)),"")</f>
        <v/>
      </c>
      <c r="J280" s="15"/>
      <c r="K280" s="15"/>
      <c r="L280" s="15"/>
      <c r="M280" s="15"/>
      <c r="N280" s="40"/>
      <c r="O280" s="15"/>
      <c r="P280" s="26"/>
      <c r="Q280" s="15"/>
      <c r="R280" s="15"/>
      <c r="S280" s="15"/>
      <c r="T280" s="15"/>
      <c r="U280" s="15"/>
      <c r="V280" s="95"/>
      <c r="W280" s="95"/>
      <c r="X280" s="15"/>
      <c r="Y280" s="15"/>
      <c r="Z280" s="15" t="str">
        <f t="shared" si="10"/>
        <v/>
      </c>
      <c r="AA280" s="15"/>
      <c r="AB280" s="15" t="str">
        <f t="shared" si="9"/>
        <v/>
      </c>
      <c r="AC280" s="15"/>
      <c r="AD280" s="15"/>
      <c r="AE280" s="15"/>
      <c r="AF280" s="15"/>
      <c r="AG280" s="15"/>
      <c r="AH280" s="15"/>
      <c r="AI280" s="15"/>
      <c r="AJ280" s="15"/>
      <c r="AK280" s="95"/>
      <c r="AL280" s="95"/>
      <c r="AM280" s="93"/>
      <c r="AN280" s="3"/>
      <c r="AP280" s="28"/>
      <c r="AQ280" s="29"/>
    </row>
    <row r="281" spans="1:43" ht="26.85" customHeight="1" x14ac:dyDescent="0.45">
      <c r="A281" s="15"/>
      <c r="B281" s="15"/>
      <c r="C281" s="15"/>
      <c r="D281" s="95"/>
      <c r="E281" s="95"/>
      <c r="F281" s="15"/>
      <c r="G281" s="95"/>
      <c r="H281" s="15"/>
      <c r="I281" s="15" t="str">
        <f>IF($H281&lt;&gt;"",(VLOOKUP(H281,'Other Lists'!O:P,2,FALSE)),"")</f>
        <v/>
      </c>
      <c r="J281" s="15"/>
      <c r="K281" s="15"/>
      <c r="L281" s="15"/>
      <c r="M281" s="15"/>
      <c r="N281" s="40"/>
      <c r="O281" s="15"/>
      <c r="P281" s="26"/>
      <c r="Q281" s="15"/>
      <c r="R281" s="15"/>
      <c r="S281" s="15"/>
      <c r="T281" s="15"/>
      <c r="U281" s="15"/>
      <c r="V281" s="95"/>
      <c r="W281" s="95"/>
      <c r="X281" s="15"/>
      <c r="Y281" s="15"/>
      <c r="Z281" s="15" t="str">
        <f t="shared" si="10"/>
        <v/>
      </c>
      <c r="AA281" s="15"/>
      <c r="AB281" s="15" t="str">
        <f t="shared" si="9"/>
        <v/>
      </c>
      <c r="AC281" s="15"/>
      <c r="AD281" s="15"/>
      <c r="AE281" s="15"/>
      <c r="AF281" s="15"/>
      <c r="AG281" s="15"/>
      <c r="AH281" s="15"/>
      <c r="AI281" s="15"/>
      <c r="AJ281" s="15"/>
      <c r="AK281" s="95"/>
      <c r="AL281" s="95"/>
      <c r="AM281" s="93"/>
      <c r="AN281" s="3"/>
      <c r="AP281" s="28"/>
      <c r="AQ281" s="29"/>
    </row>
    <row r="282" spans="1:43" ht="26.85" customHeight="1" x14ac:dyDescent="0.45">
      <c r="A282" s="15"/>
      <c r="B282" s="15"/>
      <c r="C282" s="15"/>
      <c r="D282" s="95"/>
      <c r="E282" s="95"/>
      <c r="F282" s="15"/>
      <c r="G282" s="95"/>
      <c r="H282" s="15"/>
      <c r="I282" s="15" t="str">
        <f>IF($H282&lt;&gt;"",(VLOOKUP(H282,'Other Lists'!O:P,2,FALSE)),"")</f>
        <v/>
      </c>
      <c r="J282" s="15"/>
      <c r="K282" s="15"/>
      <c r="L282" s="15"/>
      <c r="M282" s="15"/>
      <c r="N282" s="40"/>
      <c r="O282" s="15"/>
      <c r="P282" s="26"/>
      <c r="Q282" s="15"/>
      <c r="R282" s="15"/>
      <c r="S282" s="15"/>
      <c r="T282" s="15"/>
      <c r="U282" s="15"/>
      <c r="V282" s="95"/>
      <c r="W282" s="95"/>
      <c r="X282" s="15"/>
      <c r="Y282" s="15"/>
      <c r="Z282" s="15" t="str">
        <f t="shared" si="10"/>
        <v/>
      </c>
      <c r="AA282" s="15"/>
      <c r="AB282" s="15" t="str">
        <f t="shared" si="9"/>
        <v/>
      </c>
      <c r="AC282" s="15"/>
      <c r="AD282" s="15"/>
      <c r="AE282" s="15"/>
      <c r="AF282" s="15"/>
      <c r="AG282" s="15"/>
      <c r="AH282" s="15"/>
      <c r="AI282" s="15"/>
      <c r="AJ282" s="15"/>
      <c r="AK282" s="95"/>
      <c r="AL282" s="95"/>
      <c r="AM282" s="93"/>
      <c r="AN282" s="3"/>
      <c r="AP282" s="28"/>
      <c r="AQ282" s="29"/>
    </row>
    <row r="283" spans="1:43" ht="26.85" customHeight="1" x14ac:dyDescent="0.45">
      <c r="A283" s="15"/>
      <c r="B283" s="15"/>
      <c r="C283" s="15"/>
      <c r="D283" s="95"/>
      <c r="E283" s="95"/>
      <c r="F283" s="15"/>
      <c r="G283" s="95"/>
      <c r="H283" s="15"/>
      <c r="I283" s="15" t="str">
        <f>IF($H283&lt;&gt;"",(VLOOKUP(H283,'Other Lists'!O:P,2,FALSE)),"")</f>
        <v/>
      </c>
      <c r="J283" s="15"/>
      <c r="K283" s="15"/>
      <c r="L283" s="15"/>
      <c r="M283" s="15"/>
      <c r="N283" s="40"/>
      <c r="O283" s="15"/>
      <c r="P283" s="26"/>
      <c r="Q283" s="15"/>
      <c r="R283" s="15"/>
      <c r="S283" s="15"/>
      <c r="T283" s="15"/>
      <c r="U283" s="15"/>
      <c r="V283" s="95"/>
      <c r="W283" s="95"/>
      <c r="X283" s="15"/>
      <c r="Y283" s="15"/>
      <c r="Z283" s="15" t="str">
        <f t="shared" si="10"/>
        <v/>
      </c>
      <c r="AA283" s="15"/>
      <c r="AB283" s="15" t="str">
        <f t="shared" si="9"/>
        <v/>
      </c>
      <c r="AC283" s="15"/>
      <c r="AD283" s="15"/>
      <c r="AE283" s="15"/>
      <c r="AF283" s="15"/>
      <c r="AG283" s="15"/>
      <c r="AH283" s="15"/>
      <c r="AI283" s="15"/>
      <c r="AJ283" s="15"/>
      <c r="AK283" s="95"/>
      <c r="AL283" s="95"/>
      <c r="AM283" s="93"/>
      <c r="AN283" s="3"/>
      <c r="AP283" s="28"/>
      <c r="AQ283" s="29"/>
    </row>
    <row r="284" spans="1:43" ht="26.85" customHeight="1" x14ac:dyDescent="0.45">
      <c r="A284" s="15"/>
      <c r="B284" s="15"/>
      <c r="C284" s="15"/>
      <c r="D284" s="95"/>
      <c r="E284" s="95"/>
      <c r="F284" s="15"/>
      <c r="G284" s="95"/>
      <c r="H284" s="15"/>
      <c r="I284" s="15" t="str">
        <f>IF($H284&lt;&gt;"",(VLOOKUP(H284,'Other Lists'!O:P,2,FALSE)),"")</f>
        <v/>
      </c>
      <c r="J284" s="15"/>
      <c r="K284" s="15"/>
      <c r="L284" s="15"/>
      <c r="M284" s="15"/>
      <c r="N284" s="40"/>
      <c r="O284" s="15"/>
      <c r="P284" s="26"/>
      <c r="Q284" s="15"/>
      <c r="R284" s="15"/>
      <c r="S284" s="15"/>
      <c r="T284" s="15"/>
      <c r="U284" s="15"/>
      <c r="V284" s="95"/>
      <c r="W284" s="95"/>
      <c r="X284" s="15"/>
      <c r="Y284" s="15"/>
      <c r="Z284" s="15" t="str">
        <f t="shared" si="10"/>
        <v/>
      </c>
      <c r="AA284" s="15"/>
      <c r="AB284" s="15" t="str">
        <f t="shared" si="9"/>
        <v/>
      </c>
      <c r="AC284" s="15"/>
      <c r="AD284" s="15"/>
      <c r="AE284" s="15"/>
      <c r="AF284" s="15"/>
      <c r="AG284" s="15"/>
      <c r="AH284" s="15"/>
      <c r="AI284" s="15"/>
      <c r="AJ284" s="15"/>
      <c r="AK284" s="95"/>
      <c r="AL284" s="95"/>
      <c r="AM284" s="93"/>
      <c r="AN284" s="3"/>
      <c r="AP284" s="28"/>
      <c r="AQ284" s="29"/>
    </row>
    <row r="285" spans="1:43" ht="26.85" customHeight="1" x14ac:dyDescent="0.45">
      <c r="A285" s="15"/>
      <c r="B285" s="15"/>
      <c r="C285" s="15"/>
      <c r="D285" s="95"/>
      <c r="E285" s="95"/>
      <c r="F285" s="15"/>
      <c r="G285" s="95"/>
      <c r="H285" s="15"/>
      <c r="I285" s="15" t="str">
        <f>IF($H285&lt;&gt;"",(VLOOKUP(H285,'Other Lists'!O:P,2,FALSE)),"")</f>
        <v/>
      </c>
      <c r="J285" s="15"/>
      <c r="K285" s="15"/>
      <c r="L285" s="15"/>
      <c r="M285" s="15"/>
      <c r="N285" s="40"/>
      <c r="O285" s="15"/>
      <c r="P285" s="26"/>
      <c r="Q285" s="15"/>
      <c r="R285" s="15"/>
      <c r="S285" s="15"/>
      <c r="T285" s="15"/>
      <c r="U285" s="15"/>
      <c r="V285" s="95"/>
      <c r="W285" s="95"/>
      <c r="X285" s="15"/>
      <c r="Y285" s="15"/>
      <c r="Z285" s="15" t="str">
        <f t="shared" si="10"/>
        <v/>
      </c>
      <c r="AA285" s="15"/>
      <c r="AB285" s="15" t="str">
        <f t="shared" si="9"/>
        <v/>
      </c>
      <c r="AC285" s="15"/>
      <c r="AD285" s="15"/>
      <c r="AE285" s="15"/>
      <c r="AF285" s="15"/>
      <c r="AG285" s="15"/>
      <c r="AH285" s="15"/>
      <c r="AI285" s="15"/>
      <c r="AJ285" s="15"/>
      <c r="AK285" s="95"/>
      <c r="AL285" s="95"/>
      <c r="AM285" s="93"/>
      <c r="AN285" s="3"/>
      <c r="AP285" s="28"/>
      <c r="AQ285" s="29"/>
    </row>
    <row r="286" spans="1:43" ht="26.85" customHeight="1" x14ac:dyDescent="0.45">
      <c r="A286" s="15"/>
      <c r="B286" s="15"/>
      <c r="C286" s="15"/>
      <c r="D286" s="95"/>
      <c r="E286" s="95"/>
      <c r="F286" s="15"/>
      <c r="G286" s="95"/>
      <c r="H286" s="15"/>
      <c r="I286" s="15" t="str">
        <f>IF($H286&lt;&gt;"",(VLOOKUP(H286,'Other Lists'!O:P,2,FALSE)),"")</f>
        <v/>
      </c>
      <c r="J286" s="15"/>
      <c r="K286" s="15"/>
      <c r="L286" s="15"/>
      <c r="M286" s="15"/>
      <c r="N286" s="40"/>
      <c r="O286" s="15"/>
      <c r="P286" s="26"/>
      <c r="Q286" s="15"/>
      <c r="R286" s="15"/>
      <c r="S286" s="15"/>
      <c r="T286" s="15"/>
      <c r="U286" s="15"/>
      <c r="V286" s="95"/>
      <c r="W286" s="95"/>
      <c r="X286" s="15"/>
      <c r="Y286" s="15"/>
      <c r="Z286" s="15" t="str">
        <f t="shared" si="10"/>
        <v/>
      </c>
      <c r="AA286" s="15"/>
      <c r="AB286" s="15" t="str">
        <f t="shared" si="9"/>
        <v/>
      </c>
      <c r="AC286" s="15"/>
      <c r="AD286" s="15"/>
      <c r="AE286" s="15"/>
      <c r="AF286" s="15"/>
      <c r="AG286" s="15"/>
      <c r="AH286" s="15"/>
      <c r="AI286" s="15"/>
      <c r="AJ286" s="15"/>
      <c r="AK286" s="95"/>
      <c r="AL286" s="95"/>
      <c r="AM286" s="93"/>
      <c r="AN286" s="3"/>
      <c r="AP286" s="28"/>
      <c r="AQ286" s="29"/>
    </row>
    <row r="287" spans="1:43" ht="26.85" customHeight="1" x14ac:dyDescent="0.45">
      <c r="A287" s="15"/>
      <c r="B287" s="15"/>
      <c r="C287" s="15"/>
      <c r="D287" s="95"/>
      <c r="E287" s="95"/>
      <c r="F287" s="15"/>
      <c r="G287" s="95"/>
      <c r="H287" s="15"/>
      <c r="I287" s="15" t="str">
        <f>IF($H287&lt;&gt;"",(VLOOKUP(H287,'Other Lists'!O:P,2,FALSE)),"")</f>
        <v/>
      </c>
      <c r="J287" s="15"/>
      <c r="K287" s="15"/>
      <c r="L287" s="15"/>
      <c r="M287" s="15"/>
      <c r="N287" s="40"/>
      <c r="O287" s="15"/>
      <c r="P287" s="26"/>
      <c r="Q287" s="15"/>
      <c r="R287" s="15"/>
      <c r="S287" s="15"/>
      <c r="T287" s="15"/>
      <c r="U287" s="15"/>
      <c r="V287" s="95"/>
      <c r="W287" s="95"/>
      <c r="X287" s="15"/>
      <c r="Y287" s="15"/>
      <c r="Z287" s="15" t="str">
        <f t="shared" si="10"/>
        <v/>
      </c>
      <c r="AA287" s="15"/>
      <c r="AB287" s="15" t="str">
        <f t="shared" si="9"/>
        <v/>
      </c>
      <c r="AC287" s="15"/>
      <c r="AD287" s="15"/>
      <c r="AE287" s="15"/>
      <c r="AF287" s="15"/>
      <c r="AG287" s="15"/>
      <c r="AH287" s="15"/>
      <c r="AI287" s="15"/>
      <c r="AJ287" s="15"/>
      <c r="AK287" s="95"/>
      <c r="AL287" s="95"/>
      <c r="AM287" s="93"/>
      <c r="AN287" s="3"/>
      <c r="AP287" s="28"/>
      <c r="AQ287" s="29"/>
    </row>
    <row r="288" spans="1:43" ht="26.85" customHeight="1" x14ac:dyDescent="0.45">
      <c r="A288" s="15"/>
      <c r="B288" s="15"/>
      <c r="C288" s="15"/>
      <c r="D288" s="95"/>
      <c r="E288" s="95"/>
      <c r="F288" s="15"/>
      <c r="G288" s="95"/>
      <c r="H288" s="15"/>
      <c r="I288" s="15" t="str">
        <f>IF($H288&lt;&gt;"",(VLOOKUP(H288,'Other Lists'!O:P,2,FALSE)),"")</f>
        <v/>
      </c>
      <c r="J288" s="15"/>
      <c r="K288" s="15"/>
      <c r="L288" s="15"/>
      <c r="M288" s="15"/>
      <c r="N288" s="40"/>
      <c r="O288" s="15"/>
      <c r="P288" s="26"/>
      <c r="Q288" s="15"/>
      <c r="R288" s="15"/>
      <c r="S288" s="15"/>
      <c r="T288" s="15"/>
      <c r="U288" s="15"/>
      <c r="V288" s="95"/>
      <c r="W288" s="95"/>
      <c r="X288" s="15"/>
      <c r="Y288" s="15"/>
      <c r="Z288" s="15" t="str">
        <f t="shared" si="10"/>
        <v/>
      </c>
      <c r="AA288" s="15"/>
      <c r="AB288" s="15" t="str">
        <f t="shared" si="9"/>
        <v/>
      </c>
      <c r="AC288" s="15"/>
      <c r="AD288" s="15"/>
      <c r="AE288" s="15"/>
      <c r="AF288" s="15"/>
      <c r="AG288" s="15"/>
      <c r="AH288" s="15"/>
      <c r="AI288" s="15"/>
      <c r="AJ288" s="15"/>
      <c r="AK288" s="95"/>
      <c r="AL288" s="95"/>
      <c r="AM288" s="93"/>
      <c r="AN288" s="3"/>
      <c r="AP288" s="28"/>
      <c r="AQ288" s="29"/>
    </row>
    <row r="289" spans="1:43" ht="26.85" customHeight="1" x14ac:dyDescent="0.45">
      <c r="A289" s="15"/>
      <c r="B289" s="15"/>
      <c r="C289" s="15"/>
      <c r="D289" s="95"/>
      <c r="E289" s="95"/>
      <c r="F289" s="15"/>
      <c r="G289" s="95"/>
      <c r="H289" s="15"/>
      <c r="I289" s="15" t="str">
        <f>IF($H289&lt;&gt;"",(VLOOKUP(H289,'Other Lists'!O:P,2,FALSE)),"")</f>
        <v/>
      </c>
      <c r="J289" s="15"/>
      <c r="K289" s="15"/>
      <c r="L289" s="15"/>
      <c r="M289" s="15"/>
      <c r="N289" s="40"/>
      <c r="O289" s="15"/>
      <c r="P289" s="26"/>
      <c r="Q289" s="15"/>
      <c r="R289" s="15"/>
      <c r="S289" s="15"/>
      <c r="T289" s="15"/>
      <c r="U289" s="15"/>
      <c r="V289" s="95"/>
      <c r="W289" s="95"/>
      <c r="X289" s="15"/>
      <c r="Y289" s="15"/>
      <c r="Z289" s="15" t="str">
        <f t="shared" si="10"/>
        <v/>
      </c>
      <c r="AA289" s="15"/>
      <c r="AB289" s="15" t="str">
        <f t="shared" si="9"/>
        <v/>
      </c>
      <c r="AC289" s="15"/>
      <c r="AD289" s="15"/>
      <c r="AE289" s="15"/>
      <c r="AF289" s="15"/>
      <c r="AG289" s="15"/>
      <c r="AH289" s="15"/>
      <c r="AI289" s="15"/>
      <c r="AJ289" s="15"/>
      <c r="AK289" s="95"/>
      <c r="AL289" s="95"/>
      <c r="AM289" s="93"/>
      <c r="AN289" s="3"/>
      <c r="AP289" s="28"/>
      <c r="AQ289" s="29"/>
    </row>
    <row r="290" spans="1:43" ht="26.85" customHeight="1" x14ac:dyDescent="0.45">
      <c r="A290" s="15"/>
      <c r="B290" s="15"/>
      <c r="C290" s="15"/>
      <c r="D290" s="95"/>
      <c r="E290" s="95"/>
      <c r="F290" s="15"/>
      <c r="G290" s="95"/>
      <c r="H290" s="15"/>
      <c r="I290" s="15" t="str">
        <f>IF($H290&lt;&gt;"",(VLOOKUP(H290,'Other Lists'!O:P,2,FALSE)),"")</f>
        <v/>
      </c>
      <c r="J290" s="15"/>
      <c r="K290" s="15"/>
      <c r="L290" s="15"/>
      <c r="M290" s="15"/>
      <c r="N290" s="40"/>
      <c r="O290" s="15"/>
      <c r="P290" s="26"/>
      <c r="Q290" s="15"/>
      <c r="R290" s="15"/>
      <c r="S290" s="15"/>
      <c r="T290" s="15"/>
      <c r="U290" s="15"/>
      <c r="V290" s="95"/>
      <c r="W290" s="95"/>
      <c r="X290" s="15"/>
      <c r="Y290" s="15"/>
      <c r="Z290" s="15" t="str">
        <f t="shared" si="10"/>
        <v/>
      </c>
      <c r="AA290" s="15"/>
      <c r="AB290" s="15" t="str">
        <f t="shared" si="9"/>
        <v/>
      </c>
      <c r="AC290" s="15"/>
      <c r="AD290" s="15"/>
      <c r="AE290" s="15"/>
      <c r="AF290" s="15"/>
      <c r="AG290" s="15"/>
      <c r="AH290" s="15"/>
      <c r="AI290" s="15"/>
      <c r="AJ290" s="15"/>
      <c r="AK290" s="95"/>
      <c r="AL290" s="95"/>
      <c r="AM290" s="93"/>
      <c r="AN290" s="3"/>
      <c r="AP290" s="28"/>
      <c r="AQ290" s="29"/>
    </row>
    <row r="291" spans="1:43" ht="26.85" customHeight="1" x14ac:dyDescent="0.45">
      <c r="A291" s="15"/>
      <c r="B291" s="15"/>
      <c r="C291" s="15"/>
      <c r="D291" s="95"/>
      <c r="E291" s="95"/>
      <c r="F291" s="15"/>
      <c r="G291" s="95"/>
      <c r="H291" s="15"/>
      <c r="I291" s="15" t="str">
        <f>IF($H291&lt;&gt;"",(VLOOKUP(H291,'Other Lists'!O:P,2,FALSE)),"")</f>
        <v/>
      </c>
      <c r="J291" s="15"/>
      <c r="K291" s="15"/>
      <c r="L291" s="15"/>
      <c r="M291" s="15"/>
      <c r="N291" s="40"/>
      <c r="O291" s="15"/>
      <c r="P291" s="26"/>
      <c r="Q291" s="15"/>
      <c r="R291" s="15"/>
      <c r="S291" s="15"/>
      <c r="T291" s="15"/>
      <c r="U291" s="15"/>
      <c r="V291" s="95"/>
      <c r="W291" s="95"/>
      <c r="X291" s="15"/>
      <c r="Y291" s="15"/>
      <c r="Z291" s="15" t="str">
        <f t="shared" si="10"/>
        <v/>
      </c>
      <c r="AA291" s="15"/>
      <c r="AB291" s="15" t="str">
        <f t="shared" si="9"/>
        <v/>
      </c>
      <c r="AC291" s="15"/>
      <c r="AD291" s="15"/>
      <c r="AE291" s="15"/>
      <c r="AF291" s="15"/>
      <c r="AG291" s="15"/>
      <c r="AH291" s="15"/>
      <c r="AI291" s="15"/>
      <c r="AJ291" s="15"/>
      <c r="AK291" s="95"/>
      <c r="AL291" s="95"/>
      <c r="AM291" s="93"/>
      <c r="AN291" s="3"/>
      <c r="AP291" s="28"/>
      <c r="AQ291" s="29"/>
    </row>
    <row r="292" spans="1:43" ht="26.85" customHeight="1" x14ac:dyDescent="0.45">
      <c r="A292" s="15"/>
      <c r="B292" s="15"/>
      <c r="C292" s="15"/>
      <c r="D292" s="95"/>
      <c r="E292" s="95"/>
      <c r="F292" s="15"/>
      <c r="G292" s="95"/>
      <c r="H292" s="15"/>
      <c r="I292" s="15" t="str">
        <f>IF($H292&lt;&gt;"",(VLOOKUP(H292,'Other Lists'!O:P,2,FALSE)),"")</f>
        <v/>
      </c>
      <c r="J292" s="15"/>
      <c r="K292" s="15"/>
      <c r="L292" s="15"/>
      <c r="M292" s="15"/>
      <c r="N292" s="40"/>
      <c r="O292" s="15"/>
      <c r="P292" s="26"/>
      <c r="Q292" s="15"/>
      <c r="R292" s="15"/>
      <c r="S292" s="15"/>
      <c r="T292" s="15"/>
      <c r="U292" s="15"/>
      <c r="V292" s="95"/>
      <c r="W292" s="95"/>
      <c r="X292" s="15"/>
      <c r="Y292" s="15"/>
      <c r="Z292" s="15" t="str">
        <f t="shared" si="10"/>
        <v/>
      </c>
      <c r="AA292" s="15"/>
      <c r="AB292" s="15" t="str">
        <f t="shared" si="9"/>
        <v/>
      </c>
      <c r="AC292" s="15"/>
      <c r="AD292" s="15"/>
      <c r="AE292" s="15"/>
      <c r="AF292" s="15"/>
      <c r="AG292" s="15"/>
      <c r="AH292" s="15"/>
      <c r="AI292" s="15"/>
      <c r="AJ292" s="15"/>
      <c r="AK292" s="95"/>
      <c r="AL292" s="95"/>
      <c r="AM292" s="93"/>
      <c r="AN292" s="3"/>
      <c r="AP292" s="28"/>
      <c r="AQ292" s="29"/>
    </row>
    <row r="293" spans="1:43" ht="26.85" customHeight="1" x14ac:dyDescent="0.45">
      <c r="A293" s="15"/>
      <c r="B293" s="15"/>
      <c r="C293" s="15"/>
      <c r="D293" s="95"/>
      <c r="E293" s="95"/>
      <c r="F293" s="15"/>
      <c r="G293" s="95"/>
      <c r="H293" s="15"/>
      <c r="I293" s="15" t="str">
        <f>IF($H293&lt;&gt;"",(VLOOKUP(H293,'Other Lists'!O:P,2,FALSE)),"")</f>
        <v/>
      </c>
      <c r="J293" s="15"/>
      <c r="K293" s="15"/>
      <c r="L293" s="15"/>
      <c r="M293" s="15"/>
      <c r="N293" s="40"/>
      <c r="O293" s="15"/>
      <c r="P293" s="26"/>
      <c r="Q293" s="15"/>
      <c r="R293" s="15"/>
      <c r="S293" s="15"/>
      <c r="T293" s="15"/>
      <c r="U293" s="15"/>
      <c r="V293" s="95"/>
      <c r="W293" s="95"/>
      <c r="X293" s="15"/>
      <c r="Y293" s="15"/>
      <c r="Z293" s="15" t="str">
        <f t="shared" si="10"/>
        <v/>
      </c>
      <c r="AA293" s="15"/>
      <c r="AB293" s="15" t="str">
        <f t="shared" si="9"/>
        <v/>
      </c>
      <c r="AC293" s="15"/>
      <c r="AD293" s="15"/>
      <c r="AE293" s="15"/>
      <c r="AF293" s="15"/>
      <c r="AG293" s="15"/>
      <c r="AH293" s="15"/>
      <c r="AI293" s="15"/>
      <c r="AJ293" s="15"/>
      <c r="AK293" s="95"/>
      <c r="AL293" s="95"/>
      <c r="AM293" s="93"/>
      <c r="AN293" s="3"/>
      <c r="AP293" s="28"/>
      <c r="AQ293" s="29"/>
    </row>
    <row r="294" spans="1:43" ht="26.85" customHeight="1" x14ac:dyDescent="0.45">
      <c r="A294" s="15"/>
      <c r="B294" s="15"/>
      <c r="C294" s="15"/>
      <c r="D294" s="95"/>
      <c r="E294" s="95"/>
      <c r="F294" s="15"/>
      <c r="G294" s="95"/>
      <c r="H294" s="15"/>
      <c r="I294" s="15" t="str">
        <f>IF($H294&lt;&gt;"",(VLOOKUP(H294,'Other Lists'!O:P,2,FALSE)),"")</f>
        <v/>
      </c>
      <c r="J294" s="15"/>
      <c r="K294" s="15"/>
      <c r="L294" s="15"/>
      <c r="M294" s="15"/>
      <c r="N294" s="40"/>
      <c r="O294" s="15"/>
      <c r="P294" s="26"/>
      <c r="Q294" s="15"/>
      <c r="R294" s="15"/>
      <c r="S294" s="15"/>
      <c r="T294" s="15"/>
      <c r="U294" s="15"/>
      <c r="V294" s="95"/>
      <c r="W294" s="95"/>
      <c r="X294" s="15"/>
      <c r="Y294" s="15"/>
      <c r="Z294" s="15" t="str">
        <f t="shared" si="10"/>
        <v/>
      </c>
      <c r="AA294" s="15"/>
      <c r="AB294" s="15" t="str">
        <f t="shared" si="9"/>
        <v/>
      </c>
      <c r="AC294" s="15"/>
      <c r="AD294" s="15"/>
      <c r="AE294" s="15"/>
      <c r="AF294" s="15"/>
      <c r="AG294" s="15"/>
      <c r="AH294" s="15"/>
      <c r="AI294" s="15"/>
      <c r="AJ294" s="15"/>
      <c r="AK294" s="95"/>
      <c r="AL294" s="95"/>
      <c r="AM294" s="93"/>
      <c r="AN294" s="3"/>
      <c r="AP294" s="28"/>
      <c r="AQ294" s="29"/>
    </row>
    <row r="295" spans="1:43" ht="26.85" customHeight="1" x14ac:dyDescent="0.45">
      <c r="A295" s="15"/>
      <c r="B295" s="15"/>
      <c r="C295" s="15"/>
      <c r="D295" s="95"/>
      <c r="E295" s="95"/>
      <c r="F295" s="15"/>
      <c r="G295" s="95"/>
      <c r="H295" s="15"/>
      <c r="I295" s="15" t="str">
        <f>IF($H295&lt;&gt;"",(VLOOKUP(H295,'Other Lists'!O:P,2,FALSE)),"")</f>
        <v/>
      </c>
      <c r="J295" s="15"/>
      <c r="K295" s="15"/>
      <c r="L295" s="15"/>
      <c r="M295" s="15"/>
      <c r="N295" s="40"/>
      <c r="O295" s="15"/>
      <c r="P295" s="26"/>
      <c r="Q295" s="15"/>
      <c r="R295" s="15"/>
      <c r="S295" s="15"/>
      <c r="T295" s="15"/>
      <c r="U295" s="15"/>
      <c r="V295" s="95"/>
      <c r="W295" s="95"/>
      <c r="X295" s="15"/>
      <c r="Y295" s="15"/>
      <c r="Z295" s="15" t="str">
        <f t="shared" si="10"/>
        <v/>
      </c>
      <c r="AA295" s="15"/>
      <c r="AB295" s="15" t="str">
        <f t="shared" si="9"/>
        <v/>
      </c>
      <c r="AC295" s="15"/>
      <c r="AD295" s="15"/>
      <c r="AE295" s="15"/>
      <c r="AF295" s="15"/>
      <c r="AG295" s="15"/>
      <c r="AH295" s="15"/>
      <c r="AI295" s="15"/>
      <c r="AJ295" s="15"/>
      <c r="AK295" s="95"/>
      <c r="AL295" s="95"/>
      <c r="AM295" s="93"/>
      <c r="AN295" s="3"/>
      <c r="AP295" s="28"/>
      <c r="AQ295" s="29"/>
    </row>
    <row r="296" spans="1:43" ht="26.85" customHeight="1" x14ac:dyDescent="0.45">
      <c r="A296" s="15"/>
      <c r="B296" s="15"/>
      <c r="C296" s="15"/>
      <c r="D296" s="95"/>
      <c r="E296" s="95"/>
      <c r="F296" s="15"/>
      <c r="G296" s="95"/>
      <c r="H296" s="15"/>
      <c r="I296" s="15" t="str">
        <f>IF($H296&lt;&gt;"",(VLOOKUP(H296,'Other Lists'!O:P,2,FALSE)),"")</f>
        <v/>
      </c>
      <c r="J296" s="15"/>
      <c r="K296" s="15"/>
      <c r="L296" s="15"/>
      <c r="M296" s="15"/>
      <c r="N296" s="40"/>
      <c r="O296" s="15"/>
      <c r="P296" s="26"/>
      <c r="Q296" s="15"/>
      <c r="R296" s="15"/>
      <c r="S296" s="15"/>
      <c r="T296" s="15"/>
      <c r="U296" s="15"/>
      <c r="V296" s="95"/>
      <c r="W296" s="95"/>
      <c r="X296" s="15"/>
      <c r="Y296" s="15"/>
      <c r="Z296" s="15" t="str">
        <f t="shared" si="10"/>
        <v/>
      </c>
      <c r="AA296" s="15"/>
      <c r="AB296" s="15" t="str">
        <f t="shared" si="9"/>
        <v/>
      </c>
      <c r="AC296" s="15"/>
      <c r="AD296" s="15"/>
      <c r="AE296" s="15"/>
      <c r="AF296" s="15"/>
      <c r="AG296" s="15"/>
      <c r="AH296" s="15"/>
      <c r="AI296" s="15"/>
      <c r="AJ296" s="15"/>
      <c r="AK296" s="95"/>
      <c r="AL296" s="95"/>
      <c r="AM296" s="93"/>
      <c r="AN296" s="3"/>
      <c r="AP296" s="28"/>
      <c r="AQ296" s="29"/>
    </row>
    <row r="297" spans="1:43" ht="26.85" customHeight="1" x14ac:dyDescent="0.45">
      <c r="A297" s="15"/>
      <c r="B297" s="15"/>
      <c r="C297" s="15"/>
      <c r="D297" s="95"/>
      <c r="E297" s="95"/>
      <c r="F297" s="15"/>
      <c r="G297" s="95"/>
      <c r="H297" s="15"/>
      <c r="I297" s="15" t="str">
        <f>IF($H297&lt;&gt;"",(VLOOKUP(H297,'Other Lists'!O:P,2,FALSE)),"")</f>
        <v/>
      </c>
      <c r="J297" s="15"/>
      <c r="K297" s="15"/>
      <c r="L297" s="15"/>
      <c r="M297" s="15"/>
      <c r="N297" s="40"/>
      <c r="O297" s="15"/>
      <c r="P297" s="26"/>
      <c r="Q297" s="15"/>
      <c r="R297" s="15"/>
      <c r="S297" s="15"/>
      <c r="T297" s="15"/>
      <c r="U297" s="15"/>
      <c r="V297" s="95"/>
      <c r="W297" s="95"/>
      <c r="X297" s="15"/>
      <c r="Y297" s="15"/>
      <c r="Z297" s="15" t="str">
        <f t="shared" si="10"/>
        <v/>
      </c>
      <c r="AA297" s="15"/>
      <c r="AB297" s="15" t="str">
        <f t="shared" si="9"/>
        <v/>
      </c>
      <c r="AC297" s="15"/>
      <c r="AD297" s="15"/>
      <c r="AE297" s="15"/>
      <c r="AF297" s="15"/>
      <c r="AG297" s="15"/>
      <c r="AH297" s="15"/>
      <c r="AI297" s="15"/>
      <c r="AJ297" s="15"/>
      <c r="AK297" s="95"/>
      <c r="AL297" s="95"/>
      <c r="AM297" s="93"/>
      <c r="AN297" s="3"/>
      <c r="AP297" s="28"/>
      <c r="AQ297" s="29"/>
    </row>
    <row r="298" spans="1:43" ht="26.85" customHeight="1" x14ac:dyDescent="0.45">
      <c r="A298" s="15"/>
      <c r="B298" s="15"/>
      <c r="C298" s="15"/>
      <c r="D298" s="95"/>
      <c r="E298" s="95"/>
      <c r="F298" s="15"/>
      <c r="G298" s="95"/>
      <c r="H298" s="15"/>
      <c r="I298" s="15" t="str">
        <f>IF($H298&lt;&gt;"",(VLOOKUP(H298,'Other Lists'!O:P,2,FALSE)),"")</f>
        <v/>
      </c>
      <c r="J298" s="15"/>
      <c r="K298" s="15"/>
      <c r="L298" s="15"/>
      <c r="M298" s="15"/>
      <c r="N298" s="40"/>
      <c r="O298" s="15"/>
      <c r="P298" s="26"/>
      <c r="Q298" s="15"/>
      <c r="R298" s="15"/>
      <c r="S298" s="15"/>
      <c r="T298" s="15"/>
      <c r="U298" s="15"/>
      <c r="V298" s="95"/>
      <c r="W298" s="95"/>
      <c r="X298" s="15"/>
      <c r="Y298" s="15"/>
      <c r="Z298" s="15" t="str">
        <f t="shared" si="10"/>
        <v/>
      </c>
      <c r="AA298" s="15"/>
      <c r="AB298" s="15" t="str">
        <f t="shared" si="9"/>
        <v/>
      </c>
      <c r="AC298" s="15"/>
      <c r="AD298" s="15"/>
      <c r="AE298" s="15"/>
      <c r="AF298" s="15"/>
      <c r="AG298" s="15"/>
      <c r="AH298" s="15"/>
      <c r="AI298" s="15"/>
      <c r="AJ298" s="15"/>
      <c r="AK298" s="95"/>
      <c r="AL298" s="95"/>
      <c r="AM298" s="93"/>
      <c r="AN298" s="3"/>
      <c r="AP298" s="28"/>
      <c r="AQ298" s="29"/>
    </row>
    <row r="299" spans="1:43" ht="26.85" customHeight="1" x14ac:dyDescent="0.45">
      <c r="A299" s="15"/>
      <c r="B299" s="15"/>
      <c r="C299" s="15"/>
      <c r="D299" s="95"/>
      <c r="E299" s="95"/>
      <c r="F299" s="15"/>
      <c r="G299" s="95"/>
      <c r="H299" s="15"/>
      <c r="I299" s="15" t="str">
        <f>IF($H299&lt;&gt;"",(VLOOKUP(H299,'Other Lists'!O:P,2,FALSE)),"")</f>
        <v/>
      </c>
      <c r="J299" s="15"/>
      <c r="K299" s="15"/>
      <c r="L299" s="15"/>
      <c r="M299" s="15"/>
      <c r="N299" s="40"/>
      <c r="O299" s="15"/>
      <c r="P299" s="26"/>
      <c r="Q299" s="15"/>
      <c r="R299" s="15"/>
      <c r="S299" s="15"/>
      <c r="T299" s="15"/>
      <c r="U299" s="15"/>
      <c r="V299" s="95"/>
      <c r="W299" s="95"/>
      <c r="X299" s="15"/>
      <c r="Y299" s="15"/>
      <c r="Z299" s="15" t="str">
        <f t="shared" si="10"/>
        <v/>
      </c>
      <c r="AA299" s="15"/>
      <c r="AB299" s="15" t="str">
        <f t="shared" si="9"/>
        <v/>
      </c>
      <c r="AC299" s="15"/>
      <c r="AD299" s="15"/>
      <c r="AE299" s="15"/>
      <c r="AF299" s="15"/>
      <c r="AG299" s="15"/>
      <c r="AH299" s="15"/>
      <c r="AI299" s="15"/>
      <c r="AJ299" s="15"/>
      <c r="AK299" s="95"/>
      <c r="AL299" s="95"/>
      <c r="AM299" s="93"/>
      <c r="AN299" s="3"/>
      <c r="AP299" s="28"/>
      <c r="AQ299" s="29"/>
    </row>
    <row r="300" spans="1:43" ht="26.85" customHeight="1" x14ac:dyDescent="0.45">
      <c r="A300" s="15"/>
      <c r="B300" s="15"/>
      <c r="C300" s="15"/>
      <c r="D300" s="95"/>
      <c r="E300" s="95"/>
      <c r="F300" s="15"/>
      <c r="G300" s="95"/>
      <c r="H300" s="15"/>
      <c r="I300" s="15" t="str">
        <f>IF($H300&lt;&gt;"",(VLOOKUP(H300,'Other Lists'!O:P,2,FALSE)),"")</f>
        <v/>
      </c>
      <c r="J300" s="15"/>
      <c r="K300" s="15"/>
      <c r="L300" s="15"/>
      <c r="M300" s="15"/>
      <c r="N300" s="40"/>
      <c r="O300" s="15"/>
      <c r="P300" s="26"/>
      <c r="Q300" s="15"/>
      <c r="R300" s="15"/>
      <c r="S300" s="15"/>
      <c r="T300" s="15"/>
      <c r="U300" s="15"/>
      <c r="V300" s="95"/>
      <c r="W300" s="95"/>
      <c r="X300" s="15"/>
      <c r="Y300" s="15"/>
      <c r="Z300" s="15" t="str">
        <f t="shared" si="10"/>
        <v/>
      </c>
      <c r="AA300" s="15"/>
      <c r="AB300" s="15" t="str">
        <f t="shared" si="9"/>
        <v/>
      </c>
      <c r="AC300" s="15"/>
      <c r="AD300" s="15"/>
      <c r="AE300" s="15"/>
      <c r="AF300" s="15"/>
      <c r="AG300" s="15"/>
      <c r="AH300" s="15"/>
      <c r="AI300" s="15"/>
      <c r="AJ300" s="15"/>
      <c r="AK300" s="95"/>
      <c r="AL300" s="95"/>
      <c r="AM300" s="93"/>
      <c r="AN300" s="3"/>
      <c r="AP300" s="28"/>
      <c r="AQ300" s="29"/>
    </row>
    <row r="301" spans="1:43" ht="26.85" customHeight="1" x14ac:dyDescent="0.45">
      <c r="A301" s="15"/>
      <c r="B301" s="15"/>
      <c r="C301" s="15"/>
      <c r="D301" s="95"/>
      <c r="E301" s="95"/>
      <c r="F301" s="15"/>
      <c r="G301" s="95"/>
      <c r="H301" s="15"/>
      <c r="I301" s="15" t="str">
        <f>IF($H301&lt;&gt;"",(VLOOKUP(H301,'Other Lists'!O:P,2,FALSE)),"")</f>
        <v/>
      </c>
      <c r="J301" s="15"/>
      <c r="K301" s="15"/>
      <c r="L301" s="15"/>
      <c r="M301" s="15"/>
      <c r="N301" s="40"/>
      <c r="O301" s="15"/>
      <c r="P301" s="26"/>
      <c r="Q301" s="15"/>
      <c r="R301" s="15"/>
      <c r="S301" s="15"/>
      <c r="T301" s="15"/>
      <c r="U301" s="15"/>
      <c r="V301" s="95"/>
      <c r="W301" s="95"/>
      <c r="X301" s="15"/>
      <c r="Y301" s="15"/>
      <c r="Z301" s="15" t="str">
        <f t="shared" si="10"/>
        <v/>
      </c>
      <c r="AA301" s="15"/>
      <c r="AB301" s="15" t="str">
        <f t="shared" si="9"/>
        <v/>
      </c>
      <c r="AC301" s="15"/>
      <c r="AD301" s="15"/>
      <c r="AE301" s="15"/>
      <c r="AF301" s="15"/>
      <c r="AG301" s="15"/>
      <c r="AH301" s="15"/>
      <c r="AI301" s="15"/>
      <c r="AJ301" s="15"/>
      <c r="AK301" s="95"/>
      <c r="AL301" s="95"/>
      <c r="AM301" s="93"/>
      <c r="AN301" s="3"/>
      <c r="AP301" s="28"/>
      <c r="AQ301" s="29"/>
    </row>
    <row r="302" spans="1:43" ht="26.85" customHeight="1" x14ac:dyDescent="0.45">
      <c r="A302" s="15"/>
      <c r="B302" s="15"/>
      <c r="C302" s="15"/>
      <c r="D302" s="95"/>
      <c r="E302" s="95"/>
      <c r="F302" s="15"/>
      <c r="G302" s="95"/>
      <c r="H302" s="15"/>
      <c r="I302" s="15" t="str">
        <f>IF($H302&lt;&gt;"",(VLOOKUP(H302,'Other Lists'!O:P,2,FALSE)),"")</f>
        <v/>
      </c>
      <c r="J302" s="15"/>
      <c r="K302" s="15"/>
      <c r="L302" s="15"/>
      <c r="M302" s="15"/>
      <c r="N302" s="40"/>
      <c r="O302" s="15"/>
      <c r="P302" s="26"/>
      <c r="Q302" s="15"/>
      <c r="R302" s="15"/>
      <c r="S302" s="15"/>
      <c r="T302" s="15"/>
      <c r="U302" s="15"/>
      <c r="V302" s="95"/>
      <c r="W302" s="95"/>
      <c r="X302" s="15"/>
      <c r="Y302" s="15"/>
      <c r="Z302" s="15" t="str">
        <f t="shared" si="10"/>
        <v/>
      </c>
      <c r="AA302" s="15"/>
      <c r="AB302" s="15" t="str">
        <f t="shared" si="9"/>
        <v/>
      </c>
      <c r="AC302" s="15"/>
      <c r="AD302" s="15"/>
      <c r="AE302" s="15"/>
      <c r="AF302" s="15"/>
      <c r="AG302" s="15"/>
      <c r="AH302" s="15"/>
      <c r="AI302" s="15"/>
      <c r="AJ302" s="15"/>
      <c r="AK302" s="95"/>
      <c r="AL302" s="95"/>
      <c r="AM302" s="93"/>
      <c r="AN302" s="3"/>
      <c r="AP302" s="28"/>
      <c r="AQ302" s="29"/>
    </row>
    <row r="303" spans="1:43" ht="26.85" customHeight="1" x14ac:dyDescent="0.45">
      <c r="A303" s="15"/>
      <c r="B303" s="15"/>
      <c r="C303" s="15"/>
      <c r="D303" s="95"/>
      <c r="E303" s="95"/>
      <c r="F303" s="15"/>
      <c r="G303" s="95"/>
      <c r="H303" s="15"/>
      <c r="I303" s="15" t="str">
        <f>IF($H303&lt;&gt;"",(VLOOKUP(H303,'Other Lists'!O:P,2,FALSE)),"")</f>
        <v/>
      </c>
      <c r="J303" s="15"/>
      <c r="K303" s="15"/>
      <c r="L303" s="15"/>
      <c r="M303" s="15"/>
      <c r="N303" s="40"/>
      <c r="O303" s="15"/>
      <c r="P303" s="26"/>
      <c r="Q303" s="15"/>
      <c r="R303" s="15"/>
      <c r="S303" s="15"/>
      <c r="T303" s="15"/>
      <c r="U303" s="15"/>
      <c r="V303" s="95"/>
      <c r="W303" s="95"/>
      <c r="X303" s="15"/>
      <c r="Y303" s="15"/>
      <c r="Z303" s="15" t="str">
        <f t="shared" si="10"/>
        <v/>
      </c>
      <c r="AA303" s="15"/>
      <c r="AB303" s="15" t="str">
        <f t="shared" si="9"/>
        <v/>
      </c>
      <c r="AC303" s="15"/>
      <c r="AD303" s="15"/>
      <c r="AE303" s="15"/>
      <c r="AF303" s="15"/>
      <c r="AG303" s="15"/>
      <c r="AH303" s="15"/>
      <c r="AI303" s="15"/>
      <c r="AJ303" s="15"/>
      <c r="AK303" s="95"/>
      <c r="AL303" s="95"/>
      <c r="AM303" s="93"/>
      <c r="AN303" s="3"/>
      <c r="AP303" s="28"/>
      <c r="AQ303" s="29"/>
    </row>
    <row r="304" spans="1:43" ht="26.85" customHeight="1" x14ac:dyDescent="0.45">
      <c r="A304" s="15"/>
      <c r="B304" s="15"/>
      <c r="C304" s="15"/>
      <c r="D304" s="95"/>
      <c r="E304" s="95"/>
      <c r="F304" s="15"/>
      <c r="G304" s="95"/>
      <c r="H304" s="15"/>
      <c r="I304" s="15" t="str">
        <f>IF($H304&lt;&gt;"",(VLOOKUP(H304,'Other Lists'!O:P,2,FALSE)),"")</f>
        <v/>
      </c>
      <c r="J304" s="15"/>
      <c r="K304" s="15"/>
      <c r="L304" s="15"/>
      <c r="M304" s="15"/>
      <c r="N304" s="40"/>
      <c r="O304" s="15"/>
      <c r="P304" s="26"/>
      <c r="Q304" s="15"/>
      <c r="R304" s="15"/>
      <c r="S304" s="15"/>
      <c r="T304" s="15"/>
      <c r="U304" s="15"/>
      <c r="V304" s="95"/>
      <c r="W304" s="95"/>
      <c r="X304" s="15"/>
      <c r="Y304" s="15"/>
      <c r="Z304" s="15" t="str">
        <f t="shared" si="10"/>
        <v/>
      </c>
      <c r="AA304" s="15"/>
      <c r="AB304" s="15" t="str">
        <f t="shared" si="9"/>
        <v/>
      </c>
      <c r="AC304" s="15"/>
      <c r="AD304" s="15"/>
      <c r="AE304" s="15"/>
      <c r="AF304" s="15"/>
      <c r="AG304" s="15"/>
      <c r="AH304" s="15"/>
      <c r="AI304" s="15"/>
      <c r="AJ304" s="15"/>
      <c r="AK304" s="95"/>
      <c r="AL304" s="95"/>
      <c r="AM304" s="93"/>
      <c r="AN304" s="3"/>
      <c r="AP304" s="28"/>
      <c r="AQ304" s="29"/>
    </row>
    <row r="305" spans="1:43" ht="26.85" customHeight="1" x14ac:dyDescent="0.45">
      <c r="A305" s="15"/>
      <c r="B305" s="15"/>
      <c r="C305" s="15"/>
      <c r="D305" s="95"/>
      <c r="E305" s="95"/>
      <c r="F305" s="15"/>
      <c r="G305" s="95"/>
      <c r="H305" s="15"/>
      <c r="I305" s="15" t="str">
        <f>IF($H305&lt;&gt;"",(VLOOKUP(H305,'Other Lists'!O:P,2,FALSE)),"")</f>
        <v/>
      </c>
      <c r="J305" s="15"/>
      <c r="K305" s="15"/>
      <c r="L305" s="15"/>
      <c r="M305" s="15"/>
      <c r="N305" s="40"/>
      <c r="O305" s="15"/>
      <c r="P305" s="26"/>
      <c r="Q305" s="15"/>
      <c r="R305" s="15"/>
      <c r="S305" s="15"/>
      <c r="T305" s="15"/>
      <c r="U305" s="15"/>
      <c r="V305" s="95"/>
      <c r="W305" s="95"/>
      <c r="X305" s="15"/>
      <c r="Y305" s="15"/>
      <c r="Z305" s="15" t="str">
        <f t="shared" si="10"/>
        <v/>
      </c>
      <c r="AA305" s="15"/>
      <c r="AB305" s="15" t="str">
        <f t="shared" si="9"/>
        <v/>
      </c>
      <c r="AC305" s="15"/>
      <c r="AD305" s="15"/>
      <c r="AE305" s="15"/>
      <c r="AF305" s="15"/>
      <c r="AG305" s="15"/>
      <c r="AH305" s="15"/>
      <c r="AI305" s="15"/>
      <c r="AJ305" s="15"/>
      <c r="AK305" s="95"/>
      <c r="AL305" s="95"/>
      <c r="AM305" s="93"/>
      <c r="AN305" s="3"/>
      <c r="AP305" s="28"/>
      <c r="AQ305" s="29"/>
    </row>
    <row r="306" spans="1:43" ht="26.85" customHeight="1" x14ac:dyDescent="0.45">
      <c r="A306" s="15"/>
      <c r="B306" s="15"/>
      <c r="C306" s="15"/>
      <c r="D306" s="95"/>
      <c r="E306" s="95"/>
      <c r="F306" s="15"/>
      <c r="G306" s="95"/>
      <c r="H306" s="15"/>
      <c r="I306" s="15" t="str">
        <f>IF($H306&lt;&gt;"",(VLOOKUP(H306,'Other Lists'!O:P,2,FALSE)),"")</f>
        <v/>
      </c>
      <c r="J306" s="15"/>
      <c r="K306" s="15"/>
      <c r="L306" s="15"/>
      <c r="M306" s="15"/>
      <c r="N306" s="40"/>
      <c r="O306" s="15"/>
      <c r="P306" s="26"/>
      <c r="Q306" s="15"/>
      <c r="R306" s="15"/>
      <c r="S306" s="15"/>
      <c r="T306" s="15"/>
      <c r="U306" s="15"/>
      <c r="V306" s="95"/>
      <c r="W306" s="95"/>
      <c r="X306" s="15"/>
      <c r="Y306" s="15"/>
      <c r="Z306" s="15" t="str">
        <f t="shared" si="10"/>
        <v/>
      </c>
      <c r="AA306" s="15"/>
      <c r="AB306" s="15" t="str">
        <f t="shared" si="9"/>
        <v/>
      </c>
      <c r="AC306" s="15"/>
      <c r="AD306" s="15"/>
      <c r="AE306" s="15"/>
      <c r="AF306" s="15"/>
      <c r="AG306" s="15"/>
      <c r="AH306" s="15"/>
      <c r="AI306" s="15"/>
      <c r="AJ306" s="15"/>
      <c r="AK306" s="95"/>
      <c r="AL306" s="95"/>
      <c r="AM306" s="93"/>
      <c r="AN306" s="3"/>
      <c r="AP306" s="28"/>
      <c r="AQ306" s="29"/>
    </row>
    <row r="307" spans="1:43" ht="26.85" customHeight="1" x14ac:dyDescent="0.45">
      <c r="A307" s="15"/>
      <c r="B307" s="15"/>
      <c r="C307" s="15"/>
      <c r="D307" s="95"/>
      <c r="E307" s="95"/>
      <c r="F307" s="15"/>
      <c r="G307" s="95"/>
      <c r="H307" s="15"/>
      <c r="I307" s="15" t="str">
        <f>IF($H307&lt;&gt;"",(VLOOKUP(H307,'Other Lists'!O:P,2,FALSE)),"")</f>
        <v/>
      </c>
      <c r="J307" s="15"/>
      <c r="K307" s="15"/>
      <c r="L307" s="15"/>
      <c r="M307" s="15"/>
      <c r="N307" s="40"/>
      <c r="O307" s="15"/>
      <c r="P307" s="26"/>
      <c r="Q307" s="15"/>
      <c r="R307" s="15"/>
      <c r="S307" s="15"/>
      <c r="T307" s="15"/>
      <c r="U307" s="15"/>
      <c r="V307" s="95"/>
      <c r="W307" s="95"/>
      <c r="X307" s="15"/>
      <c r="Y307" s="15"/>
      <c r="Z307" s="15" t="str">
        <f t="shared" si="10"/>
        <v/>
      </c>
      <c r="AA307" s="15"/>
      <c r="AB307" s="15" t="str">
        <f t="shared" si="9"/>
        <v/>
      </c>
      <c r="AC307" s="15"/>
      <c r="AD307" s="15"/>
      <c r="AE307" s="15"/>
      <c r="AF307" s="15"/>
      <c r="AG307" s="15"/>
      <c r="AH307" s="15"/>
      <c r="AI307" s="15"/>
      <c r="AJ307" s="15"/>
      <c r="AK307" s="95"/>
      <c r="AL307" s="95"/>
      <c r="AM307" s="93"/>
      <c r="AN307" s="3"/>
      <c r="AP307" s="28"/>
      <c r="AQ307" s="29"/>
    </row>
    <row r="308" spans="1:43" ht="26.85" customHeight="1" x14ac:dyDescent="0.45">
      <c r="A308" s="15"/>
      <c r="B308" s="15"/>
      <c r="C308" s="15"/>
      <c r="D308" s="95"/>
      <c r="E308" s="95"/>
      <c r="F308" s="15"/>
      <c r="G308" s="95"/>
      <c r="H308" s="15"/>
      <c r="I308" s="15" t="str">
        <f>IF($H308&lt;&gt;"",(VLOOKUP(H308,'Other Lists'!O:P,2,FALSE)),"")</f>
        <v/>
      </c>
      <c r="J308" s="15"/>
      <c r="K308" s="15"/>
      <c r="L308" s="15"/>
      <c r="M308" s="15"/>
      <c r="N308" s="40"/>
      <c r="O308" s="15"/>
      <c r="P308" s="26"/>
      <c r="Q308" s="15"/>
      <c r="R308" s="15"/>
      <c r="S308" s="15"/>
      <c r="T308" s="15"/>
      <c r="U308" s="15"/>
      <c r="V308" s="95"/>
      <c r="W308" s="95"/>
      <c r="X308" s="15"/>
      <c r="Y308" s="15"/>
      <c r="Z308" s="15" t="str">
        <f t="shared" si="10"/>
        <v/>
      </c>
      <c r="AA308" s="15"/>
      <c r="AB308" s="15" t="str">
        <f t="shared" si="9"/>
        <v/>
      </c>
      <c r="AC308" s="15"/>
      <c r="AD308" s="15"/>
      <c r="AE308" s="15"/>
      <c r="AF308" s="15"/>
      <c r="AG308" s="15"/>
      <c r="AH308" s="15"/>
      <c r="AI308" s="15"/>
      <c r="AJ308" s="15"/>
      <c r="AK308" s="95"/>
      <c r="AL308" s="95"/>
      <c r="AM308" s="93"/>
      <c r="AN308" s="3"/>
      <c r="AP308" s="28"/>
      <c r="AQ308" s="29"/>
    </row>
    <row r="309" spans="1:43" ht="26.85" customHeight="1" x14ac:dyDescent="0.45">
      <c r="A309" s="15"/>
      <c r="B309" s="15"/>
      <c r="C309" s="15"/>
      <c r="D309" s="95"/>
      <c r="E309" s="95"/>
      <c r="F309" s="15"/>
      <c r="G309" s="95"/>
      <c r="H309" s="15"/>
      <c r="I309" s="15" t="str">
        <f>IF($H309&lt;&gt;"",(VLOOKUP(H309,'Other Lists'!O:P,2,FALSE)),"")</f>
        <v/>
      </c>
      <c r="J309" s="15"/>
      <c r="K309" s="15"/>
      <c r="L309" s="15"/>
      <c r="M309" s="15"/>
      <c r="N309" s="40"/>
      <c r="O309" s="15"/>
      <c r="P309" s="26"/>
      <c r="Q309" s="15"/>
      <c r="R309" s="15"/>
      <c r="S309" s="15"/>
      <c r="T309" s="15"/>
      <c r="U309" s="15"/>
      <c r="V309" s="95"/>
      <c r="W309" s="95"/>
      <c r="X309" s="15"/>
      <c r="Y309" s="15"/>
      <c r="Z309" s="15" t="str">
        <f t="shared" ref="Z309:Z376" si="11">(SUBSTITUTE(SUBSTITUTE(SUBSTITUTE(SUBSTITUTE(SUBSTITUTE(SUBSTITUTE($Y309,",","_")," ","_"),"/","_"),"(","_"),")",""),"-","_"))</f>
        <v/>
      </c>
      <c r="AA309" s="15"/>
      <c r="AB309" s="15" t="str">
        <f t="shared" ref="AB309:AB372" si="12">(SUBSTITUTE(SUBSTITUTE(SUBSTITUTE(SUBSTITUTE(SUBSTITUTE(SUBSTITUTE($AA309,",","_")," ","_"),"/","_"),"(","_"),")",""),"_","_"))</f>
        <v/>
      </c>
      <c r="AC309" s="15"/>
      <c r="AD309" s="15"/>
      <c r="AE309" s="15"/>
      <c r="AF309" s="15"/>
      <c r="AG309" s="15"/>
      <c r="AH309" s="15"/>
      <c r="AI309" s="15"/>
      <c r="AJ309" s="15"/>
      <c r="AK309" s="95"/>
      <c r="AL309" s="95"/>
      <c r="AM309" s="93"/>
      <c r="AN309" s="3"/>
      <c r="AP309" s="28"/>
      <c r="AQ309" s="29"/>
    </row>
    <row r="310" spans="1:43" ht="26.85" customHeight="1" x14ac:dyDescent="0.45">
      <c r="A310" s="15"/>
      <c r="B310" s="15"/>
      <c r="C310" s="15"/>
      <c r="D310" s="95"/>
      <c r="E310" s="95"/>
      <c r="F310" s="15"/>
      <c r="G310" s="95"/>
      <c r="H310" s="15"/>
      <c r="I310" s="15" t="str">
        <f>IF($H310&lt;&gt;"",(VLOOKUP(H310,'Other Lists'!O:P,2,FALSE)),"")</f>
        <v/>
      </c>
      <c r="J310" s="15"/>
      <c r="K310" s="15"/>
      <c r="L310" s="15"/>
      <c r="M310" s="15"/>
      <c r="N310" s="40"/>
      <c r="O310" s="15"/>
      <c r="P310" s="26"/>
      <c r="Q310" s="15"/>
      <c r="R310" s="15"/>
      <c r="S310" s="15"/>
      <c r="T310" s="15"/>
      <c r="U310" s="15"/>
      <c r="V310" s="95"/>
      <c r="W310" s="95"/>
      <c r="X310" s="15"/>
      <c r="Y310" s="15"/>
      <c r="Z310" s="15" t="str">
        <f t="shared" si="11"/>
        <v/>
      </c>
      <c r="AA310" s="15"/>
      <c r="AB310" s="15" t="str">
        <f t="shared" si="12"/>
        <v/>
      </c>
      <c r="AC310" s="15"/>
      <c r="AD310" s="15"/>
      <c r="AE310" s="15"/>
      <c r="AF310" s="15"/>
      <c r="AG310" s="15"/>
      <c r="AH310" s="15"/>
      <c r="AI310" s="15"/>
      <c r="AJ310" s="15"/>
      <c r="AK310" s="95"/>
      <c r="AL310" s="95"/>
      <c r="AM310" s="93"/>
      <c r="AN310" s="3"/>
      <c r="AP310" s="28"/>
      <c r="AQ310" s="29"/>
    </row>
    <row r="311" spans="1:43" ht="26.85" customHeight="1" x14ac:dyDescent="0.45">
      <c r="A311" s="15"/>
      <c r="B311" s="15"/>
      <c r="C311" s="15"/>
      <c r="D311" s="95"/>
      <c r="E311" s="95"/>
      <c r="F311" s="15"/>
      <c r="G311" s="95"/>
      <c r="H311" s="15"/>
      <c r="I311" s="15" t="str">
        <f>IF($H311&lt;&gt;"",(VLOOKUP(H311,'Other Lists'!O:P,2,FALSE)),"")</f>
        <v/>
      </c>
      <c r="J311" s="15"/>
      <c r="K311" s="15"/>
      <c r="L311" s="15"/>
      <c r="M311" s="15"/>
      <c r="N311" s="40"/>
      <c r="O311" s="15"/>
      <c r="P311" s="26"/>
      <c r="Q311" s="15"/>
      <c r="R311" s="15"/>
      <c r="S311" s="15"/>
      <c r="T311" s="15"/>
      <c r="U311" s="15"/>
      <c r="V311" s="95"/>
      <c r="W311" s="95"/>
      <c r="X311" s="15"/>
      <c r="Y311" s="15"/>
      <c r="Z311" s="15" t="str">
        <f t="shared" si="11"/>
        <v/>
      </c>
      <c r="AA311" s="15"/>
      <c r="AB311" s="15" t="str">
        <f t="shared" si="12"/>
        <v/>
      </c>
      <c r="AC311" s="15"/>
      <c r="AD311" s="15"/>
      <c r="AE311" s="15"/>
      <c r="AF311" s="15"/>
      <c r="AG311" s="15"/>
      <c r="AH311" s="15"/>
      <c r="AI311" s="15"/>
      <c r="AJ311" s="15"/>
      <c r="AK311" s="95"/>
      <c r="AL311" s="95"/>
      <c r="AM311" s="93"/>
      <c r="AN311" s="3"/>
      <c r="AP311" s="28"/>
      <c r="AQ311" s="29"/>
    </row>
    <row r="312" spans="1:43" ht="26.85" customHeight="1" x14ac:dyDescent="0.45">
      <c r="A312" s="15"/>
      <c r="B312" s="15"/>
      <c r="C312" s="15"/>
      <c r="D312" s="95"/>
      <c r="E312" s="95"/>
      <c r="F312" s="15"/>
      <c r="G312" s="95"/>
      <c r="H312" s="15"/>
      <c r="I312" s="15" t="str">
        <f>IF($H312&lt;&gt;"",(VLOOKUP(H312,'Other Lists'!O:P,2,FALSE)),"")</f>
        <v/>
      </c>
      <c r="J312" s="15"/>
      <c r="K312" s="15"/>
      <c r="L312" s="15"/>
      <c r="M312" s="15"/>
      <c r="N312" s="40"/>
      <c r="O312" s="15"/>
      <c r="P312" s="26"/>
      <c r="Q312" s="15"/>
      <c r="R312" s="15"/>
      <c r="S312" s="15"/>
      <c r="T312" s="15"/>
      <c r="U312" s="15"/>
      <c r="V312" s="95"/>
      <c r="W312" s="95"/>
      <c r="X312" s="15"/>
      <c r="Y312" s="15"/>
      <c r="Z312" s="15" t="str">
        <f t="shared" si="11"/>
        <v/>
      </c>
      <c r="AA312" s="15"/>
      <c r="AB312" s="15" t="str">
        <f t="shared" si="12"/>
        <v/>
      </c>
      <c r="AC312" s="15"/>
      <c r="AD312" s="15"/>
      <c r="AE312" s="15"/>
      <c r="AF312" s="15"/>
      <c r="AG312" s="15"/>
      <c r="AH312" s="15"/>
      <c r="AI312" s="15"/>
      <c r="AJ312" s="15"/>
      <c r="AK312" s="95"/>
      <c r="AL312" s="95"/>
      <c r="AM312" s="93"/>
      <c r="AN312" s="3"/>
      <c r="AP312" s="28"/>
      <c r="AQ312" s="29"/>
    </row>
    <row r="313" spans="1:43" ht="26.85" customHeight="1" x14ac:dyDescent="0.45">
      <c r="A313" s="15"/>
      <c r="B313" s="15"/>
      <c r="C313" s="15"/>
      <c r="D313" s="95"/>
      <c r="E313" s="95"/>
      <c r="F313" s="15"/>
      <c r="G313" s="95"/>
      <c r="H313" s="15"/>
      <c r="I313" s="15" t="str">
        <f>IF($H313&lt;&gt;"",(VLOOKUP(H313,'Other Lists'!O:P,2,FALSE)),"")</f>
        <v/>
      </c>
      <c r="J313" s="15"/>
      <c r="K313" s="15"/>
      <c r="L313" s="15"/>
      <c r="M313" s="15"/>
      <c r="N313" s="40"/>
      <c r="O313" s="15"/>
      <c r="P313" s="26"/>
      <c r="Q313" s="15"/>
      <c r="R313" s="15"/>
      <c r="S313" s="15"/>
      <c r="T313" s="15"/>
      <c r="U313" s="15"/>
      <c r="V313" s="95"/>
      <c r="W313" s="95"/>
      <c r="X313" s="15"/>
      <c r="Y313" s="15"/>
      <c r="Z313" s="15" t="str">
        <f t="shared" si="11"/>
        <v/>
      </c>
      <c r="AA313" s="15"/>
      <c r="AB313" s="15" t="str">
        <f t="shared" si="12"/>
        <v/>
      </c>
      <c r="AC313" s="15"/>
      <c r="AD313" s="15"/>
      <c r="AE313" s="15"/>
      <c r="AF313" s="15"/>
      <c r="AG313" s="15"/>
      <c r="AH313" s="15"/>
      <c r="AI313" s="15"/>
      <c r="AJ313" s="15"/>
      <c r="AK313" s="95"/>
      <c r="AL313" s="95"/>
      <c r="AM313" s="93"/>
      <c r="AN313" s="3"/>
      <c r="AP313" s="28"/>
      <c r="AQ313" s="29"/>
    </row>
    <row r="314" spans="1:43" ht="26.85" customHeight="1" x14ac:dyDescent="0.45">
      <c r="A314" s="15"/>
      <c r="B314" s="15"/>
      <c r="C314" s="15"/>
      <c r="D314" s="95"/>
      <c r="E314" s="95"/>
      <c r="F314" s="15"/>
      <c r="G314" s="95"/>
      <c r="H314" s="15"/>
      <c r="I314" s="15" t="str">
        <f>IF($H314&lt;&gt;"",(VLOOKUP(H314,'Other Lists'!O:P,2,FALSE)),"")</f>
        <v/>
      </c>
      <c r="J314" s="15"/>
      <c r="K314" s="15"/>
      <c r="L314" s="15"/>
      <c r="M314" s="15"/>
      <c r="N314" s="40"/>
      <c r="O314" s="15"/>
      <c r="P314" s="26"/>
      <c r="Q314" s="15"/>
      <c r="R314" s="15"/>
      <c r="S314" s="15"/>
      <c r="T314" s="15"/>
      <c r="U314" s="15"/>
      <c r="V314" s="95"/>
      <c r="W314" s="95"/>
      <c r="X314" s="15"/>
      <c r="Y314" s="15"/>
      <c r="Z314" s="15" t="str">
        <f t="shared" si="11"/>
        <v/>
      </c>
      <c r="AA314" s="15"/>
      <c r="AB314" s="15" t="str">
        <f t="shared" si="12"/>
        <v/>
      </c>
      <c r="AC314" s="15"/>
      <c r="AD314" s="15"/>
      <c r="AE314" s="15"/>
      <c r="AF314" s="15"/>
      <c r="AG314" s="15"/>
      <c r="AH314" s="15"/>
      <c r="AI314" s="15"/>
      <c r="AJ314" s="15"/>
      <c r="AK314" s="95"/>
      <c r="AL314" s="95"/>
      <c r="AM314" s="93"/>
      <c r="AN314" s="3"/>
      <c r="AP314" s="28"/>
      <c r="AQ314" s="29"/>
    </row>
    <row r="315" spans="1:43" ht="26.85" customHeight="1" x14ac:dyDescent="0.45">
      <c r="A315" s="15"/>
      <c r="B315" s="15"/>
      <c r="C315" s="15"/>
      <c r="D315" s="95"/>
      <c r="E315" s="95"/>
      <c r="F315" s="15"/>
      <c r="G315" s="95"/>
      <c r="H315" s="15"/>
      <c r="I315" s="15" t="str">
        <f>IF($H315&lt;&gt;"",(VLOOKUP(H315,'Other Lists'!O:P,2,FALSE)),"")</f>
        <v/>
      </c>
      <c r="J315" s="15"/>
      <c r="K315" s="15"/>
      <c r="L315" s="15"/>
      <c r="M315" s="15"/>
      <c r="N315" s="40"/>
      <c r="O315" s="15"/>
      <c r="P315" s="26"/>
      <c r="Q315" s="15"/>
      <c r="R315" s="15"/>
      <c r="S315" s="15"/>
      <c r="T315" s="15"/>
      <c r="U315" s="15"/>
      <c r="V315" s="95"/>
      <c r="W315" s="95"/>
      <c r="X315" s="15"/>
      <c r="Y315" s="15"/>
      <c r="Z315" s="15" t="str">
        <f t="shared" si="11"/>
        <v/>
      </c>
      <c r="AA315" s="15"/>
      <c r="AB315" s="15" t="str">
        <f t="shared" si="12"/>
        <v/>
      </c>
      <c r="AC315" s="15"/>
      <c r="AD315" s="15"/>
      <c r="AE315" s="15"/>
      <c r="AF315" s="15"/>
      <c r="AG315" s="15"/>
      <c r="AH315" s="15"/>
      <c r="AI315" s="15"/>
      <c r="AJ315" s="15"/>
      <c r="AK315" s="95"/>
      <c r="AL315" s="95"/>
      <c r="AM315" s="93"/>
      <c r="AN315" s="3"/>
      <c r="AP315" s="28"/>
      <c r="AQ315" s="29"/>
    </row>
    <row r="316" spans="1:43" ht="26.85" customHeight="1" x14ac:dyDescent="0.45">
      <c r="A316" s="15"/>
      <c r="B316" s="15"/>
      <c r="C316" s="15"/>
      <c r="D316" s="95"/>
      <c r="E316" s="95"/>
      <c r="F316" s="15"/>
      <c r="G316" s="95"/>
      <c r="H316" s="15"/>
      <c r="I316" s="15" t="str">
        <f>IF($H316&lt;&gt;"",(VLOOKUP(H316,'Other Lists'!O:P,2,FALSE)),"")</f>
        <v/>
      </c>
      <c r="J316" s="15"/>
      <c r="K316" s="15"/>
      <c r="L316" s="15"/>
      <c r="M316" s="15"/>
      <c r="N316" s="40"/>
      <c r="O316" s="15"/>
      <c r="P316" s="26"/>
      <c r="Q316" s="15"/>
      <c r="R316" s="15"/>
      <c r="S316" s="15"/>
      <c r="T316" s="15"/>
      <c r="U316" s="15"/>
      <c r="V316" s="95"/>
      <c r="W316" s="95"/>
      <c r="X316" s="15"/>
      <c r="Y316" s="15"/>
      <c r="Z316" s="15" t="str">
        <f t="shared" si="11"/>
        <v/>
      </c>
      <c r="AA316" s="15"/>
      <c r="AB316" s="15" t="str">
        <f t="shared" si="12"/>
        <v/>
      </c>
      <c r="AC316" s="15"/>
      <c r="AD316" s="15"/>
      <c r="AE316" s="15"/>
      <c r="AF316" s="15"/>
      <c r="AG316" s="15"/>
      <c r="AH316" s="15"/>
      <c r="AI316" s="15"/>
      <c r="AJ316" s="15"/>
      <c r="AK316" s="95"/>
      <c r="AL316" s="95"/>
      <c r="AM316" s="93"/>
      <c r="AN316" s="3"/>
      <c r="AP316" s="28"/>
      <c r="AQ316" s="29"/>
    </row>
    <row r="317" spans="1:43" ht="26.85" customHeight="1" x14ac:dyDescent="0.45">
      <c r="A317" s="15"/>
      <c r="B317" s="15"/>
      <c r="C317" s="15"/>
      <c r="D317" s="95"/>
      <c r="E317" s="95"/>
      <c r="F317" s="15"/>
      <c r="G317" s="95"/>
      <c r="H317" s="15"/>
      <c r="I317" s="15" t="str">
        <f>IF($H317&lt;&gt;"",(VLOOKUP(H317,'Other Lists'!O:P,2,FALSE)),"")</f>
        <v/>
      </c>
      <c r="J317" s="15"/>
      <c r="K317" s="15"/>
      <c r="L317" s="15"/>
      <c r="M317" s="15"/>
      <c r="N317" s="40"/>
      <c r="O317" s="15"/>
      <c r="P317" s="26"/>
      <c r="Q317" s="15"/>
      <c r="R317" s="15"/>
      <c r="S317" s="15"/>
      <c r="T317" s="15"/>
      <c r="U317" s="15"/>
      <c r="V317" s="95"/>
      <c r="W317" s="95"/>
      <c r="X317" s="15"/>
      <c r="Y317" s="15"/>
      <c r="Z317" s="15" t="str">
        <f t="shared" si="11"/>
        <v/>
      </c>
      <c r="AA317" s="15"/>
      <c r="AB317" s="15" t="str">
        <f t="shared" si="12"/>
        <v/>
      </c>
      <c r="AC317" s="15"/>
      <c r="AD317" s="15"/>
      <c r="AE317" s="15"/>
      <c r="AF317" s="15"/>
      <c r="AG317" s="15"/>
      <c r="AH317" s="15"/>
      <c r="AI317" s="15"/>
      <c r="AJ317" s="15"/>
      <c r="AK317" s="95"/>
      <c r="AL317" s="95"/>
      <c r="AM317" s="93"/>
      <c r="AN317" s="3"/>
      <c r="AP317" s="28"/>
      <c r="AQ317" s="29"/>
    </row>
    <row r="318" spans="1:43" ht="26.85" customHeight="1" x14ac:dyDescent="0.45">
      <c r="A318" s="15"/>
      <c r="B318" s="15"/>
      <c r="C318" s="15"/>
      <c r="D318" s="95"/>
      <c r="E318" s="95"/>
      <c r="F318" s="15"/>
      <c r="G318" s="95"/>
      <c r="H318" s="15"/>
      <c r="I318" s="15" t="str">
        <f>IF($H318&lt;&gt;"",(VLOOKUP(H318,'Other Lists'!O:P,2,FALSE)),"")</f>
        <v/>
      </c>
      <c r="J318" s="15"/>
      <c r="K318" s="15"/>
      <c r="L318" s="15"/>
      <c r="M318" s="15"/>
      <c r="N318" s="40"/>
      <c r="O318" s="15"/>
      <c r="P318" s="26"/>
      <c r="Q318" s="15"/>
      <c r="R318" s="15"/>
      <c r="S318" s="15"/>
      <c r="T318" s="15"/>
      <c r="U318" s="15"/>
      <c r="V318" s="95"/>
      <c r="W318" s="95"/>
      <c r="X318" s="15"/>
      <c r="Y318" s="15"/>
      <c r="Z318" s="15" t="str">
        <f t="shared" si="11"/>
        <v/>
      </c>
      <c r="AA318" s="15"/>
      <c r="AB318" s="15" t="str">
        <f t="shared" si="12"/>
        <v/>
      </c>
      <c r="AC318" s="15"/>
      <c r="AD318" s="15"/>
      <c r="AE318" s="15"/>
      <c r="AF318" s="15"/>
      <c r="AG318" s="15"/>
      <c r="AH318" s="15"/>
      <c r="AI318" s="15"/>
      <c r="AJ318" s="15"/>
      <c r="AK318" s="95"/>
      <c r="AL318" s="95"/>
      <c r="AM318" s="93"/>
      <c r="AN318" s="3"/>
      <c r="AP318" s="28"/>
      <c r="AQ318" s="29"/>
    </row>
    <row r="319" spans="1:43" ht="26.85" customHeight="1" x14ac:dyDescent="0.45">
      <c r="A319" s="15"/>
      <c r="B319" s="15"/>
      <c r="C319" s="15"/>
      <c r="D319" s="95"/>
      <c r="E319" s="95"/>
      <c r="F319" s="15"/>
      <c r="G319" s="95"/>
      <c r="H319" s="15"/>
      <c r="I319" s="15" t="str">
        <f>IF($H319&lt;&gt;"",(VLOOKUP(H319,'Other Lists'!O:P,2,FALSE)),"")</f>
        <v/>
      </c>
      <c r="J319" s="15"/>
      <c r="K319" s="15"/>
      <c r="L319" s="15"/>
      <c r="M319" s="15"/>
      <c r="N319" s="40"/>
      <c r="O319" s="15"/>
      <c r="P319" s="26"/>
      <c r="Q319" s="15"/>
      <c r="R319" s="15"/>
      <c r="S319" s="15"/>
      <c r="T319" s="15"/>
      <c r="U319" s="15"/>
      <c r="V319" s="95"/>
      <c r="W319" s="95"/>
      <c r="X319" s="15"/>
      <c r="Y319" s="15"/>
      <c r="Z319" s="15" t="str">
        <f t="shared" si="11"/>
        <v/>
      </c>
      <c r="AA319" s="15"/>
      <c r="AB319" s="15" t="str">
        <f t="shared" si="12"/>
        <v/>
      </c>
      <c r="AC319" s="15"/>
      <c r="AD319" s="15"/>
      <c r="AE319" s="15"/>
      <c r="AF319" s="15"/>
      <c r="AG319" s="15"/>
      <c r="AH319" s="15"/>
      <c r="AI319" s="15"/>
      <c r="AJ319" s="15"/>
      <c r="AK319" s="95"/>
      <c r="AL319" s="95"/>
      <c r="AM319" s="93"/>
      <c r="AN319" s="3"/>
      <c r="AP319" s="28"/>
      <c r="AQ319" s="29"/>
    </row>
    <row r="320" spans="1:43" ht="26.85" customHeight="1" x14ac:dyDescent="0.45">
      <c r="A320" s="15"/>
      <c r="B320" s="15"/>
      <c r="C320" s="15"/>
      <c r="D320" s="95"/>
      <c r="E320" s="95"/>
      <c r="F320" s="15"/>
      <c r="G320" s="95"/>
      <c r="H320" s="15"/>
      <c r="I320" s="15" t="str">
        <f>IF($H320&lt;&gt;"",(VLOOKUP(H320,'Other Lists'!O:P,2,FALSE)),"")</f>
        <v/>
      </c>
      <c r="J320" s="15"/>
      <c r="K320" s="15"/>
      <c r="L320" s="15"/>
      <c r="M320" s="15"/>
      <c r="N320" s="40"/>
      <c r="O320" s="15"/>
      <c r="P320" s="26"/>
      <c r="Q320" s="15"/>
      <c r="R320" s="15"/>
      <c r="S320" s="15"/>
      <c r="T320" s="15"/>
      <c r="U320" s="15"/>
      <c r="V320" s="95"/>
      <c r="W320" s="95"/>
      <c r="X320" s="15"/>
      <c r="Y320" s="15"/>
      <c r="Z320" s="15" t="str">
        <f t="shared" si="11"/>
        <v/>
      </c>
      <c r="AA320" s="15"/>
      <c r="AB320" s="15" t="str">
        <f t="shared" si="12"/>
        <v/>
      </c>
      <c r="AC320" s="15"/>
      <c r="AD320" s="15"/>
      <c r="AE320" s="15"/>
      <c r="AF320" s="15"/>
      <c r="AG320" s="15"/>
      <c r="AH320" s="15"/>
      <c r="AI320" s="15"/>
      <c r="AJ320" s="15"/>
      <c r="AK320" s="95"/>
      <c r="AL320" s="95"/>
      <c r="AM320" s="93"/>
      <c r="AN320" s="3"/>
      <c r="AP320" s="28"/>
      <c r="AQ320" s="29"/>
    </row>
    <row r="321" spans="1:43" ht="26.85" customHeight="1" x14ac:dyDescent="0.45">
      <c r="A321" s="15"/>
      <c r="B321" s="15"/>
      <c r="C321" s="15"/>
      <c r="D321" s="95"/>
      <c r="E321" s="95"/>
      <c r="F321" s="15"/>
      <c r="G321" s="95"/>
      <c r="H321" s="15"/>
      <c r="I321" s="15" t="str">
        <f>IF($H321&lt;&gt;"",(VLOOKUP(H321,'Other Lists'!O:P,2,FALSE)),"")</f>
        <v/>
      </c>
      <c r="J321" s="15"/>
      <c r="K321" s="15"/>
      <c r="L321" s="15"/>
      <c r="M321" s="15"/>
      <c r="N321" s="40"/>
      <c r="O321" s="15"/>
      <c r="P321" s="26"/>
      <c r="Q321" s="15"/>
      <c r="R321" s="15"/>
      <c r="S321" s="15"/>
      <c r="T321" s="15"/>
      <c r="U321" s="15"/>
      <c r="V321" s="95"/>
      <c r="W321" s="95"/>
      <c r="X321" s="15"/>
      <c r="Y321" s="15"/>
      <c r="Z321" s="15" t="str">
        <f t="shared" si="11"/>
        <v/>
      </c>
      <c r="AA321" s="15"/>
      <c r="AB321" s="15" t="str">
        <f t="shared" si="12"/>
        <v/>
      </c>
      <c r="AC321" s="15"/>
      <c r="AD321" s="15"/>
      <c r="AE321" s="15"/>
      <c r="AF321" s="15"/>
      <c r="AG321" s="15"/>
      <c r="AH321" s="15"/>
      <c r="AI321" s="15"/>
      <c r="AJ321" s="15"/>
      <c r="AK321" s="95"/>
      <c r="AL321" s="95"/>
      <c r="AM321" s="93"/>
      <c r="AN321" s="3"/>
      <c r="AP321" s="28"/>
      <c r="AQ321" s="29"/>
    </row>
    <row r="322" spans="1:43" ht="26.85" customHeight="1" x14ac:dyDescent="0.45">
      <c r="A322" s="15"/>
      <c r="B322" s="15"/>
      <c r="C322" s="15"/>
      <c r="D322" s="95"/>
      <c r="E322" s="95"/>
      <c r="F322" s="15"/>
      <c r="G322" s="95"/>
      <c r="H322" s="15"/>
      <c r="I322" s="15" t="str">
        <f>IF($H322&lt;&gt;"",(VLOOKUP(H322,'Other Lists'!O:P,2,FALSE)),"")</f>
        <v/>
      </c>
      <c r="J322" s="15"/>
      <c r="K322" s="15"/>
      <c r="L322" s="15"/>
      <c r="M322" s="15"/>
      <c r="N322" s="40"/>
      <c r="O322" s="15"/>
      <c r="P322" s="26"/>
      <c r="Q322" s="15"/>
      <c r="R322" s="15"/>
      <c r="S322" s="15"/>
      <c r="T322" s="15"/>
      <c r="U322" s="15"/>
      <c r="V322" s="95"/>
      <c r="W322" s="95"/>
      <c r="X322" s="15"/>
      <c r="Y322" s="15"/>
      <c r="Z322" s="15" t="str">
        <f t="shared" si="11"/>
        <v/>
      </c>
      <c r="AA322" s="15"/>
      <c r="AB322" s="15" t="str">
        <f t="shared" si="12"/>
        <v/>
      </c>
      <c r="AC322" s="15"/>
      <c r="AD322" s="15"/>
      <c r="AE322" s="15"/>
      <c r="AF322" s="15"/>
      <c r="AG322" s="15"/>
      <c r="AH322" s="15"/>
      <c r="AI322" s="15"/>
      <c r="AJ322" s="15"/>
      <c r="AK322" s="95"/>
      <c r="AL322" s="95"/>
      <c r="AM322" s="93"/>
      <c r="AN322" s="3"/>
      <c r="AP322" s="28"/>
      <c r="AQ322" s="29"/>
    </row>
    <row r="323" spans="1:43" ht="26.85" customHeight="1" x14ac:dyDescent="0.45">
      <c r="A323" s="15"/>
      <c r="B323" s="15"/>
      <c r="C323" s="15"/>
      <c r="D323" s="95"/>
      <c r="E323" s="95"/>
      <c r="F323" s="15"/>
      <c r="G323" s="95"/>
      <c r="H323" s="15"/>
      <c r="I323" s="15" t="str">
        <f>IF($H323&lt;&gt;"",(VLOOKUP(H323,'Other Lists'!O:P,2,FALSE)),"")</f>
        <v/>
      </c>
      <c r="J323" s="15"/>
      <c r="K323" s="15"/>
      <c r="L323" s="15"/>
      <c r="M323" s="15"/>
      <c r="N323" s="40"/>
      <c r="O323" s="15"/>
      <c r="P323" s="26"/>
      <c r="Q323" s="15"/>
      <c r="R323" s="15"/>
      <c r="S323" s="15"/>
      <c r="T323" s="15"/>
      <c r="U323" s="15"/>
      <c r="V323" s="95"/>
      <c r="W323" s="95"/>
      <c r="X323" s="15"/>
      <c r="Y323" s="15"/>
      <c r="Z323" s="15" t="str">
        <f t="shared" si="11"/>
        <v/>
      </c>
      <c r="AA323" s="15"/>
      <c r="AB323" s="15" t="str">
        <f t="shared" si="12"/>
        <v/>
      </c>
      <c r="AC323" s="15"/>
      <c r="AD323" s="15"/>
      <c r="AE323" s="15"/>
      <c r="AF323" s="15"/>
      <c r="AG323" s="15"/>
      <c r="AH323" s="15"/>
      <c r="AI323" s="15"/>
      <c r="AJ323" s="15"/>
      <c r="AK323" s="95"/>
      <c r="AL323" s="95"/>
      <c r="AM323" s="93"/>
      <c r="AN323" s="3"/>
      <c r="AP323" s="28"/>
      <c r="AQ323" s="29"/>
    </row>
    <row r="324" spans="1:43" ht="26.85" customHeight="1" x14ac:dyDescent="0.45">
      <c r="A324" s="15"/>
      <c r="B324" s="15"/>
      <c r="C324" s="15"/>
      <c r="D324" s="95"/>
      <c r="E324" s="95"/>
      <c r="F324" s="15"/>
      <c r="G324" s="95"/>
      <c r="H324" s="15"/>
      <c r="I324" s="15" t="str">
        <f>IF($H324&lt;&gt;"",(VLOOKUP(H324,'Other Lists'!O:P,2,FALSE)),"")</f>
        <v/>
      </c>
      <c r="J324" s="15"/>
      <c r="K324" s="15"/>
      <c r="L324" s="15"/>
      <c r="M324" s="15"/>
      <c r="N324" s="40"/>
      <c r="O324" s="15"/>
      <c r="P324" s="26"/>
      <c r="Q324" s="15"/>
      <c r="R324" s="15"/>
      <c r="S324" s="15"/>
      <c r="T324" s="15"/>
      <c r="U324" s="15"/>
      <c r="V324" s="95"/>
      <c r="W324" s="95"/>
      <c r="X324" s="15"/>
      <c r="Y324" s="15"/>
      <c r="Z324" s="15" t="str">
        <f t="shared" si="11"/>
        <v/>
      </c>
      <c r="AA324" s="15"/>
      <c r="AB324" s="15" t="str">
        <f t="shared" si="12"/>
        <v/>
      </c>
      <c r="AC324" s="15"/>
      <c r="AD324" s="15"/>
      <c r="AE324" s="15"/>
      <c r="AF324" s="15"/>
      <c r="AG324" s="15"/>
      <c r="AH324" s="15"/>
      <c r="AI324" s="15"/>
      <c r="AJ324" s="15"/>
      <c r="AK324" s="95"/>
      <c r="AL324" s="95"/>
      <c r="AM324" s="93"/>
      <c r="AN324" s="3"/>
      <c r="AP324" s="28"/>
      <c r="AQ324" s="29"/>
    </row>
    <row r="325" spans="1:43" ht="26.85" customHeight="1" x14ac:dyDescent="0.45">
      <c r="A325" s="15"/>
      <c r="B325" s="15"/>
      <c r="C325" s="15"/>
      <c r="D325" s="95"/>
      <c r="E325" s="95"/>
      <c r="F325" s="15"/>
      <c r="G325" s="95"/>
      <c r="H325" s="15"/>
      <c r="I325" s="15" t="str">
        <f>IF($H325&lt;&gt;"",(VLOOKUP(H325,'Other Lists'!O:P,2,FALSE)),"")</f>
        <v/>
      </c>
      <c r="J325" s="15"/>
      <c r="K325" s="15"/>
      <c r="L325" s="15"/>
      <c r="M325" s="15"/>
      <c r="N325" s="40"/>
      <c r="O325" s="15"/>
      <c r="P325" s="26"/>
      <c r="Q325" s="15"/>
      <c r="R325" s="15"/>
      <c r="S325" s="15"/>
      <c r="T325" s="15"/>
      <c r="U325" s="15"/>
      <c r="V325" s="95"/>
      <c r="W325" s="95"/>
      <c r="X325" s="15"/>
      <c r="Y325" s="15"/>
      <c r="Z325" s="15" t="str">
        <f t="shared" si="11"/>
        <v/>
      </c>
      <c r="AA325" s="15"/>
      <c r="AB325" s="15" t="str">
        <f t="shared" si="12"/>
        <v/>
      </c>
      <c r="AC325" s="15"/>
      <c r="AD325" s="15"/>
      <c r="AE325" s="15"/>
      <c r="AF325" s="15"/>
      <c r="AG325" s="15"/>
      <c r="AH325" s="15"/>
      <c r="AI325" s="15"/>
      <c r="AJ325" s="15"/>
      <c r="AK325" s="95"/>
      <c r="AL325" s="95"/>
      <c r="AM325" s="93"/>
      <c r="AN325" s="3"/>
      <c r="AP325" s="28"/>
      <c r="AQ325" s="29"/>
    </row>
    <row r="326" spans="1:43" ht="26.85" customHeight="1" x14ac:dyDescent="0.45">
      <c r="A326" s="15"/>
      <c r="B326" s="15"/>
      <c r="C326" s="15"/>
      <c r="D326" s="95"/>
      <c r="E326" s="95"/>
      <c r="F326" s="15"/>
      <c r="G326" s="95"/>
      <c r="H326" s="15"/>
      <c r="I326" s="15" t="str">
        <f>IF($H326&lt;&gt;"",(VLOOKUP(H326,'Other Lists'!O:P,2,FALSE)),"")</f>
        <v/>
      </c>
      <c r="J326" s="15"/>
      <c r="K326" s="15"/>
      <c r="L326" s="15"/>
      <c r="M326" s="15"/>
      <c r="N326" s="40"/>
      <c r="O326" s="15"/>
      <c r="P326" s="26"/>
      <c r="Q326" s="15"/>
      <c r="R326" s="15"/>
      <c r="S326" s="15"/>
      <c r="T326" s="15"/>
      <c r="U326" s="15"/>
      <c r="V326" s="95"/>
      <c r="W326" s="95"/>
      <c r="X326" s="15"/>
      <c r="Y326" s="15"/>
      <c r="Z326" s="15" t="str">
        <f t="shared" si="11"/>
        <v/>
      </c>
      <c r="AA326" s="15"/>
      <c r="AB326" s="15" t="str">
        <f t="shared" si="12"/>
        <v/>
      </c>
      <c r="AC326" s="15"/>
      <c r="AD326" s="15"/>
      <c r="AE326" s="15"/>
      <c r="AF326" s="15"/>
      <c r="AG326" s="15"/>
      <c r="AH326" s="15"/>
      <c r="AI326" s="15"/>
      <c r="AJ326" s="15"/>
      <c r="AK326" s="95"/>
      <c r="AL326" s="95"/>
      <c r="AM326" s="93"/>
      <c r="AN326" s="3"/>
      <c r="AP326" s="28"/>
      <c r="AQ326" s="29"/>
    </row>
    <row r="327" spans="1:43" ht="26.85" customHeight="1" x14ac:dyDescent="0.45">
      <c r="A327" s="15"/>
      <c r="B327" s="15"/>
      <c r="C327" s="15"/>
      <c r="D327" s="95"/>
      <c r="E327" s="95"/>
      <c r="F327" s="15"/>
      <c r="G327" s="95"/>
      <c r="H327" s="15"/>
      <c r="I327" s="15" t="str">
        <f>IF($H327&lt;&gt;"",(VLOOKUP(H327,'Other Lists'!O:P,2,FALSE)),"")</f>
        <v/>
      </c>
      <c r="J327" s="15"/>
      <c r="K327" s="15"/>
      <c r="L327" s="15"/>
      <c r="M327" s="15"/>
      <c r="N327" s="40"/>
      <c r="O327" s="15"/>
      <c r="P327" s="26"/>
      <c r="Q327" s="15"/>
      <c r="R327" s="15"/>
      <c r="S327" s="15"/>
      <c r="T327" s="15"/>
      <c r="U327" s="15"/>
      <c r="V327" s="95"/>
      <c r="W327" s="95"/>
      <c r="X327" s="15"/>
      <c r="Y327" s="15"/>
      <c r="Z327" s="15" t="str">
        <f t="shared" si="11"/>
        <v/>
      </c>
      <c r="AA327" s="15"/>
      <c r="AB327" s="15" t="str">
        <f t="shared" si="12"/>
        <v/>
      </c>
      <c r="AC327" s="15"/>
      <c r="AD327" s="15"/>
      <c r="AE327" s="15"/>
      <c r="AF327" s="15"/>
      <c r="AG327" s="15"/>
      <c r="AH327" s="15"/>
      <c r="AI327" s="15"/>
      <c r="AJ327" s="15"/>
      <c r="AK327" s="95"/>
      <c r="AL327" s="95"/>
      <c r="AM327" s="93"/>
      <c r="AN327" s="3"/>
      <c r="AP327" s="28"/>
      <c r="AQ327" s="29"/>
    </row>
    <row r="328" spans="1:43" ht="26.85" customHeight="1" x14ac:dyDescent="0.45">
      <c r="A328" s="15"/>
      <c r="B328" s="15"/>
      <c r="C328" s="15"/>
      <c r="D328" s="95"/>
      <c r="E328" s="95"/>
      <c r="F328" s="15"/>
      <c r="G328" s="95"/>
      <c r="H328" s="15"/>
      <c r="I328" s="15" t="str">
        <f>IF($H328&lt;&gt;"",(VLOOKUP(H328,'Other Lists'!O:P,2,FALSE)),"")</f>
        <v/>
      </c>
      <c r="J328" s="15"/>
      <c r="K328" s="15"/>
      <c r="L328" s="15"/>
      <c r="M328" s="15"/>
      <c r="N328" s="40"/>
      <c r="O328" s="15"/>
      <c r="P328" s="26"/>
      <c r="Q328" s="15"/>
      <c r="R328" s="15"/>
      <c r="S328" s="15"/>
      <c r="T328" s="15"/>
      <c r="U328" s="15"/>
      <c r="V328" s="95"/>
      <c r="W328" s="95"/>
      <c r="X328" s="15"/>
      <c r="Y328" s="15"/>
      <c r="Z328" s="15" t="str">
        <f t="shared" si="11"/>
        <v/>
      </c>
      <c r="AA328" s="15"/>
      <c r="AB328" s="15" t="str">
        <f t="shared" si="12"/>
        <v/>
      </c>
      <c r="AC328" s="15"/>
      <c r="AD328" s="15"/>
      <c r="AE328" s="15"/>
      <c r="AF328" s="15"/>
      <c r="AG328" s="15"/>
      <c r="AH328" s="15"/>
      <c r="AI328" s="15"/>
      <c r="AJ328" s="15"/>
      <c r="AK328" s="95"/>
      <c r="AL328" s="95"/>
      <c r="AM328" s="93"/>
      <c r="AN328" s="3"/>
      <c r="AP328" s="28"/>
      <c r="AQ328" s="29"/>
    </row>
    <row r="329" spans="1:43" ht="26.85" customHeight="1" x14ac:dyDescent="0.45">
      <c r="A329" s="15"/>
      <c r="B329" s="15"/>
      <c r="C329" s="15"/>
      <c r="D329" s="95"/>
      <c r="E329" s="95"/>
      <c r="F329" s="15"/>
      <c r="G329" s="95"/>
      <c r="H329" s="15"/>
      <c r="I329" s="15" t="str">
        <f>IF($H329&lt;&gt;"",(VLOOKUP(H329,'Other Lists'!O:P,2,FALSE)),"")</f>
        <v/>
      </c>
      <c r="J329" s="15"/>
      <c r="K329" s="15"/>
      <c r="L329" s="15"/>
      <c r="M329" s="15"/>
      <c r="N329" s="40"/>
      <c r="O329" s="15"/>
      <c r="P329" s="26"/>
      <c r="Q329" s="15"/>
      <c r="R329" s="15"/>
      <c r="S329" s="15"/>
      <c r="T329" s="15"/>
      <c r="U329" s="15"/>
      <c r="V329" s="95"/>
      <c r="W329" s="95"/>
      <c r="X329" s="15"/>
      <c r="Y329" s="15"/>
      <c r="Z329" s="15" t="str">
        <f t="shared" si="11"/>
        <v/>
      </c>
      <c r="AA329" s="15"/>
      <c r="AB329" s="15" t="str">
        <f t="shared" si="12"/>
        <v/>
      </c>
      <c r="AC329" s="15"/>
      <c r="AD329" s="15"/>
      <c r="AE329" s="15"/>
      <c r="AF329" s="15"/>
      <c r="AG329" s="15"/>
      <c r="AH329" s="15"/>
      <c r="AI329" s="15"/>
      <c r="AJ329" s="15"/>
      <c r="AK329" s="95"/>
      <c r="AL329" s="95"/>
      <c r="AM329" s="93"/>
      <c r="AN329" s="3"/>
      <c r="AP329" s="28"/>
      <c r="AQ329" s="29"/>
    </row>
    <row r="330" spans="1:43" ht="26.85" customHeight="1" x14ac:dyDescent="0.45">
      <c r="A330" s="15"/>
      <c r="B330" s="15"/>
      <c r="C330" s="15"/>
      <c r="D330" s="95"/>
      <c r="E330" s="95"/>
      <c r="F330" s="15"/>
      <c r="G330" s="95"/>
      <c r="H330" s="15"/>
      <c r="I330" s="15" t="str">
        <f>IF($H330&lt;&gt;"",(VLOOKUP(H330,'Other Lists'!O:P,2,FALSE)),"")</f>
        <v/>
      </c>
      <c r="J330" s="15"/>
      <c r="K330" s="15"/>
      <c r="L330" s="15"/>
      <c r="M330" s="15"/>
      <c r="N330" s="40"/>
      <c r="O330" s="15"/>
      <c r="P330" s="26"/>
      <c r="Q330" s="15"/>
      <c r="R330" s="15"/>
      <c r="S330" s="15"/>
      <c r="T330" s="15"/>
      <c r="U330" s="15"/>
      <c r="V330" s="95"/>
      <c r="W330" s="95"/>
      <c r="X330" s="15"/>
      <c r="Y330" s="15"/>
      <c r="Z330" s="15" t="str">
        <f t="shared" si="11"/>
        <v/>
      </c>
      <c r="AA330" s="15"/>
      <c r="AB330" s="15" t="str">
        <f t="shared" si="12"/>
        <v/>
      </c>
      <c r="AC330" s="15"/>
      <c r="AD330" s="15"/>
      <c r="AE330" s="15"/>
      <c r="AF330" s="15"/>
      <c r="AG330" s="15"/>
      <c r="AH330" s="15"/>
      <c r="AI330" s="15"/>
      <c r="AJ330" s="15"/>
      <c r="AK330" s="95"/>
      <c r="AL330" s="95"/>
      <c r="AM330" s="93"/>
      <c r="AN330" s="3"/>
      <c r="AP330" s="28"/>
      <c r="AQ330" s="29"/>
    </row>
    <row r="331" spans="1:43" ht="26.85" customHeight="1" x14ac:dyDescent="0.45">
      <c r="A331" s="15"/>
      <c r="B331" s="15"/>
      <c r="C331" s="15"/>
      <c r="D331" s="95"/>
      <c r="E331" s="95"/>
      <c r="F331" s="15"/>
      <c r="G331" s="95"/>
      <c r="H331" s="15"/>
      <c r="I331" s="15" t="str">
        <f>IF($H331&lt;&gt;"",(VLOOKUP(H331,'Other Lists'!O:P,2,FALSE)),"")</f>
        <v/>
      </c>
      <c r="J331" s="15"/>
      <c r="K331" s="15"/>
      <c r="L331" s="15"/>
      <c r="M331" s="15"/>
      <c r="N331" s="40"/>
      <c r="O331" s="15"/>
      <c r="P331" s="26"/>
      <c r="Q331" s="15"/>
      <c r="R331" s="15"/>
      <c r="S331" s="15"/>
      <c r="T331" s="15"/>
      <c r="U331" s="15"/>
      <c r="V331" s="95"/>
      <c r="W331" s="95"/>
      <c r="X331" s="15"/>
      <c r="Y331" s="15"/>
      <c r="Z331" s="15" t="str">
        <f t="shared" si="11"/>
        <v/>
      </c>
      <c r="AA331" s="15"/>
      <c r="AB331" s="15" t="str">
        <f t="shared" si="12"/>
        <v/>
      </c>
      <c r="AC331" s="15"/>
      <c r="AD331" s="15"/>
      <c r="AE331" s="15"/>
      <c r="AF331" s="15"/>
      <c r="AG331" s="15"/>
      <c r="AH331" s="15"/>
      <c r="AI331" s="15"/>
      <c r="AJ331" s="15"/>
      <c r="AK331" s="95"/>
      <c r="AL331" s="95"/>
      <c r="AM331" s="93"/>
      <c r="AN331" s="3"/>
      <c r="AP331" s="28"/>
      <c r="AQ331" s="29"/>
    </row>
    <row r="332" spans="1:43" ht="26.85" customHeight="1" x14ac:dyDescent="0.45">
      <c r="A332" s="15"/>
      <c r="B332" s="15"/>
      <c r="C332" s="15"/>
      <c r="D332" s="95"/>
      <c r="E332" s="95"/>
      <c r="F332" s="15"/>
      <c r="G332" s="95"/>
      <c r="H332" s="15"/>
      <c r="I332" s="15" t="str">
        <f>IF($H332&lt;&gt;"",(VLOOKUP(H332,'Other Lists'!O:P,2,FALSE)),"")</f>
        <v/>
      </c>
      <c r="J332" s="15"/>
      <c r="K332" s="15"/>
      <c r="L332" s="15"/>
      <c r="M332" s="15"/>
      <c r="N332" s="40"/>
      <c r="O332" s="15"/>
      <c r="P332" s="26"/>
      <c r="Q332" s="15"/>
      <c r="R332" s="15"/>
      <c r="S332" s="15"/>
      <c r="T332" s="15"/>
      <c r="U332" s="15"/>
      <c r="V332" s="95"/>
      <c r="W332" s="95"/>
      <c r="X332" s="15"/>
      <c r="Y332" s="15"/>
      <c r="Z332" s="15" t="str">
        <f t="shared" si="11"/>
        <v/>
      </c>
      <c r="AA332" s="15"/>
      <c r="AB332" s="15" t="str">
        <f t="shared" si="12"/>
        <v/>
      </c>
      <c r="AC332" s="15"/>
      <c r="AD332" s="15"/>
      <c r="AE332" s="15"/>
      <c r="AF332" s="15"/>
      <c r="AG332" s="15"/>
      <c r="AH332" s="15"/>
      <c r="AI332" s="15"/>
      <c r="AJ332" s="15"/>
      <c r="AK332" s="95"/>
      <c r="AL332" s="95"/>
      <c r="AM332" s="93"/>
      <c r="AN332" s="3"/>
      <c r="AP332" s="28"/>
      <c r="AQ332" s="29"/>
    </row>
    <row r="333" spans="1:43" ht="26.85" customHeight="1" x14ac:dyDescent="0.45">
      <c r="A333" s="15"/>
      <c r="B333" s="15"/>
      <c r="C333" s="15"/>
      <c r="D333" s="95"/>
      <c r="E333" s="95"/>
      <c r="F333" s="15"/>
      <c r="G333" s="95"/>
      <c r="H333" s="15"/>
      <c r="I333" s="15" t="str">
        <f>IF($H333&lt;&gt;"",(VLOOKUP(H333,'Other Lists'!O:P,2,FALSE)),"")</f>
        <v/>
      </c>
      <c r="J333" s="15"/>
      <c r="K333" s="15"/>
      <c r="L333" s="15"/>
      <c r="M333" s="15"/>
      <c r="N333" s="40"/>
      <c r="O333" s="15"/>
      <c r="P333" s="26"/>
      <c r="Q333" s="15"/>
      <c r="R333" s="15"/>
      <c r="S333" s="15"/>
      <c r="T333" s="15"/>
      <c r="U333" s="15"/>
      <c r="V333" s="95"/>
      <c r="W333" s="95"/>
      <c r="X333" s="15"/>
      <c r="Y333" s="15"/>
      <c r="Z333" s="15" t="str">
        <f t="shared" si="11"/>
        <v/>
      </c>
      <c r="AA333" s="15"/>
      <c r="AB333" s="15" t="str">
        <f t="shared" si="12"/>
        <v/>
      </c>
      <c r="AC333" s="15"/>
      <c r="AD333" s="15"/>
      <c r="AE333" s="15"/>
      <c r="AF333" s="15"/>
      <c r="AG333" s="15"/>
      <c r="AH333" s="15"/>
      <c r="AI333" s="15"/>
      <c r="AJ333" s="15"/>
      <c r="AK333" s="95"/>
      <c r="AL333" s="95"/>
      <c r="AM333" s="93"/>
      <c r="AN333" s="3"/>
      <c r="AP333" s="28"/>
      <c r="AQ333" s="29"/>
    </row>
    <row r="334" spans="1:43" ht="26.85" customHeight="1" x14ac:dyDescent="0.45">
      <c r="A334" s="15"/>
      <c r="B334" s="15"/>
      <c r="C334" s="15"/>
      <c r="D334" s="95"/>
      <c r="E334" s="95"/>
      <c r="F334" s="15"/>
      <c r="G334" s="95"/>
      <c r="H334" s="15"/>
      <c r="I334" s="15" t="str">
        <f>IF($H334&lt;&gt;"",(VLOOKUP(H334,'Other Lists'!O:P,2,FALSE)),"")</f>
        <v/>
      </c>
      <c r="J334" s="15"/>
      <c r="K334" s="15"/>
      <c r="L334" s="15"/>
      <c r="M334" s="15"/>
      <c r="N334" s="40"/>
      <c r="O334" s="15"/>
      <c r="P334" s="26"/>
      <c r="Q334" s="15"/>
      <c r="R334" s="15"/>
      <c r="S334" s="15"/>
      <c r="T334" s="15"/>
      <c r="U334" s="15"/>
      <c r="V334" s="95"/>
      <c r="W334" s="95"/>
      <c r="X334" s="15"/>
      <c r="Y334" s="15"/>
      <c r="Z334" s="15" t="str">
        <f t="shared" si="11"/>
        <v/>
      </c>
      <c r="AA334" s="15"/>
      <c r="AB334" s="15" t="str">
        <f t="shared" si="12"/>
        <v/>
      </c>
      <c r="AC334" s="15"/>
      <c r="AD334" s="15"/>
      <c r="AE334" s="15"/>
      <c r="AF334" s="15"/>
      <c r="AG334" s="15"/>
      <c r="AH334" s="15"/>
      <c r="AI334" s="15"/>
      <c r="AJ334" s="15"/>
      <c r="AK334" s="95"/>
      <c r="AL334" s="95"/>
      <c r="AM334" s="93"/>
      <c r="AN334" s="3"/>
      <c r="AP334" s="28"/>
      <c r="AQ334" s="29"/>
    </row>
    <row r="335" spans="1:43" ht="26.85" customHeight="1" x14ac:dyDescent="0.45">
      <c r="A335" s="15"/>
      <c r="B335" s="15"/>
      <c r="C335" s="15"/>
      <c r="D335" s="95"/>
      <c r="E335" s="95"/>
      <c r="F335" s="15"/>
      <c r="G335" s="95"/>
      <c r="H335" s="15"/>
      <c r="I335" s="15" t="str">
        <f>IF($H335&lt;&gt;"",(VLOOKUP(H335,'Other Lists'!O:P,2,FALSE)),"")</f>
        <v/>
      </c>
      <c r="J335" s="15"/>
      <c r="K335" s="15"/>
      <c r="L335" s="15"/>
      <c r="M335" s="15"/>
      <c r="N335" s="40"/>
      <c r="O335" s="15"/>
      <c r="P335" s="26"/>
      <c r="Q335" s="15"/>
      <c r="R335" s="15"/>
      <c r="S335" s="15"/>
      <c r="T335" s="15"/>
      <c r="U335" s="15"/>
      <c r="V335" s="95"/>
      <c r="W335" s="95"/>
      <c r="X335" s="15"/>
      <c r="Y335" s="15"/>
      <c r="Z335" s="15" t="str">
        <f t="shared" si="11"/>
        <v/>
      </c>
      <c r="AA335" s="15"/>
      <c r="AB335" s="15" t="str">
        <f t="shared" si="12"/>
        <v/>
      </c>
      <c r="AC335" s="15"/>
      <c r="AD335" s="15"/>
      <c r="AE335" s="15"/>
      <c r="AF335" s="15"/>
      <c r="AG335" s="15"/>
      <c r="AH335" s="15"/>
      <c r="AI335" s="15"/>
      <c r="AJ335" s="15"/>
      <c r="AK335" s="95"/>
      <c r="AL335" s="95"/>
      <c r="AM335" s="93"/>
      <c r="AN335" s="3"/>
      <c r="AP335" s="28"/>
      <c r="AQ335" s="29"/>
    </row>
    <row r="336" spans="1:43" ht="26.85" customHeight="1" x14ac:dyDescent="0.45">
      <c r="A336" s="15"/>
      <c r="B336" s="15"/>
      <c r="C336" s="15"/>
      <c r="D336" s="95"/>
      <c r="E336" s="95"/>
      <c r="F336" s="15"/>
      <c r="G336" s="95"/>
      <c r="H336" s="15"/>
      <c r="I336" s="15" t="str">
        <f>IF($H336&lt;&gt;"",(VLOOKUP(H336,'Other Lists'!O:P,2,FALSE)),"")</f>
        <v/>
      </c>
      <c r="J336" s="15"/>
      <c r="K336" s="15"/>
      <c r="L336" s="15"/>
      <c r="M336" s="15"/>
      <c r="N336" s="40"/>
      <c r="O336" s="15"/>
      <c r="P336" s="26"/>
      <c r="Q336" s="15"/>
      <c r="R336" s="15"/>
      <c r="S336" s="15"/>
      <c r="T336" s="15"/>
      <c r="U336" s="15"/>
      <c r="V336" s="95"/>
      <c r="W336" s="95"/>
      <c r="X336" s="15"/>
      <c r="Y336" s="15"/>
      <c r="Z336" s="15" t="str">
        <f t="shared" si="11"/>
        <v/>
      </c>
      <c r="AA336" s="15"/>
      <c r="AB336" s="15" t="str">
        <f t="shared" si="12"/>
        <v/>
      </c>
      <c r="AC336" s="15"/>
      <c r="AD336" s="15"/>
      <c r="AE336" s="15"/>
      <c r="AF336" s="15"/>
      <c r="AG336" s="15"/>
      <c r="AH336" s="15"/>
      <c r="AI336" s="15"/>
      <c r="AJ336" s="15"/>
      <c r="AK336" s="95"/>
      <c r="AL336" s="95"/>
      <c r="AM336" s="93"/>
      <c r="AN336" s="3"/>
      <c r="AP336" s="28"/>
      <c r="AQ336" s="29"/>
    </row>
    <row r="337" spans="1:43" ht="26.85" customHeight="1" x14ac:dyDescent="0.45">
      <c r="A337" s="15"/>
      <c r="B337" s="15"/>
      <c r="C337" s="15"/>
      <c r="D337" s="95"/>
      <c r="E337" s="95"/>
      <c r="F337" s="15"/>
      <c r="G337" s="95"/>
      <c r="H337" s="15"/>
      <c r="I337" s="15" t="str">
        <f>IF($H337&lt;&gt;"",(VLOOKUP(H337,'Other Lists'!O:P,2,FALSE)),"")</f>
        <v/>
      </c>
      <c r="J337" s="15"/>
      <c r="K337" s="15"/>
      <c r="L337" s="15"/>
      <c r="M337" s="15"/>
      <c r="N337" s="40"/>
      <c r="O337" s="15"/>
      <c r="P337" s="26"/>
      <c r="Q337" s="15"/>
      <c r="R337" s="15"/>
      <c r="S337" s="15"/>
      <c r="T337" s="15"/>
      <c r="U337" s="15"/>
      <c r="V337" s="95"/>
      <c r="W337" s="95"/>
      <c r="X337" s="15"/>
      <c r="Y337" s="15"/>
      <c r="Z337" s="15" t="str">
        <f t="shared" si="11"/>
        <v/>
      </c>
      <c r="AA337" s="15"/>
      <c r="AB337" s="15" t="str">
        <f t="shared" si="12"/>
        <v/>
      </c>
      <c r="AC337" s="15"/>
      <c r="AD337" s="15"/>
      <c r="AE337" s="15"/>
      <c r="AF337" s="15"/>
      <c r="AG337" s="15"/>
      <c r="AH337" s="15"/>
      <c r="AI337" s="15"/>
      <c r="AJ337" s="15"/>
      <c r="AK337" s="95"/>
      <c r="AL337" s="95"/>
      <c r="AM337" s="93"/>
      <c r="AN337" s="3"/>
      <c r="AP337" s="28"/>
      <c r="AQ337" s="29"/>
    </row>
    <row r="338" spans="1:43" ht="26.85" customHeight="1" x14ac:dyDescent="0.45">
      <c r="A338" s="15"/>
      <c r="B338" s="15"/>
      <c r="C338" s="15"/>
      <c r="D338" s="95"/>
      <c r="E338" s="95"/>
      <c r="F338" s="15"/>
      <c r="G338" s="95"/>
      <c r="H338" s="15"/>
      <c r="I338" s="15" t="str">
        <f>IF($H338&lt;&gt;"",(VLOOKUP(H338,'Other Lists'!O:P,2,FALSE)),"")</f>
        <v/>
      </c>
      <c r="J338" s="15"/>
      <c r="K338" s="15"/>
      <c r="L338" s="15"/>
      <c r="M338" s="15"/>
      <c r="N338" s="40"/>
      <c r="O338" s="15"/>
      <c r="P338" s="26"/>
      <c r="Q338" s="15"/>
      <c r="R338" s="15"/>
      <c r="S338" s="15"/>
      <c r="T338" s="15"/>
      <c r="U338" s="15"/>
      <c r="V338" s="95"/>
      <c r="W338" s="95"/>
      <c r="X338" s="15"/>
      <c r="Y338" s="15"/>
      <c r="Z338" s="15" t="str">
        <f t="shared" si="11"/>
        <v/>
      </c>
      <c r="AA338" s="15"/>
      <c r="AB338" s="15" t="str">
        <f t="shared" si="12"/>
        <v/>
      </c>
      <c r="AC338" s="15"/>
      <c r="AD338" s="15"/>
      <c r="AE338" s="15"/>
      <c r="AF338" s="15"/>
      <c r="AG338" s="15"/>
      <c r="AH338" s="15"/>
      <c r="AI338" s="15"/>
      <c r="AJ338" s="15"/>
      <c r="AK338" s="95"/>
      <c r="AL338" s="95"/>
      <c r="AM338" s="93"/>
      <c r="AN338" s="3"/>
      <c r="AP338" s="28"/>
      <c r="AQ338" s="29"/>
    </row>
    <row r="339" spans="1:43" ht="26.85" customHeight="1" x14ac:dyDescent="0.45">
      <c r="A339" s="15"/>
      <c r="B339" s="15"/>
      <c r="C339" s="15"/>
      <c r="D339" s="95"/>
      <c r="E339" s="95"/>
      <c r="F339" s="15"/>
      <c r="G339" s="95"/>
      <c r="H339" s="15"/>
      <c r="I339" s="15" t="str">
        <f>IF($H339&lt;&gt;"",(VLOOKUP(H339,'Other Lists'!O:P,2,FALSE)),"")</f>
        <v/>
      </c>
      <c r="J339" s="15"/>
      <c r="K339" s="15"/>
      <c r="L339" s="15"/>
      <c r="M339" s="15"/>
      <c r="N339" s="40"/>
      <c r="O339" s="15"/>
      <c r="P339" s="26"/>
      <c r="Q339" s="15"/>
      <c r="R339" s="15"/>
      <c r="S339" s="15"/>
      <c r="T339" s="15"/>
      <c r="U339" s="15"/>
      <c r="V339" s="95"/>
      <c r="W339" s="95"/>
      <c r="X339" s="15"/>
      <c r="Y339" s="15"/>
      <c r="Z339" s="15" t="str">
        <f t="shared" si="11"/>
        <v/>
      </c>
      <c r="AA339" s="15"/>
      <c r="AB339" s="15" t="str">
        <f t="shared" si="12"/>
        <v/>
      </c>
      <c r="AC339" s="15"/>
      <c r="AD339" s="15"/>
      <c r="AE339" s="15"/>
      <c r="AF339" s="15"/>
      <c r="AG339" s="15"/>
      <c r="AH339" s="15"/>
      <c r="AI339" s="15"/>
      <c r="AJ339" s="15"/>
      <c r="AK339" s="95"/>
      <c r="AL339" s="95"/>
      <c r="AM339" s="93"/>
      <c r="AN339" s="3"/>
      <c r="AP339" s="28"/>
      <c r="AQ339" s="29"/>
    </row>
    <row r="340" spans="1:43" ht="26.85" customHeight="1" x14ac:dyDescent="0.45">
      <c r="A340" s="15"/>
      <c r="B340" s="15"/>
      <c r="C340" s="15"/>
      <c r="D340" s="95"/>
      <c r="E340" s="95"/>
      <c r="F340" s="15"/>
      <c r="G340" s="95"/>
      <c r="H340" s="15"/>
      <c r="I340" s="15" t="str">
        <f>IF($H340&lt;&gt;"",(VLOOKUP(H340,'Other Lists'!O:P,2,FALSE)),"")</f>
        <v/>
      </c>
      <c r="J340" s="15"/>
      <c r="K340" s="15"/>
      <c r="L340" s="15"/>
      <c r="M340" s="15"/>
      <c r="N340" s="40"/>
      <c r="O340" s="15"/>
      <c r="P340" s="26"/>
      <c r="Q340" s="15"/>
      <c r="R340" s="15"/>
      <c r="S340" s="15"/>
      <c r="T340" s="15"/>
      <c r="U340" s="15"/>
      <c r="V340" s="95"/>
      <c r="W340" s="95"/>
      <c r="X340" s="15"/>
      <c r="Y340" s="15"/>
      <c r="Z340" s="15" t="str">
        <f t="shared" si="11"/>
        <v/>
      </c>
      <c r="AA340" s="15"/>
      <c r="AB340" s="15" t="str">
        <f t="shared" si="12"/>
        <v/>
      </c>
      <c r="AC340" s="15"/>
      <c r="AD340" s="15"/>
      <c r="AE340" s="15"/>
      <c r="AF340" s="15"/>
      <c r="AG340" s="15"/>
      <c r="AH340" s="15"/>
      <c r="AI340" s="15"/>
      <c r="AJ340" s="15"/>
      <c r="AK340" s="95"/>
      <c r="AL340" s="95"/>
      <c r="AM340" s="93"/>
      <c r="AN340" s="3"/>
      <c r="AP340" s="28"/>
      <c r="AQ340" s="29"/>
    </row>
    <row r="341" spans="1:43" ht="26.85" customHeight="1" x14ac:dyDescent="0.45">
      <c r="A341" s="15"/>
      <c r="B341" s="15"/>
      <c r="C341" s="15"/>
      <c r="D341" s="95"/>
      <c r="E341" s="95"/>
      <c r="F341" s="15"/>
      <c r="G341" s="95"/>
      <c r="H341" s="15"/>
      <c r="I341" s="15" t="str">
        <f>IF($H341&lt;&gt;"",(VLOOKUP(H341,'Other Lists'!O:P,2,FALSE)),"")</f>
        <v/>
      </c>
      <c r="J341" s="15"/>
      <c r="K341" s="15"/>
      <c r="L341" s="15"/>
      <c r="M341" s="15"/>
      <c r="N341" s="40"/>
      <c r="O341" s="15"/>
      <c r="P341" s="26"/>
      <c r="Q341" s="15"/>
      <c r="R341" s="15"/>
      <c r="S341" s="15"/>
      <c r="T341" s="15"/>
      <c r="U341" s="15"/>
      <c r="V341" s="95"/>
      <c r="W341" s="95"/>
      <c r="X341" s="15"/>
      <c r="Y341" s="15"/>
      <c r="Z341" s="15" t="str">
        <f t="shared" si="11"/>
        <v/>
      </c>
      <c r="AA341" s="15"/>
      <c r="AB341" s="15" t="str">
        <f t="shared" si="12"/>
        <v/>
      </c>
      <c r="AC341" s="15"/>
      <c r="AD341" s="15"/>
      <c r="AE341" s="15"/>
      <c r="AF341" s="15"/>
      <c r="AG341" s="15"/>
      <c r="AH341" s="15"/>
      <c r="AI341" s="15"/>
      <c r="AJ341" s="15"/>
      <c r="AK341" s="95"/>
      <c r="AL341" s="95"/>
      <c r="AM341" s="93"/>
      <c r="AN341" s="3"/>
      <c r="AP341" s="28"/>
      <c r="AQ341" s="29"/>
    </row>
    <row r="342" spans="1:43" ht="26.85" customHeight="1" x14ac:dyDescent="0.45">
      <c r="A342" s="15"/>
      <c r="B342" s="15"/>
      <c r="C342" s="15"/>
      <c r="D342" s="95"/>
      <c r="E342" s="95"/>
      <c r="F342" s="15"/>
      <c r="G342" s="95"/>
      <c r="H342" s="15"/>
      <c r="I342" s="15" t="str">
        <f>IF($H342&lt;&gt;"",(VLOOKUP(H342,'Other Lists'!O:P,2,FALSE)),"")</f>
        <v/>
      </c>
      <c r="J342" s="15"/>
      <c r="K342" s="15"/>
      <c r="L342" s="15"/>
      <c r="M342" s="15"/>
      <c r="N342" s="40"/>
      <c r="O342" s="15"/>
      <c r="P342" s="26"/>
      <c r="Q342" s="15"/>
      <c r="R342" s="15"/>
      <c r="S342" s="15"/>
      <c r="T342" s="15"/>
      <c r="U342" s="15"/>
      <c r="V342" s="95"/>
      <c r="W342" s="95"/>
      <c r="X342" s="15"/>
      <c r="Y342" s="15"/>
      <c r="Z342" s="15" t="str">
        <f t="shared" si="11"/>
        <v/>
      </c>
      <c r="AA342" s="15"/>
      <c r="AB342" s="15" t="str">
        <f t="shared" si="12"/>
        <v/>
      </c>
      <c r="AC342" s="15"/>
      <c r="AD342" s="15"/>
      <c r="AE342" s="15"/>
      <c r="AF342" s="15"/>
      <c r="AG342" s="15"/>
      <c r="AH342" s="15"/>
      <c r="AI342" s="15"/>
      <c r="AJ342" s="15"/>
      <c r="AK342" s="95"/>
      <c r="AL342" s="95"/>
      <c r="AM342" s="93"/>
      <c r="AN342" s="3"/>
      <c r="AP342" s="28"/>
      <c r="AQ342" s="29"/>
    </row>
    <row r="343" spans="1:43" ht="26.85" customHeight="1" x14ac:dyDescent="0.45">
      <c r="A343" s="15"/>
      <c r="B343" s="15"/>
      <c r="C343" s="15"/>
      <c r="D343" s="95"/>
      <c r="E343" s="95"/>
      <c r="F343" s="15"/>
      <c r="G343" s="95"/>
      <c r="H343" s="15"/>
      <c r="I343" s="15" t="str">
        <f>IF($H343&lt;&gt;"",(VLOOKUP(H343,'Other Lists'!O:P,2,FALSE)),"")</f>
        <v/>
      </c>
      <c r="J343" s="15"/>
      <c r="K343" s="15"/>
      <c r="L343" s="15"/>
      <c r="M343" s="15"/>
      <c r="N343" s="40"/>
      <c r="O343" s="15"/>
      <c r="P343" s="26"/>
      <c r="Q343" s="15"/>
      <c r="R343" s="15"/>
      <c r="S343" s="15"/>
      <c r="T343" s="15"/>
      <c r="U343" s="15"/>
      <c r="V343" s="95"/>
      <c r="W343" s="95"/>
      <c r="X343" s="15"/>
      <c r="Y343" s="15"/>
      <c r="Z343" s="15" t="str">
        <f t="shared" si="11"/>
        <v/>
      </c>
      <c r="AA343" s="15"/>
      <c r="AB343" s="15" t="str">
        <f t="shared" si="12"/>
        <v/>
      </c>
      <c r="AC343" s="15"/>
      <c r="AD343" s="15"/>
      <c r="AE343" s="15"/>
      <c r="AF343" s="15"/>
      <c r="AG343" s="15"/>
      <c r="AH343" s="15"/>
      <c r="AI343" s="15"/>
      <c r="AJ343" s="15"/>
      <c r="AK343" s="95"/>
      <c r="AL343" s="95"/>
      <c r="AM343" s="93"/>
      <c r="AN343" s="3"/>
      <c r="AP343" s="28"/>
      <c r="AQ343" s="29"/>
    </row>
    <row r="344" spans="1:43" ht="26.85" customHeight="1" x14ac:dyDescent="0.45">
      <c r="A344" s="15"/>
      <c r="B344" s="15"/>
      <c r="C344" s="15"/>
      <c r="D344" s="95"/>
      <c r="E344" s="95"/>
      <c r="F344" s="15"/>
      <c r="G344" s="95"/>
      <c r="H344" s="15"/>
      <c r="I344" s="15" t="str">
        <f>IF($H344&lt;&gt;"",(VLOOKUP(H344,'Other Lists'!O:P,2,FALSE)),"")</f>
        <v/>
      </c>
      <c r="J344" s="15"/>
      <c r="K344" s="15"/>
      <c r="L344" s="15"/>
      <c r="M344" s="15"/>
      <c r="N344" s="40"/>
      <c r="O344" s="15"/>
      <c r="P344" s="26"/>
      <c r="Q344" s="15"/>
      <c r="R344" s="15"/>
      <c r="S344" s="15"/>
      <c r="T344" s="15"/>
      <c r="U344" s="15"/>
      <c r="V344" s="95"/>
      <c r="W344" s="95"/>
      <c r="X344" s="15"/>
      <c r="Y344" s="15"/>
      <c r="Z344" s="15" t="str">
        <f t="shared" si="11"/>
        <v/>
      </c>
      <c r="AA344" s="15"/>
      <c r="AB344" s="15" t="str">
        <f t="shared" si="12"/>
        <v/>
      </c>
      <c r="AC344" s="15"/>
      <c r="AD344" s="15"/>
      <c r="AE344" s="15"/>
      <c r="AF344" s="15"/>
      <c r="AG344" s="15"/>
      <c r="AH344" s="15"/>
      <c r="AI344" s="15"/>
      <c r="AJ344" s="15"/>
      <c r="AK344" s="95"/>
      <c r="AL344" s="95"/>
      <c r="AM344" s="93"/>
      <c r="AN344" s="3"/>
      <c r="AP344" s="28"/>
      <c r="AQ344" s="29"/>
    </row>
    <row r="345" spans="1:43" ht="26.85" customHeight="1" x14ac:dyDescent="0.45">
      <c r="A345" s="15"/>
      <c r="B345" s="15"/>
      <c r="C345" s="15"/>
      <c r="D345" s="95"/>
      <c r="E345" s="95"/>
      <c r="F345" s="15"/>
      <c r="G345" s="95"/>
      <c r="H345" s="15"/>
      <c r="I345" s="15" t="str">
        <f>IF($H345&lt;&gt;"",(VLOOKUP(H345,'Other Lists'!O:P,2,FALSE)),"")</f>
        <v/>
      </c>
      <c r="J345" s="15"/>
      <c r="K345" s="15"/>
      <c r="L345" s="15"/>
      <c r="M345" s="15"/>
      <c r="N345" s="40"/>
      <c r="O345" s="15"/>
      <c r="P345" s="26"/>
      <c r="Q345" s="15"/>
      <c r="R345" s="15"/>
      <c r="S345" s="15"/>
      <c r="T345" s="15"/>
      <c r="U345" s="15"/>
      <c r="V345" s="95"/>
      <c r="W345" s="95"/>
      <c r="X345" s="15"/>
      <c r="Y345" s="15"/>
      <c r="Z345" s="15" t="str">
        <f t="shared" si="11"/>
        <v/>
      </c>
      <c r="AA345" s="15"/>
      <c r="AB345" s="15" t="str">
        <f t="shared" si="12"/>
        <v/>
      </c>
      <c r="AC345" s="15"/>
      <c r="AD345" s="15"/>
      <c r="AE345" s="15"/>
      <c r="AF345" s="15"/>
      <c r="AG345" s="15"/>
      <c r="AH345" s="15"/>
      <c r="AI345" s="15"/>
      <c r="AJ345" s="15"/>
      <c r="AK345" s="95"/>
      <c r="AL345" s="95"/>
      <c r="AM345" s="93"/>
      <c r="AN345" s="3"/>
      <c r="AP345" s="28"/>
      <c r="AQ345" s="29"/>
    </row>
    <row r="346" spans="1:43" ht="26.85" customHeight="1" x14ac:dyDescent="0.45">
      <c r="A346" s="15"/>
      <c r="B346" s="15"/>
      <c r="C346" s="15"/>
      <c r="D346" s="95"/>
      <c r="E346" s="95"/>
      <c r="F346" s="15"/>
      <c r="G346" s="95"/>
      <c r="H346" s="15"/>
      <c r="I346" s="15" t="str">
        <f>IF($H346&lt;&gt;"",(VLOOKUP(H346,'Other Lists'!O:P,2,FALSE)),"")</f>
        <v/>
      </c>
      <c r="J346" s="15"/>
      <c r="K346" s="15"/>
      <c r="L346" s="15"/>
      <c r="M346" s="15"/>
      <c r="N346" s="40"/>
      <c r="O346" s="15"/>
      <c r="P346" s="26"/>
      <c r="Q346" s="15"/>
      <c r="R346" s="15"/>
      <c r="S346" s="15"/>
      <c r="T346" s="15"/>
      <c r="U346" s="15"/>
      <c r="V346" s="95"/>
      <c r="W346" s="95"/>
      <c r="X346" s="15"/>
      <c r="Y346" s="15"/>
      <c r="Z346" s="15" t="str">
        <f t="shared" si="11"/>
        <v/>
      </c>
      <c r="AA346" s="15"/>
      <c r="AB346" s="15" t="str">
        <f t="shared" si="12"/>
        <v/>
      </c>
      <c r="AC346" s="15"/>
      <c r="AD346" s="15"/>
      <c r="AE346" s="15"/>
      <c r="AF346" s="15"/>
      <c r="AG346" s="15"/>
      <c r="AH346" s="15"/>
      <c r="AI346" s="15"/>
      <c r="AJ346" s="15"/>
      <c r="AK346" s="95"/>
      <c r="AL346" s="95"/>
      <c r="AM346" s="93"/>
      <c r="AN346" s="3"/>
      <c r="AP346" s="28"/>
      <c r="AQ346" s="29"/>
    </row>
    <row r="347" spans="1:43" ht="26.85" customHeight="1" x14ac:dyDescent="0.45">
      <c r="A347" s="15"/>
      <c r="B347" s="15"/>
      <c r="C347" s="15"/>
      <c r="D347" s="95"/>
      <c r="E347" s="95"/>
      <c r="F347" s="15"/>
      <c r="G347" s="95"/>
      <c r="H347" s="15"/>
      <c r="I347" s="15" t="str">
        <f>IF($H347&lt;&gt;"",(VLOOKUP(H347,'Other Lists'!O:P,2,FALSE)),"")</f>
        <v/>
      </c>
      <c r="J347" s="15"/>
      <c r="K347" s="15"/>
      <c r="L347" s="15"/>
      <c r="M347" s="15"/>
      <c r="N347" s="40"/>
      <c r="O347" s="15"/>
      <c r="P347" s="26"/>
      <c r="Q347" s="15"/>
      <c r="R347" s="15"/>
      <c r="S347" s="15"/>
      <c r="T347" s="15"/>
      <c r="U347" s="15"/>
      <c r="V347" s="95"/>
      <c r="W347" s="95"/>
      <c r="X347" s="15"/>
      <c r="Y347" s="15"/>
      <c r="Z347" s="15" t="str">
        <f t="shared" si="11"/>
        <v/>
      </c>
      <c r="AA347" s="15"/>
      <c r="AB347" s="15" t="str">
        <f t="shared" si="12"/>
        <v/>
      </c>
      <c r="AC347" s="15"/>
      <c r="AD347" s="15"/>
      <c r="AE347" s="15"/>
      <c r="AF347" s="15"/>
      <c r="AG347" s="15"/>
      <c r="AH347" s="15"/>
      <c r="AI347" s="15"/>
      <c r="AJ347" s="15"/>
      <c r="AK347" s="95"/>
      <c r="AL347" s="95"/>
      <c r="AM347" s="93"/>
      <c r="AN347" s="3"/>
      <c r="AP347" s="28"/>
      <c r="AQ347" s="29"/>
    </row>
    <row r="348" spans="1:43" ht="26.85" customHeight="1" x14ac:dyDescent="0.45">
      <c r="A348" s="15"/>
      <c r="B348" s="15"/>
      <c r="C348" s="15"/>
      <c r="D348" s="95"/>
      <c r="E348" s="95"/>
      <c r="F348" s="15"/>
      <c r="G348" s="95"/>
      <c r="H348" s="15"/>
      <c r="I348" s="15" t="str">
        <f>IF($H348&lt;&gt;"",(VLOOKUP(H348,'Other Lists'!O:P,2,FALSE)),"")</f>
        <v/>
      </c>
      <c r="J348" s="15"/>
      <c r="K348" s="15"/>
      <c r="L348" s="15"/>
      <c r="M348" s="15"/>
      <c r="N348" s="40"/>
      <c r="O348" s="15"/>
      <c r="P348" s="26"/>
      <c r="Q348" s="15"/>
      <c r="R348" s="15"/>
      <c r="S348" s="15"/>
      <c r="T348" s="15"/>
      <c r="U348" s="15"/>
      <c r="V348" s="95"/>
      <c r="W348" s="95"/>
      <c r="X348" s="15"/>
      <c r="Y348" s="15"/>
      <c r="Z348" s="15" t="str">
        <f t="shared" si="11"/>
        <v/>
      </c>
      <c r="AA348" s="15"/>
      <c r="AB348" s="15" t="str">
        <f t="shared" si="12"/>
        <v/>
      </c>
      <c r="AC348" s="15"/>
      <c r="AD348" s="15"/>
      <c r="AE348" s="15"/>
      <c r="AF348" s="15"/>
      <c r="AG348" s="15"/>
      <c r="AH348" s="15"/>
      <c r="AI348" s="15"/>
      <c r="AJ348" s="15"/>
      <c r="AK348" s="95"/>
      <c r="AL348" s="95"/>
      <c r="AM348" s="93"/>
      <c r="AN348" s="3"/>
      <c r="AP348" s="28"/>
      <c r="AQ348" s="29"/>
    </row>
    <row r="349" spans="1:43" ht="26.85" customHeight="1" x14ac:dyDescent="0.45">
      <c r="A349" s="15"/>
      <c r="B349" s="15"/>
      <c r="C349" s="15"/>
      <c r="D349" s="95"/>
      <c r="E349" s="95"/>
      <c r="F349" s="15"/>
      <c r="G349" s="95"/>
      <c r="H349" s="15"/>
      <c r="I349" s="15" t="str">
        <f>IF($H349&lt;&gt;"",(VLOOKUP(H349,'Other Lists'!O:P,2,FALSE)),"")</f>
        <v/>
      </c>
      <c r="J349" s="15"/>
      <c r="K349" s="15"/>
      <c r="L349" s="15"/>
      <c r="M349" s="15"/>
      <c r="N349" s="40"/>
      <c r="O349" s="15"/>
      <c r="P349" s="26"/>
      <c r="Q349" s="15"/>
      <c r="R349" s="15"/>
      <c r="S349" s="15"/>
      <c r="T349" s="15"/>
      <c r="U349" s="15"/>
      <c r="V349" s="95"/>
      <c r="W349" s="95"/>
      <c r="X349" s="15"/>
      <c r="Y349" s="15"/>
      <c r="Z349" s="15" t="str">
        <f t="shared" si="11"/>
        <v/>
      </c>
      <c r="AA349" s="15"/>
      <c r="AB349" s="15" t="str">
        <f t="shared" si="12"/>
        <v/>
      </c>
      <c r="AC349" s="15"/>
      <c r="AD349" s="15"/>
      <c r="AE349" s="15"/>
      <c r="AF349" s="15"/>
      <c r="AG349" s="15"/>
      <c r="AH349" s="15"/>
      <c r="AI349" s="15"/>
      <c r="AJ349" s="15"/>
      <c r="AK349" s="95"/>
      <c r="AL349" s="95"/>
      <c r="AM349" s="93"/>
      <c r="AN349" s="3"/>
      <c r="AP349" s="28"/>
      <c r="AQ349" s="29"/>
    </row>
    <row r="350" spans="1:43" ht="26.85" customHeight="1" x14ac:dyDescent="0.45">
      <c r="A350" s="15"/>
      <c r="B350" s="15"/>
      <c r="C350" s="15"/>
      <c r="D350" s="95"/>
      <c r="E350" s="95"/>
      <c r="F350" s="15"/>
      <c r="G350" s="95"/>
      <c r="H350" s="15"/>
      <c r="I350" s="15" t="str">
        <f>IF($H350&lt;&gt;"",(VLOOKUP(H350,'Other Lists'!O:P,2,FALSE)),"")</f>
        <v/>
      </c>
      <c r="J350" s="15"/>
      <c r="K350" s="15"/>
      <c r="L350" s="15"/>
      <c r="M350" s="15"/>
      <c r="N350" s="40"/>
      <c r="O350" s="15"/>
      <c r="P350" s="26"/>
      <c r="Q350" s="15"/>
      <c r="R350" s="15"/>
      <c r="S350" s="15"/>
      <c r="T350" s="15"/>
      <c r="U350" s="15"/>
      <c r="V350" s="95"/>
      <c r="W350" s="95"/>
      <c r="X350" s="15"/>
      <c r="Y350" s="15"/>
      <c r="Z350" s="15" t="str">
        <f t="shared" si="11"/>
        <v/>
      </c>
      <c r="AA350" s="15"/>
      <c r="AB350" s="15" t="str">
        <f t="shared" si="12"/>
        <v/>
      </c>
      <c r="AC350" s="15"/>
      <c r="AD350" s="15"/>
      <c r="AE350" s="15"/>
      <c r="AF350" s="15"/>
      <c r="AG350" s="15"/>
      <c r="AH350" s="15"/>
      <c r="AI350" s="15"/>
      <c r="AJ350" s="15"/>
      <c r="AK350" s="95"/>
      <c r="AL350" s="95"/>
      <c r="AM350" s="93"/>
      <c r="AN350" s="3"/>
      <c r="AP350" s="28"/>
      <c r="AQ350" s="29"/>
    </row>
    <row r="351" spans="1:43" ht="26.85" customHeight="1" x14ac:dyDescent="0.45">
      <c r="A351" s="15"/>
      <c r="B351" s="15"/>
      <c r="C351" s="15"/>
      <c r="D351" s="95"/>
      <c r="E351" s="95"/>
      <c r="F351" s="15"/>
      <c r="G351" s="95"/>
      <c r="H351" s="15"/>
      <c r="I351" s="15" t="str">
        <f>IF($H351&lt;&gt;"",(VLOOKUP(H351,'Other Lists'!O:P,2,FALSE)),"")</f>
        <v/>
      </c>
      <c r="J351" s="15"/>
      <c r="K351" s="15"/>
      <c r="L351" s="15"/>
      <c r="M351" s="15"/>
      <c r="N351" s="40"/>
      <c r="O351" s="15"/>
      <c r="P351" s="26"/>
      <c r="Q351" s="15"/>
      <c r="R351" s="15"/>
      <c r="S351" s="15"/>
      <c r="T351" s="15"/>
      <c r="U351" s="15"/>
      <c r="V351" s="95"/>
      <c r="W351" s="95"/>
      <c r="X351" s="15"/>
      <c r="Y351" s="15"/>
      <c r="Z351" s="15" t="str">
        <f t="shared" si="11"/>
        <v/>
      </c>
      <c r="AA351" s="15"/>
      <c r="AB351" s="15" t="str">
        <f t="shared" si="12"/>
        <v/>
      </c>
      <c r="AC351" s="15"/>
      <c r="AD351" s="15"/>
      <c r="AE351" s="15"/>
      <c r="AF351" s="15"/>
      <c r="AG351" s="15"/>
      <c r="AH351" s="15"/>
      <c r="AI351" s="15"/>
      <c r="AJ351" s="15"/>
      <c r="AK351" s="95"/>
      <c r="AL351" s="95"/>
      <c r="AM351" s="93"/>
      <c r="AN351" s="3"/>
      <c r="AP351" s="28"/>
      <c r="AQ351" s="29"/>
    </row>
    <row r="352" spans="1:43" ht="26.85" customHeight="1" x14ac:dyDescent="0.45">
      <c r="A352" s="15"/>
      <c r="B352" s="15"/>
      <c r="C352" s="15"/>
      <c r="D352" s="95"/>
      <c r="E352" s="95"/>
      <c r="F352" s="15"/>
      <c r="G352" s="95"/>
      <c r="H352" s="15"/>
      <c r="I352" s="15" t="str">
        <f>IF($H352&lt;&gt;"",(VLOOKUP(H352,'Other Lists'!O:P,2,FALSE)),"")</f>
        <v/>
      </c>
      <c r="J352" s="15"/>
      <c r="K352" s="15"/>
      <c r="L352" s="15"/>
      <c r="M352" s="15"/>
      <c r="N352" s="40"/>
      <c r="O352" s="15"/>
      <c r="P352" s="26"/>
      <c r="Q352" s="15"/>
      <c r="R352" s="15"/>
      <c r="S352" s="15"/>
      <c r="T352" s="15"/>
      <c r="U352" s="15"/>
      <c r="V352" s="95"/>
      <c r="W352" s="95"/>
      <c r="X352" s="15"/>
      <c r="Y352" s="15"/>
      <c r="Z352" s="15" t="str">
        <f t="shared" si="11"/>
        <v/>
      </c>
      <c r="AA352" s="15"/>
      <c r="AB352" s="15" t="str">
        <f t="shared" si="12"/>
        <v/>
      </c>
      <c r="AC352" s="15"/>
      <c r="AD352" s="15"/>
      <c r="AE352" s="15"/>
      <c r="AF352" s="15"/>
      <c r="AG352" s="15"/>
      <c r="AH352" s="15"/>
      <c r="AI352" s="15"/>
      <c r="AJ352" s="15"/>
      <c r="AK352" s="95"/>
      <c r="AL352" s="95"/>
      <c r="AM352" s="93"/>
      <c r="AN352" s="3"/>
      <c r="AP352" s="28"/>
      <c r="AQ352" s="29"/>
    </row>
    <row r="353" spans="1:43" ht="26.85" customHeight="1" x14ac:dyDescent="0.45">
      <c r="A353" s="15"/>
      <c r="B353" s="15"/>
      <c r="C353" s="15"/>
      <c r="D353" s="95"/>
      <c r="E353" s="95"/>
      <c r="F353" s="15"/>
      <c r="G353" s="95"/>
      <c r="H353" s="15"/>
      <c r="I353" s="15" t="str">
        <f>IF($H353&lt;&gt;"",(VLOOKUP(H353,'Other Lists'!O:P,2,FALSE)),"")</f>
        <v/>
      </c>
      <c r="J353" s="15"/>
      <c r="K353" s="15"/>
      <c r="L353" s="15"/>
      <c r="M353" s="15"/>
      <c r="N353" s="40"/>
      <c r="O353" s="15"/>
      <c r="P353" s="26"/>
      <c r="Q353" s="15"/>
      <c r="R353" s="15"/>
      <c r="S353" s="15"/>
      <c r="T353" s="15"/>
      <c r="U353" s="15"/>
      <c r="V353" s="95"/>
      <c r="W353" s="95"/>
      <c r="X353" s="15"/>
      <c r="Y353" s="15"/>
      <c r="Z353" s="15" t="str">
        <f t="shared" si="11"/>
        <v/>
      </c>
      <c r="AA353" s="15"/>
      <c r="AB353" s="15" t="str">
        <f t="shared" si="12"/>
        <v/>
      </c>
      <c r="AC353" s="15"/>
      <c r="AD353" s="15"/>
      <c r="AE353" s="15"/>
      <c r="AF353" s="15"/>
      <c r="AG353" s="15"/>
      <c r="AH353" s="15"/>
      <c r="AI353" s="15"/>
      <c r="AJ353" s="15"/>
      <c r="AK353" s="95"/>
      <c r="AL353" s="95"/>
      <c r="AM353" s="93"/>
      <c r="AN353" s="3"/>
      <c r="AP353" s="28"/>
      <c r="AQ353" s="29"/>
    </row>
    <row r="354" spans="1:43" ht="26.85" customHeight="1" x14ac:dyDescent="0.45">
      <c r="A354" s="15"/>
      <c r="B354" s="15"/>
      <c r="C354" s="15"/>
      <c r="D354" s="95"/>
      <c r="E354" s="95"/>
      <c r="F354" s="15"/>
      <c r="G354" s="95"/>
      <c r="H354" s="15"/>
      <c r="I354" s="15" t="str">
        <f>IF($H354&lt;&gt;"",(VLOOKUP(H354,'Other Lists'!O:P,2,FALSE)),"")</f>
        <v/>
      </c>
      <c r="J354" s="15"/>
      <c r="K354" s="15"/>
      <c r="L354" s="15"/>
      <c r="M354" s="15"/>
      <c r="N354" s="40"/>
      <c r="O354" s="15"/>
      <c r="P354" s="26"/>
      <c r="Q354" s="15"/>
      <c r="R354" s="15"/>
      <c r="S354" s="15"/>
      <c r="T354" s="15"/>
      <c r="U354" s="15"/>
      <c r="V354" s="95"/>
      <c r="W354" s="95"/>
      <c r="X354" s="15"/>
      <c r="Y354" s="15"/>
      <c r="Z354" s="15" t="str">
        <f t="shared" si="11"/>
        <v/>
      </c>
      <c r="AA354" s="15"/>
      <c r="AB354" s="15" t="str">
        <f t="shared" si="12"/>
        <v/>
      </c>
      <c r="AC354" s="15"/>
      <c r="AD354" s="15"/>
      <c r="AE354" s="15"/>
      <c r="AF354" s="15"/>
      <c r="AG354" s="15"/>
      <c r="AH354" s="15"/>
      <c r="AI354" s="15"/>
      <c r="AJ354" s="15"/>
      <c r="AK354" s="95"/>
      <c r="AL354" s="95"/>
      <c r="AM354" s="93"/>
      <c r="AN354" s="3"/>
      <c r="AP354" s="28"/>
      <c r="AQ354" s="29"/>
    </row>
    <row r="355" spans="1:43" ht="26.85" customHeight="1" x14ac:dyDescent="0.45">
      <c r="A355" s="15"/>
      <c r="B355" s="15"/>
      <c r="C355" s="15"/>
      <c r="D355" s="95"/>
      <c r="E355" s="95"/>
      <c r="F355" s="15"/>
      <c r="G355" s="95"/>
      <c r="H355" s="15"/>
      <c r="I355" s="15" t="str">
        <f>IF($H355&lt;&gt;"",(VLOOKUP(H355,'Other Lists'!O:P,2,FALSE)),"")</f>
        <v/>
      </c>
      <c r="J355" s="15"/>
      <c r="K355" s="15"/>
      <c r="L355" s="15"/>
      <c r="M355" s="15"/>
      <c r="N355" s="40"/>
      <c r="O355" s="15"/>
      <c r="P355" s="26"/>
      <c r="Q355" s="15"/>
      <c r="R355" s="15"/>
      <c r="S355" s="15"/>
      <c r="T355" s="15"/>
      <c r="U355" s="15"/>
      <c r="V355" s="95"/>
      <c r="W355" s="95"/>
      <c r="X355" s="15"/>
      <c r="Y355" s="15"/>
      <c r="Z355" s="15" t="str">
        <f t="shared" si="11"/>
        <v/>
      </c>
      <c r="AA355" s="15"/>
      <c r="AB355" s="15" t="str">
        <f t="shared" si="12"/>
        <v/>
      </c>
      <c r="AC355" s="15"/>
      <c r="AD355" s="15"/>
      <c r="AE355" s="15"/>
      <c r="AF355" s="15"/>
      <c r="AG355" s="15"/>
      <c r="AH355" s="15"/>
      <c r="AI355" s="15"/>
      <c r="AJ355" s="15"/>
      <c r="AK355" s="95"/>
      <c r="AL355" s="95"/>
      <c r="AM355" s="93"/>
      <c r="AN355" s="3"/>
      <c r="AP355" s="28"/>
      <c r="AQ355" s="29"/>
    </row>
    <row r="356" spans="1:43" ht="26.85" customHeight="1" x14ac:dyDescent="0.45">
      <c r="A356" s="15"/>
      <c r="B356" s="15"/>
      <c r="C356" s="15"/>
      <c r="D356" s="95"/>
      <c r="E356" s="95"/>
      <c r="F356" s="15"/>
      <c r="G356" s="95"/>
      <c r="H356" s="15"/>
      <c r="I356" s="15" t="str">
        <f>IF($H356&lt;&gt;"",(VLOOKUP(H356,'Other Lists'!O:P,2,FALSE)),"")</f>
        <v/>
      </c>
      <c r="J356" s="15"/>
      <c r="K356" s="15"/>
      <c r="L356" s="15"/>
      <c r="M356" s="15"/>
      <c r="N356" s="40"/>
      <c r="O356" s="15"/>
      <c r="P356" s="26"/>
      <c r="Q356" s="15"/>
      <c r="R356" s="15"/>
      <c r="S356" s="15"/>
      <c r="T356" s="15"/>
      <c r="U356" s="15"/>
      <c r="V356" s="95"/>
      <c r="W356" s="95"/>
      <c r="X356" s="15"/>
      <c r="Y356" s="15"/>
      <c r="Z356" s="15" t="str">
        <f t="shared" si="11"/>
        <v/>
      </c>
      <c r="AA356" s="15"/>
      <c r="AB356" s="15" t="str">
        <f t="shared" si="12"/>
        <v/>
      </c>
      <c r="AC356" s="15"/>
      <c r="AD356" s="15"/>
      <c r="AE356" s="15"/>
      <c r="AF356" s="15"/>
      <c r="AG356" s="15"/>
      <c r="AH356" s="15"/>
      <c r="AI356" s="15"/>
      <c r="AJ356" s="15"/>
      <c r="AK356" s="95"/>
      <c r="AL356" s="95"/>
      <c r="AM356" s="93"/>
      <c r="AN356" s="3"/>
      <c r="AP356" s="28"/>
      <c r="AQ356" s="29"/>
    </row>
    <row r="357" spans="1:43" ht="26.85" customHeight="1" x14ac:dyDescent="0.45">
      <c r="A357" s="15"/>
      <c r="B357" s="15"/>
      <c r="C357" s="15"/>
      <c r="D357" s="95"/>
      <c r="E357" s="95"/>
      <c r="F357" s="15"/>
      <c r="G357" s="95"/>
      <c r="H357" s="15"/>
      <c r="I357" s="15" t="str">
        <f>IF($H357&lt;&gt;"",(VLOOKUP(H357,'Other Lists'!O:P,2,FALSE)),"")</f>
        <v/>
      </c>
      <c r="J357" s="15"/>
      <c r="K357" s="15"/>
      <c r="L357" s="15"/>
      <c r="M357" s="15"/>
      <c r="N357" s="40"/>
      <c r="O357" s="15"/>
      <c r="P357" s="26"/>
      <c r="Q357" s="15"/>
      <c r="R357" s="15"/>
      <c r="S357" s="15"/>
      <c r="T357" s="15"/>
      <c r="U357" s="15"/>
      <c r="V357" s="95"/>
      <c r="W357" s="95"/>
      <c r="X357" s="15"/>
      <c r="Y357" s="15"/>
      <c r="Z357" s="15" t="str">
        <f t="shared" si="11"/>
        <v/>
      </c>
      <c r="AA357" s="15"/>
      <c r="AB357" s="15" t="str">
        <f t="shared" si="12"/>
        <v/>
      </c>
      <c r="AC357" s="15"/>
      <c r="AD357" s="15"/>
      <c r="AE357" s="15"/>
      <c r="AF357" s="15"/>
      <c r="AG357" s="15"/>
      <c r="AH357" s="15"/>
      <c r="AI357" s="15"/>
      <c r="AJ357" s="15"/>
      <c r="AK357" s="95"/>
      <c r="AL357" s="95"/>
      <c r="AM357" s="93"/>
      <c r="AN357" s="3"/>
      <c r="AP357" s="28"/>
      <c r="AQ357" s="29"/>
    </row>
    <row r="358" spans="1:43" ht="26.85" customHeight="1" x14ac:dyDescent="0.45">
      <c r="A358" s="15"/>
      <c r="B358" s="15"/>
      <c r="C358" s="15"/>
      <c r="D358" s="95"/>
      <c r="E358" s="95"/>
      <c r="F358" s="15"/>
      <c r="G358" s="95"/>
      <c r="H358" s="15"/>
      <c r="I358" s="15" t="str">
        <f>IF($H358&lt;&gt;"",(VLOOKUP(H358,'Other Lists'!O:P,2,FALSE)),"")</f>
        <v/>
      </c>
      <c r="J358" s="15"/>
      <c r="K358" s="15"/>
      <c r="L358" s="15"/>
      <c r="M358" s="15"/>
      <c r="N358" s="40"/>
      <c r="O358" s="15"/>
      <c r="P358" s="26"/>
      <c r="Q358" s="15"/>
      <c r="R358" s="15"/>
      <c r="S358" s="15"/>
      <c r="T358" s="15"/>
      <c r="U358" s="15"/>
      <c r="V358" s="95"/>
      <c r="W358" s="95"/>
      <c r="X358" s="15"/>
      <c r="Y358" s="15"/>
      <c r="Z358" s="15" t="str">
        <f t="shared" si="11"/>
        <v/>
      </c>
      <c r="AA358" s="15"/>
      <c r="AB358" s="15" t="str">
        <f t="shared" si="12"/>
        <v/>
      </c>
      <c r="AC358" s="15"/>
      <c r="AD358" s="15"/>
      <c r="AE358" s="15"/>
      <c r="AF358" s="15"/>
      <c r="AG358" s="15"/>
      <c r="AH358" s="15"/>
      <c r="AI358" s="15"/>
      <c r="AJ358" s="15"/>
      <c r="AK358" s="95"/>
      <c r="AL358" s="95"/>
      <c r="AM358" s="93"/>
      <c r="AN358" s="3"/>
      <c r="AP358" s="28"/>
      <c r="AQ358" s="29"/>
    </row>
    <row r="359" spans="1:43" ht="26.85" customHeight="1" x14ac:dyDescent="0.45">
      <c r="A359" s="15"/>
      <c r="B359" s="15"/>
      <c r="C359" s="15"/>
      <c r="D359" s="95"/>
      <c r="E359" s="95"/>
      <c r="F359" s="15"/>
      <c r="G359" s="95"/>
      <c r="H359" s="15"/>
      <c r="I359" s="15" t="str">
        <f>IF($H359&lt;&gt;"",(VLOOKUP(H359,'Other Lists'!O:P,2,FALSE)),"")</f>
        <v/>
      </c>
      <c r="J359" s="15"/>
      <c r="K359" s="15"/>
      <c r="L359" s="15"/>
      <c r="M359" s="15"/>
      <c r="N359" s="40"/>
      <c r="O359" s="15"/>
      <c r="P359" s="26"/>
      <c r="Q359" s="15"/>
      <c r="R359" s="15"/>
      <c r="S359" s="15"/>
      <c r="T359" s="15"/>
      <c r="U359" s="15"/>
      <c r="V359" s="95"/>
      <c r="W359" s="95"/>
      <c r="X359" s="15"/>
      <c r="Y359" s="15"/>
      <c r="Z359" s="15" t="str">
        <f t="shared" si="11"/>
        <v/>
      </c>
      <c r="AA359" s="15"/>
      <c r="AB359" s="15" t="str">
        <f t="shared" si="12"/>
        <v/>
      </c>
      <c r="AC359" s="15"/>
      <c r="AD359" s="15"/>
      <c r="AE359" s="15"/>
      <c r="AF359" s="15"/>
      <c r="AG359" s="15"/>
      <c r="AH359" s="15"/>
      <c r="AI359" s="15"/>
      <c r="AJ359" s="15"/>
      <c r="AK359" s="95"/>
      <c r="AL359" s="95"/>
      <c r="AM359" s="93"/>
      <c r="AN359" s="3"/>
      <c r="AP359" s="28"/>
      <c r="AQ359" s="29"/>
    </row>
    <row r="360" spans="1:43" ht="26.85" customHeight="1" x14ac:dyDescent="0.45">
      <c r="A360" s="15"/>
      <c r="B360" s="15"/>
      <c r="C360" s="15"/>
      <c r="D360" s="95"/>
      <c r="E360" s="95"/>
      <c r="F360" s="15"/>
      <c r="G360" s="95"/>
      <c r="H360" s="15"/>
      <c r="I360" s="15" t="str">
        <f>IF($H360&lt;&gt;"",(VLOOKUP(H360,'Other Lists'!O:P,2,FALSE)),"")</f>
        <v/>
      </c>
      <c r="J360" s="15"/>
      <c r="K360" s="15"/>
      <c r="L360" s="15"/>
      <c r="M360" s="15"/>
      <c r="N360" s="40"/>
      <c r="O360" s="15"/>
      <c r="P360" s="26"/>
      <c r="Q360" s="15"/>
      <c r="R360" s="15"/>
      <c r="S360" s="15"/>
      <c r="T360" s="15"/>
      <c r="U360" s="15"/>
      <c r="V360" s="95"/>
      <c r="W360" s="95"/>
      <c r="X360" s="15"/>
      <c r="Y360" s="15"/>
      <c r="Z360" s="15" t="str">
        <f t="shared" si="11"/>
        <v/>
      </c>
      <c r="AA360" s="15"/>
      <c r="AB360" s="15" t="str">
        <f t="shared" si="12"/>
        <v/>
      </c>
      <c r="AC360" s="15"/>
      <c r="AD360" s="15"/>
      <c r="AE360" s="15"/>
      <c r="AF360" s="15"/>
      <c r="AG360" s="15"/>
      <c r="AH360" s="15"/>
      <c r="AI360" s="15"/>
      <c r="AJ360" s="15"/>
      <c r="AK360" s="95"/>
      <c r="AL360" s="95"/>
      <c r="AM360" s="93"/>
      <c r="AN360" s="3"/>
      <c r="AP360" s="28"/>
      <c r="AQ360" s="29"/>
    </row>
    <row r="361" spans="1:43" ht="26.85" customHeight="1" x14ac:dyDescent="0.45">
      <c r="A361" s="15"/>
      <c r="B361" s="15"/>
      <c r="C361" s="15"/>
      <c r="D361" s="95"/>
      <c r="E361" s="95"/>
      <c r="F361" s="15"/>
      <c r="G361" s="95"/>
      <c r="H361" s="15"/>
      <c r="I361" s="15" t="str">
        <f>IF($H361&lt;&gt;"",(VLOOKUP(H361,'Other Lists'!O:P,2,FALSE)),"")</f>
        <v/>
      </c>
      <c r="J361" s="15"/>
      <c r="K361" s="15"/>
      <c r="L361" s="15"/>
      <c r="M361" s="15"/>
      <c r="N361" s="40"/>
      <c r="O361" s="15"/>
      <c r="P361" s="26"/>
      <c r="Q361" s="15"/>
      <c r="R361" s="15"/>
      <c r="S361" s="15"/>
      <c r="T361" s="15"/>
      <c r="U361" s="15"/>
      <c r="V361" s="95"/>
      <c r="W361" s="95"/>
      <c r="X361" s="15"/>
      <c r="Y361" s="15"/>
      <c r="Z361" s="15" t="str">
        <f t="shared" si="11"/>
        <v/>
      </c>
      <c r="AA361" s="15"/>
      <c r="AB361" s="15" t="str">
        <f t="shared" si="12"/>
        <v/>
      </c>
      <c r="AC361" s="15"/>
      <c r="AD361" s="15"/>
      <c r="AE361" s="15"/>
      <c r="AF361" s="15"/>
      <c r="AG361" s="15"/>
      <c r="AH361" s="15"/>
      <c r="AI361" s="15"/>
      <c r="AJ361" s="15"/>
      <c r="AK361" s="95"/>
      <c r="AL361" s="95"/>
      <c r="AM361" s="93"/>
      <c r="AN361" s="3"/>
      <c r="AP361" s="28"/>
      <c r="AQ361" s="29"/>
    </row>
    <row r="362" spans="1:43" ht="26.85" customHeight="1" x14ac:dyDescent="0.45">
      <c r="A362" s="15"/>
      <c r="B362" s="15"/>
      <c r="C362" s="15"/>
      <c r="D362" s="95"/>
      <c r="E362" s="95"/>
      <c r="F362" s="15"/>
      <c r="G362" s="95"/>
      <c r="H362" s="15"/>
      <c r="I362" s="15" t="str">
        <f>IF($H362&lt;&gt;"",(VLOOKUP(H362,'Other Lists'!O:P,2,FALSE)),"")</f>
        <v/>
      </c>
      <c r="J362" s="15"/>
      <c r="K362" s="15"/>
      <c r="L362" s="15"/>
      <c r="M362" s="15"/>
      <c r="N362" s="40"/>
      <c r="O362" s="15"/>
      <c r="P362" s="26"/>
      <c r="Q362" s="15"/>
      <c r="R362" s="15"/>
      <c r="S362" s="15"/>
      <c r="T362" s="15"/>
      <c r="U362" s="15"/>
      <c r="V362" s="95"/>
      <c r="W362" s="95"/>
      <c r="X362" s="15"/>
      <c r="Y362" s="15"/>
      <c r="Z362" s="15" t="str">
        <f t="shared" si="11"/>
        <v/>
      </c>
      <c r="AA362" s="15"/>
      <c r="AB362" s="15" t="str">
        <f t="shared" si="12"/>
        <v/>
      </c>
      <c r="AC362" s="15"/>
      <c r="AD362" s="15"/>
      <c r="AE362" s="15"/>
      <c r="AF362" s="15"/>
      <c r="AG362" s="15"/>
      <c r="AH362" s="15"/>
      <c r="AI362" s="15"/>
      <c r="AJ362" s="15"/>
      <c r="AK362" s="95"/>
      <c r="AL362" s="95"/>
      <c r="AM362" s="93"/>
      <c r="AN362" s="3"/>
      <c r="AP362" s="28"/>
      <c r="AQ362" s="29"/>
    </row>
    <row r="363" spans="1:43" ht="26.85" customHeight="1" x14ac:dyDescent="0.45">
      <c r="A363" s="15"/>
      <c r="B363" s="15"/>
      <c r="C363" s="15"/>
      <c r="D363" s="95"/>
      <c r="E363" s="95"/>
      <c r="F363" s="15"/>
      <c r="G363" s="95"/>
      <c r="H363" s="15"/>
      <c r="I363" s="15" t="str">
        <f>IF($H363&lt;&gt;"",(VLOOKUP(H363,'Other Lists'!O:P,2,FALSE)),"")</f>
        <v/>
      </c>
      <c r="J363" s="15"/>
      <c r="K363" s="15"/>
      <c r="L363" s="15"/>
      <c r="M363" s="15"/>
      <c r="N363" s="40"/>
      <c r="O363" s="15"/>
      <c r="P363" s="26"/>
      <c r="Q363" s="15"/>
      <c r="R363" s="15"/>
      <c r="S363" s="15"/>
      <c r="T363" s="15"/>
      <c r="U363" s="15"/>
      <c r="V363" s="95"/>
      <c r="W363" s="95"/>
      <c r="X363" s="15"/>
      <c r="Y363" s="15"/>
      <c r="Z363" s="15" t="str">
        <f t="shared" si="11"/>
        <v/>
      </c>
      <c r="AA363" s="15"/>
      <c r="AB363" s="15" t="str">
        <f t="shared" si="12"/>
        <v/>
      </c>
      <c r="AC363" s="15"/>
      <c r="AD363" s="15"/>
      <c r="AE363" s="15"/>
      <c r="AF363" s="15"/>
      <c r="AG363" s="15"/>
      <c r="AH363" s="15"/>
      <c r="AI363" s="15"/>
      <c r="AJ363" s="15"/>
      <c r="AK363" s="95"/>
      <c r="AL363" s="95"/>
      <c r="AM363" s="93"/>
      <c r="AN363" s="3"/>
      <c r="AP363" s="28"/>
      <c r="AQ363" s="29"/>
    </row>
    <row r="364" spans="1:43" ht="26.85" customHeight="1" x14ac:dyDescent="0.45">
      <c r="A364" s="15"/>
      <c r="B364" s="15"/>
      <c r="C364" s="15"/>
      <c r="D364" s="95"/>
      <c r="E364" s="95"/>
      <c r="F364" s="15"/>
      <c r="G364" s="95"/>
      <c r="H364" s="15"/>
      <c r="I364" s="15" t="str">
        <f>IF($H364&lt;&gt;"",(VLOOKUP(H364,'Other Lists'!O:P,2,FALSE)),"")</f>
        <v/>
      </c>
      <c r="J364" s="15"/>
      <c r="K364" s="15"/>
      <c r="L364" s="15"/>
      <c r="M364" s="15"/>
      <c r="N364" s="40"/>
      <c r="O364" s="15"/>
      <c r="P364" s="26"/>
      <c r="Q364" s="15"/>
      <c r="R364" s="15"/>
      <c r="S364" s="15"/>
      <c r="T364" s="15"/>
      <c r="U364" s="15"/>
      <c r="V364" s="95"/>
      <c r="W364" s="95"/>
      <c r="X364" s="15"/>
      <c r="Y364" s="15"/>
      <c r="Z364" s="15" t="str">
        <f t="shared" si="11"/>
        <v/>
      </c>
      <c r="AA364" s="15"/>
      <c r="AB364" s="15" t="str">
        <f t="shared" si="12"/>
        <v/>
      </c>
      <c r="AC364" s="15"/>
      <c r="AD364" s="15"/>
      <c r="AE364" s="15"/>
      <c r="AF364" s="15"/>
      <c r="AG364" s="15"/>
      <c r="AH364" s="15"/>
      <c r="AI364" s="15"/>
      <c r="AJ364" s="15"/>
      <c r="AK364" s="95"/>
      <c r="AL364" s="95"/>
      <c r="AM364" s="93"/>
      <c r="AN364" s="3"/>
      <c r="AP364" s="28"/>
      <c r="AQ364" s="29"/>
    </row>
    <row r="365" spans="1:43" ht="26.85" customHeight="1" x14ac:dyDescent="0.45">
      <c r="A365" s="15"/>
      <c r="B365" s="15"/>
      <c r="C365" s="15"/>
      <c r="D365" s="95"/>
      <c r="E365" s="95"/>
      <c r="F365" s="15"/>
      <c r="G365" s="95"/>
      <c r="H365" s="15"/>
      <c r="I365" s="15" t="str">
        <f>IF($H365&lt;&gt;"",(VLOOKUP(H365,'Other Lists'!O:P,2,FALSE)),"")</f>
        <v/>
      </c>
      <c r="J365" s="15"/>
      <c r="K365" s="15"/>
      <c r="L365" s="15"/>
      <c r="M365" s="15"/>
      <c r="N365" s="40"/>
      <c r="O365" s="15"/>
      <c r="P365" s="26"/>
      <c r="Q365" s="15"/>
      <c r="R365" s="15"/>
      <c r="S365" s="15"/>
      <c r="T365" s="15"/>
      <c r="U365" s="15"/>
      <c r="V365" s="95"/>
      <c r="W365" s="95"/>
      <c r="X365" s="15"/>
      <c r="Y365" s="15"/>
      <c r="Z365" s="15" t="str">
        <f t="shared" si="11"/>
        <v/>
      </c>
      <c r="AA365" s="15"/>
      <c r="AB365" s="15" t="str">
        <f t="shared" si="12"/>
        <v/>
      </c>
      <c r="AC365" s="15"/>
      <c r="AD365" s="15"/>
      <c r="AE365" s="15"/>
      <c r="AF365" s="15"/>
      <c r="AG365" s="15"/>
      <c r="AH365" s="15"/>
      <c r="AI365" s="15"/>
      <c r="AJ365" s="15"/>
      <c r="AK365" s="95"/>
      <c r="AL365" s="95"/>
      <c r="AM365" s="93"/>
      <c r="AN365" s="3"/>
      <c r="AP365" s="28"/>
      <c r="AQ365" s="29"/>
    </row>
    <row r="366" spans="1:43" ht="26.85" customHeight="1" x14ac:dyDescent="0.45">
      <c r="A366" s="15"/>
      <c r="B366" s="15"/>
      <c r="C366" s="15"/>
      <c r="D366" s="95"/>
      <c r="E366" s="95"/>
      <c r="F366" s="15"/>
      <c r="G366" s="95"/>
      <c r="H366" s="15"/>
      <c r="I366" s="15" t="str">
        <f>IF($H366&lt;&gt;"",(VLOOKUP(H366,'Other Lists'!O:P,2,FALSE)),"")</f>
        <v/>
      </c>
      <c r="J366" s="15"/>
      <c r="K366" s="15"/>
      <c r="L366" s="15"/>
      <c r="M366" s="15"/>
      <c r="N366" s="40"/>
      <c r="O366" s="15"/>
      <c r="P366" s="26"/>
      <c r="Q366" s="15"/>
      <c r="R366" s="15"/>
      <c r="S366" s="15"/>
      <c r="T366" s="15"/>
      <c r="U366" s="15"/>
      <c r="V366" s="95"/>
      <c r="W366" s="95"/>
      <c r="X366" s="15"/>
      <c r="Y366" s="15"/>
      <c r="Z366" s="15" t="str">
        <f t="shared" si="11"/>
        <v/>
      </c>
      <c r="AA366" s="15"/>
      <c r="AB366" s="15" t="str">
        <f t="shared" si="12"/>
        <v/>
      </c>
      <c r="AC366" s="15"/>
      <c r="AD366" s="15"/>
      <c r="AE366" s="15"/>
      <c r="AF366" s="15"/>
      <c r="AG366" s="15"/>
      <c r="AH366" s="15"/>
      <c r="AI366" s="15"/>
      <c r="AJ366" s="15"/>
      <c r="AK366" s="95"/>
      <c r="AL366" s="95"/>
      <c r="AM366" s="93"/>
      <c r="AN366" s="3"/>
      <c r="AP366" s="28"/>
      <c r="AQ366" s="29"/>
    </row>
    <row r="367" spans="1:43" ht="26.85" customHeight="1" x14ac:dyDescent="0.45">
      <c r="A367" s="15"/>
      <c r="B367" s="15"/>
      <c r="C367" s="15"/>
      <c r="D367" s="95"/>
      <c r="E367" s="95"/>
      <c r="F367" s="15"/>
      <c r="G367" s="95"/>
      <c r="H367" s="15"/>
      <c r="I367" s="15" t="str">
        <f>IF($H367&lt;&gt;"",(VLOOKUP(H367,'Other Lists'!O:P,2,FALSE)),"")</f>
        <v/>
      </c>
      <c r="J367" s="15"/>
      <c r="K367" s="15"/>
      <c r="L367" s="15"/>
      <c r="M367" s="15"/>
      <c r="N367" s="40"/>
      <c r="O367" s="15"/>
      <c r="P367" s="26"/>
      <c r="Q367" s="15"/>
      <c r="R367" s="15"/>
      <c r="S367" s="15"/>
      <c r="T367" s="15"/>
      <c r="U367" s="15"/>
      <c r="V367" s="95"/>
      <c r="W367" s="95"/>
      <c r="X367" s="15"/>
      <c r="Y367" s="15"/>
      <c r="Z367" s="15" t="str">
        <f t="shared" si="11"/>
        <v/>
      </c>
      <c r="AA367" s="15"/>
      <c r="AB367" s="15" t="str">
        <f t="shared" si="12"/>
        <v/>
      </c>
      <c r="AC367" s="15"/>
      <c r="AD367" s="15"/>
      <c r="AE367" s="15"/>
      <c r="AF367" s="15"/>
      <c r="AG367" s="15"/>
      <c r="AH367" s="15"/>
      <c r="AI367" s="15"/>
      <c r="AJ367" s="15"/>
      <c r="AK367" s="95"/>
      <c r="AL367" s="95"/>
      <c r="AM367" s="93"/>
      <c r="AN367" s="3"/>
      <c r="AP367" s="28"/>
      <c r="AQ367" s="29"/>
    </row>
    <row r="368" spans="1:43" ht="26.85" customHeight="1" x14ac:dyDescent="0.45">
      <c r="A368" s="15"/>
      <c r="B368" s="15"/>
      <c r="C368" s="15"/>
      <c r="D368" s="95"/>
      <c r="E368" s="95"/>
      <c r="F368" s="15"/>
      <c r="G368" s="95"/>
      <c r="H368" s="15"/>
      <c r="I368" s="15" t="str">
        <f>IF($H368&lt;&gt;"",(VLOOKUP(H368,'Other Lists'!O:P,2,FALSE)),"")</f>
        <v/>
      </c>
      <c r="J368" s="15"/>
      <c r="K368" s="15"/>
      <c r="L368" s="15"/>
      <c r="M368" s="15"/>
      <c r="N368" s="40"/>
      <c r="O368" s="15"/>
      <c r="P368" s="26"/>
      <c r="Q368" s="15"/>
      <c r="R368" s="15"/>
      <c r="S368" s="15"/>
      <c r="T368" s="15"/>
      <c r="U368" s="15"/>
      <c r="V368" s="95"/>
      <c r="W368" s="95"/>
      <c r="X368" s="15"/>
      <c r="Y368" s="15"/>
      <c r="Z368" s="15" t="str">
        <f t="shared" si="11"/>
        <v/>
      </c>
      <c r="AA368" s="15"/>
      <c r="AB368" s="15" t="str">
        <f t="shared" si="12"/>
        <v/>
      </c>
      <c r="AC368" s="15"/>
      <c r="AD368" s="15"/>
      <c r="AE368" s="15"/>
      <c r="AF368" s="15"/>
      <c r="AG368" s="15"/>
      <c r="AH368" s="15"/>
      <c r="AI368" s="15"/>
      <c r="AJ368" s="15"/>
      <c r="AK368" s="95"/>
      <c r="AL368" s="95"/>
      <c r="AM368" s="93"/>
      <c r="AN368" s="3"/>
      <c r="AP368" s="28"/>
      <c r="AQ368" s="29"/>
    </row>
    <row r="369" spans="1:43" ht="26.85" customHeight="1" x14ac:dyDescent="0.45">
      <c r="A369" s="15"/>
      <c r="B369" s="15"/>
      <c r="C369" s="15"/>
      <c r="D369" s="95"/>
      <c r="E369" s="95"/>
      <c r="F369" s="15"/>
      <c r="G369" s="95"/>
      <c r="H369" s="15"/>
      <c r="I369" s="15" t="str">
        <f>IF($H369&lt;&gt;"",(VLOOKUP(H369,'Other Lists'!O:P,2,FALSE)),"")</f>
        <v/>
      </c>
      <c r="J369" s="15"/>
      <c r="K369" s="15"/>
      <c r="L369" s="15"/>
      <c r="M369" s="15"/>
      <c r="N369" s="40"/>
      <c r="O369" s="15"/>
      <c r="P369" s="26"/>
      <c r="Q369" s="15"/>
      <c r="R369" s="15"/>
      <c r="S369" s="15"/>
      <c r="T369" s="15"/>
      <c r="U369" s="15"/>
      <c r="V369" s="95"/>
      <c r="W369" s="95"/>
      <c r="X369" s="15"/>
      <c r="Y369" s="15"/>
      <c r="Z369" s="15" t="str">
        <f t="shared" si="11"/>
        <v/>
      </c>
      <c r="AA369" s="15"/>
      <c r="AB369" s="15" t="str">
        <f t="shared" si="12"/>
        <v/>
      </c>
      <c r="AC369" s="15"/>
      <c r="AD369" s="15"/>
      <c r="AE369" s="15"/>
      <c r="AF369" s="15"/>
      <c r="AG369" s="15"/>
      <c r="AH369" s="15"/>
      <c r="AI369" s="15"/>
      <c r="AJ369" s="15"/>
      <c r="AK369" s="95"/>
      <c r="AL369" s="95"/>
      <c r="AM369" s="93"/>
      <c r="AN369" s="3"/>
      <c r="AP369" s="28"/>
      <c r="AQ369" s="29"/>
    </row>
    <row r="370" spans="1:43" ht="26.85" customHeight="1" x14ac:dyDescent="0.45">
      <c r="A370" s="15"/>
      <c r="B370" s="15"/>
      <c r="C370" s="15"/>
      <c r="D370" s="95"/>
      <c r="E370" s="95"/>
      <c r="F370" s="15"/>
      <c r="G370" s="95"/>
      <c r="H370" s="15"/>
      <c r="I370" s="15" t="str">
        <f>IF($H370&lt;&gt;"",(VLOOKUP(H370,'Other Lists'!O:P,2,FALSE)),"")</f>
        <v/>
      </c>
      <c r="J370" s="15"/>
      <c r="K370" s="15"/>
      <c r="L370" s="15"/>
      <c r="M370" s="15"/>
      <c r="N370" s="40"/>
      <c r="O370" s="15"/>
      <c r="P370" s="26"/>
      <c r="Q370" s="15"/>
      <c r="R370" s="15"/>
      <c r="S370" s="15"/>
      <c r="T370" s="15"/>
      <c r="U370" s="15"/>
      <c r="V370" s="95"/>
      <c r="W370" s="95"/>
      <c r="X370" s="15"/>
      <c r="Y370" s="15"/>
      <c r="Z370" s="15" t="str">
        <f t="shared" si="11"/>
        <v/>
      </c>
      <c r="AA370" s="15"/>
      <c r="AB370" s="15" t="str">
        <f t="shared" si="12"/>
        <v/>
      </c>
      <c r="AC370" s="15"/>
      <c r="AD370" s="15"/>
      <c r="AE370" s="15"/>
      <c r="AF370" s="15"/>
      <c r="AG370" s="15"/>
      <c r="AH370" s="15"/>
      <c r="AI370" s="15"/>
      <c r="AJ370" s="15"/>
      <c r="AK370" s="95"/>
      <c r="AL370" s="95"/>
      <c r="AM370" s="93"/>
      <c r="AN370" s="3"/>
      <c r="AP370" s="28"/>
      <c r="AQ370" s="29"/>
    </row>
    <row r="371" spans="1:43" ht="26.85" customHeight="1" x14ac:dyDescent="0.45">
      <c r="A371" s="15"/>
      <c r="B371" s="15"/>
      <c r="C371" s="15"/>
      <c r="D371" s="95"/>
      <c r="E371" s="95"/>
      <c r="F371" s="15"/>
      <c r="G371" s="95"/>
      <c r="H371" s="15"/>
      <c r="I371" s="15" t="str">
        <f>IF($H371&lt;&gt;"",(VLOOKUP(H371,'Other Lists'!O:P,2,FALSE)),"")</f>
        <v/>
      </c>
      <c r="J371" s="15"/>
      <c r="K371" s="15"/>
      <c r="L371" s="15"/>
      <c r="M371" s="15"/>
      <c r="N371" s="40"/>
      <c r="O371" s="15"/>
      <c r="P371" s="26"/>
      <c r="Q371" s="15"/>
      <c r="R371" s="15"/>
      <c r="S371" s="15"/>
      <c r="T371" s="15"/>
      <c r="U371" s="15"/>
      <c r="V371" s="95"/>
      <c r="W371" s="95"/>
      <c r="X371" s="15"/>
      <c r="Y371" s="15"/>
      <c r="Z371" s="15" t="str">
        <f t="shared" si="11"/>
        <v/>
      </c>
      <c r="AA371" s="15"/>
      <c r="AB371" s="15" t="str">
        <f t="shared" si="12"/>
        <v/>
      </c>
      <c r="AC371" s="15"/>
      <c r="AD371" s="15"/>
      <c r="AE371" s="15"/>
      <c r="AF371" s="15"/>
      <c r="AG371" s="15"/>
      <c r="AH371" s="15"/>
      <c r="AI371" s="15"/>
      <c r="AJ371" s="15"/>
      <c r="AK371" s="95"/>
      <c r="AL371" s="95"/>
      <c r="AM371" s="93"/>
      <c r="AN371" s="3"/>
      <c r="AP371" s="28"/>
      <c r="AQ371" s="29"/>
    </row>
    <row r="372" spans="1:43" ht="26.85" customHeight="1" x14ac:dyDescent="0.45">
      <c r="A372" s="15"/>
      <c r="B372" s="15"/>
      <c r="C372" s="15"/>
      <c r="D372" s="95"/>
      <c r="E372" s="95"/>
      <c r="F372" s="15"/>
      <c r="G372" s="95"/>
      <c r="H372" s="15"/>
      <c r="I372" s="15" t="str">
        <f>IF($H372&lt;&gt;"",(VLOOKUP(H372,'Other Lists'!O:P,2,FALSE)),"")</f>
        <v/>
      </c>
      <c r="J372" s="15"/>
      <c r="K372" s="15"/>
      <c r="L372" s="15"/>
      <c r="M372" s="15"/>
      <c r="N372" s="40"/>
      <c r="O372" s="15"/>
      <c r="P372" s="26"/>
      <c r="Q372" s="15"/>
      <c r="R372" s="15"/>
      <c r="S372" s="15"/>
      <c r="T372" s="15"/>
      <c r="U372" s="15"/>
      <c r="V372" s="95"/>
      <c r="W372" s="95"/>
      <c r="X372" s="15"/>
      <c r="Y372" s="15"/>
      <c r="Z372" s="15" t="str">
        <f t="shared" si="11"/>
        <v/>
      </c>
      <c r="AA372" s="15"/>
      <c r="AB372" s="15" t="str">
        <f t="shared" si="12"/>
        <v/>
      </c>
      <c r="AC372" s="15"/>
      <c r="AD372" s="15"/>
      <c r="AE372" s="15"/>
      <c r="AF372" s="15"/>
      <c r="AG372" s="15"/>
      <c r="AH372" s="15"/>
      <c r="AI372" s="15"/>
      <c r="AJ372" s="15"/>
      <c r="AK372" s="95"/>
      <c r="AL372" s="95"/>
      <c r="AM372" s="93"/>
      <c r="AN372" s="3"/>
      <c r="AP372" s="28"/>
      <c r="AQ372" s="29"/>
    </row>
    <row r="373" spans="1:43" ht="26.85" customHeight="1" x14ac:dyDescent="0.45">
      <c r="A373" s="15"/>
      <c r="B373" s="15"/>
      <c r="C373" s="15"/>
      <c r="D373" s="95"/>
      <c r="E373" s="95"/>
      <c r="F373" s="15"/>
      <c r="G373" s="95"/>
      <c r="H373" s="15"/>
      <c r="I373" s="15" t="str">
        <f>IF($H373&lt;&gt;"",(VLOOKUP(H373,'Other Lists'!O:P,2,FALSE)),"")</f>
        <v/>
      </c>
      <c r="J373" s="15"/>
      <c r="K373" s="15"/>
      <c r="L373" s="15"/>
      <c r="M373" s="15"/>
      <c r="N373" s="40"/>
      <c r="O373" s="15"/>
      <c r="P373" s="26"/>
      <c r="Q373" s="15"/>
      <c r="R373" s="15"/>
      <c r="S373" s="15"/>
      <c r="T373" s="15"/>
      <c r="U373" s="15"/>
      <c r="V373" s="95"/>
      <c r="W373" s="95"/>
      <c r="X373" s="15"/>
      <c r="Y373" s="15"/>
      <c r="Z373" s="15" t="str">
        <f t="shared" si="11"/>
        <v/>
      </c>
      <c r="AA373" s="15"/>
      <c r="AB373" s="15" t="str">
        <f t="shared" ref="AB373:AB436" si="13">(SUBSTITUTE(SUBSTITUTE(SUBSTITUTE(SUBSTITUTE(SUBSTITUTE(SUBSTITUTE($AA373,",","_")," ","_"),"/","_"),"(","_"),")",""),"_","_"))</f>
        <v/>
      </c>
      <c r="AC373" s="15"/>
      <c r="AD373" s="15"/>
      <c r="AE373" s="15"/>
      <c r="AF373" s="15"/>
      <c r="AG373" s="15"/>
      <c r="AH373" s="15"/>
      <c r="AI373" s="15"/>
      <c r="AJ373" s="15"/>
      <c r="AK373" s="95"/>
      <c r="AL373" s="95"/>
      <c r="AM373" s="93"/>
      <c r="AN373" s="3"/>
      <c r="AP373" s="28"/>
      <c r="AQ373" s="29"/>
    </row>
    <row r="374" spans="1:43" ht="26.85" customHeight="1" x14ac:dyDescent="0.45">
      <c r="A374" s="15"/>
      <c r="B374" s="15"/>
      <c r="C374" s="15"/>
      <c r="D374" s="95"/>
      <c r="E374" s="95"/>
      <c r="F374" s="15"/>
      <c r="G374" s="95"/>
      <c r="H374" s="15"/>
      <c r="I374" s="15" t="str">
        <f>IF($H374&lt;&gt;"",(VLOOKUP(H374,'Other Lists'!O:P,2,FALSE)),"")</f>
        <v/>
      </c>
      <c r="J374" s="15"/>
      <c r="K374" s="15"/>
      <c r="L374" s="15"/>
      <c r="M374" s="15"/>
      <c r="N374" s="40"/>
      <c r="O374" s="15"/>
      <c r="P374" s="26"/>
      <c r="Q374" s="15"/>
      <c r="R374" s="15"/>
      <c r="S374" s="15"/>
      <c r="T374" s="15"/>
      <c r="U374" s="15"/>
      <c r="V374" s="95"/>
      <c r="W374" s="95"/>
      <c r="X374" s="15"/>
      <c r="Y374" s="15"/>
      <c r="Z374" s="15" t="str">
        <f t="shared" si="11"/>
        <v/>
      </c>
      <c r="AA374" s="15"/>
      <c r="AB374" s="15" t="str">
        <f t="shared" si="13"/>
        <v/>
      </c>
      <c r="AC374" s="15"/>
      <c r="AD374" s="15"/>
      <c r="AE374" s="15"/>
      <c r="AF374" s="15"/>
      <c r="AG374" s="15"/>
      <c r="AH374" s="15"/>
      <c r="AI374" s="15"/>
      <c r="AJ374" s="15"/>
      <c r="AK374" s="95"/>
      <c r="AL374" s="95"/>
      <c r="AM374" s="93"/>
      <c r="AN374" s="3"/>
      <c r="AP374" s="28"/>
      <c r="AQ374" s="29"/>
    </row>
    <row r="375" spans="1:43" ht="26.85" customHeight="1" x14ac:dyDescent="0.45">
      <c r="A375" s="15"/>
      <c r="B375" s="15"/>
      <c r="C375" s="15"/>
      <c r="D375" s="95"/>
      <c r="E375" s="95"/>
      <c r="F375" s="15"/>
      <c r="G375" s="95"/>
      <c r="H375" s="15"/>
      <c r="I375" s="15" t="str">
        <f>IF($H375&lt;&gt;"",(VLOOKUP(H375,'Other Lists'!O:P,2,FALSE)),"")</f>
        <v/>
      </c>
      <c r="J375" s="15"/>
      <c r="K375" s="15"/>
      <c r="L375" s="15"/>
      <c r="M375" s="15"/>
      <c r="N375" s="40"/>
      <c r="O375" s="15"/>
      <c r="P375" s="26"/>
      <c r="Q375" s="15"/>
      <c r="R375" s="15"/>
      <c r="S375" s="15"/>
      <c r="T375" s="15"/>
      <c r="U375" s="15"/>
      <c r="V375" s="95"/>
      <c r="W375" s="95"/>
      <c r="X375" s="15"/>
      <c r="Y375" s="15"/>
      <c r="Z375" s="15" t="str">
        <f t="shared" ref="Z375:Z436" si="14">(SUBSTITUTE(SUBSTITUTE(SUBSTITUTE(SUBSTITUTE(SUBSTITUTE(SUBSTITUTE($Y375,",","_")," ","_"),"/","_"),"(","_"),")",""),"-","_"))</f>
        <v/>
      </c>
      <c r="AA375" s="15"/>
      <c r="AB375" s="15" t="str">
        <f t="shared" si="13"/>
        <v/>
      </c>
      <c r="AC375" s="15"/>
      <c r="AD375" s="15"/>
      <c r="AE375" s="15"/>
      <c r="AF375" s="15"/>
      <c r="AG375" s="15"/>
      <c r="AH375" s="15"/>
      <c r="AI375" s="15"/>
      <c r="AJ375" s="15"/>
      <c r="AK375" s="95"/>
      <c r="AL375" s="95"/>
      <c r="AM375" s="93"/>
      <c r="AN375" s="3"/>
      <c r="AP375" s="28"/>
      <c r="AQ375" s="29"/>
    </row>
    <row r="376" spans="1:43" ht="26.85" customHeight="1" x14ac:dyDescent="0.45">
      <c r="A376" s="15"/>
      <c r="B376" s="15"/>
      <c r="C376" s="15"/>
      <c r="D376" s="95"/>
      <c r="E376" s="95"/>
      <c r="F376" s="15"/>
      <c r="G376" s="95"/>
      <c r="H376" s="15"/>
      <c r="I376" s="15" t="str">
        <f>IF($H376&lt;&gt;"",(VLOOKUP(H376,'Other Lists'!O:P,2,FALSE)),"")</f>
        <v/>
      </c>
      <c r="J376" s="15"/>
      <c r="K376" s="15"/>
      <c r="L376" s="15"/>
      <c r="M376" s="15"/>
      <c r="N376" s="40"/>
      <c r="O376" s="15"/>
      <c r="P376" s="26"/>
      <c r="Q376" s="15"/>
      <c r="R376" s="15"/>
      <c r="S376" s="15"/>
      <c r="T376" s="15"/>
      <c r="U376" s="15"/>
      <c r="V376" s="95"/>
      <c r="W376" s="95"/>
      <c r="X376" s="15"/>
      <c r="Y376" s="15"/>
      <c r="Z376" s="15" t="str">
        <f t="shared" si="11"/>
        <v/>
      </c>
      <c r="AA376" s="15"/>
      <c r="AB376" s="15" t="str">
        <f t="shared" si="13"/>
        <v/>
      </c>
      <c r="AC376" s="15"/>
      <c r="AD376" s="15"/>
      <c r="AE376" s="15"/>
      <c r="AF376" s="15"/>
      <c r="AG376" s="15"/>
      <c r="AH376" s="15"/>
      <c r="AI376" s="15"/>
      <c r="AJ376" s="15"/>
      <c r="AK376" s="95"/>
      <c r="AL376" s="95"/>
      <c r="AM376" s="93"/>
      <c r="AN376" s="3"/>
      <c r="AP376" s="28"/>
      <c r="AQ376" s="29"/>
    </row>
    <row r="377" spans="1:43" ht="26.85" customHeight="1" x14ac:dyDescent="0.45">
      <c r="A377" s="15"/>
      <c r="B377" s="15"/>
      <c r="C377" s="15"/>
      <c r="D377" s="95"/>
      <c r="E377" s="95"/>
      <c r="F377" s="15"/>
      <c r="G377" s="95"/>
      <c r="H377" s="15"/>
      <c r="I377" s="15" t="str">
        <f>IF($H377&lt;&gt;"",(VLOOKUP(H377,'Other Lists'!O:P,2,FALSE)),"")</f>
        <v/>
      </c>
      <c r="J377" s="15"/>
      <c r="K377" s="15"/>
      <c r="L377" s="15"/>
      <c r="M377" s="15"/>
      <c r="N377" s="40"/>
      <c r="O377" s="15"/>
      <c r="P377" s="26"/>
      <c r="Q377" s="15"/>
      <c r="R377" s="15"/>
      <c r="S377" s="15"/>
      <c r="T377" s="15"/>
      <c r="U377" s="15"/>
      <c r="V377" s="95"/>
      <c r="W377" s="95"/>
      <c r="X377" s="15"/>
      <c r="Y377" s="15"/>
      <c r="Z377" s="15" t="str">
        <f t="shared" si="14"/>
        <v/>
      </c>
      <c r="AA377" s="15"/>
      <c r="AB377" s="15" t="str">
        <f t="shared" si="13"/>
        <v/>
      </c>
      <c r="AC377" s="15"/>
      <c r="AD377" s="15"/>
      <c r="AE377" s="15"/>
      <c r="AF377" s="15"/>
      <c r="AG377" s="15"/>
      <c r="AH377" s="15"/>
      <c r="AI377" s="15"/>
      <c r="AJ377" s="15"/>
      <c r="AK377" s="95"/>
      <c r="AL377" s="95"/>
      <c r="AM377" s="93"/>
      <c r="AN377" s="3"/>
      <c r="AP377" s="28"/>
      <c r="AQ377" s="29"/>
    </row>
    <row r="378" spans="1:43" ht="26.85" customHeight="1" x14ac:dyDescent="0.45">
      <c r="A378" s="15"/>
      <c r="B378" s="15"/>
      <c r="C378" s="15"/>
      <c r="D378" s="95"/>
      <c r="E378" s="95"/>
      <c r="F378" s="15"/>
      <c r="G378" s="95"/>
      <c r="H378" s="15"/>
      <c r="I378" s="15" t="str">
        <f>IF($H378&lt;&gt;"",(VLOOKUP(H378,'Other Lists'!O:P,2,FALSE)),"")</f>
        <v/>
      </c>
      <c r="J378" s="15"/>
      <c r="K378" s="15"/>
      <c r="L378" s="15"/>
      <c r="M378" s="15"/>
      <c r="N378" s="40"/>
      <c r="O378" s="15"/>
      <c r="P378" s="26"/>
      <c r="Q378" s="15"/>
      <c r="R378" s="15"/>
      <c r="S378" s="15"/>
      <c r="T378" s="15"/>
      <c r="U378" s="15"/>
      <c r="V378" s="95"/>
      <c r="W378" s="95"/>
      <c r="X378" s="15"/>
      <c r="Y378" s="15"/>
      <c r="Z378" s="15" t="str">
        <f t="shared" si="14"/>
        <v/>
      </c>
      <c r="AA378" s="15"/>
      <c r="AB378" s="15" t="str">
        <f t="shared" si="13"/>
        <v/>
      </c>
      <c r="AC378" s="15"/>
      <c r="AD378" s="15"/>
      <c r="AE378" s="15"/>
      <c r="AF378" s="15"/>
      <c r="AG378" s="15"/>
      <c r="AH378" s="15"/>
      <c r="AI378" s="15"/>
      <c r="AJ378" s="15"/>
      <c r="AK378" s="95"/>
      <c r="AL378" s="95"/>
      <c r="AM378" s="93"/>
      <c r="AN378" s="3"/>
      <c r="AP378" s="28"/>
      <c r="AQ378" s="29"/>
    </row>
    <row r="379" spans="1:43" ht="26.85" customHeight="1" x14ac:dyDescent="0.45">
      <c r="A379" s="15"/>
      <c r="B379" s="15"/>
      <c r="C379" s="15"/>
      <c r="D379" s="95"/>
      <c r="E379" s="95"/>
      <c r="F379" s="15"/>
      <c r="G379" s="95"/>
      <c r="H379" s="15"/>
      <c r="I379" s="15" t="str">
        <f>IF($H379&lt;&gt;"",(VLOOKUP(H379,'Other Lists'!O:P,2,FALSE)),"")</f>
        <v/>
      </c>
      <c r="J379" s="15"/>
      <c r="K379" s="15"/>
      <c r="L379" s="15"/>
      <c r="M379" s="15"/>
      <c r="N379" s="40"/>
      <c r="O379" s="15"/>
      <c r="P379" s="26"/>
      <c r="Q379" s="15"/>
      <c r="R379" s="15"/>
      <c r="S379" s="15"/>
      <c r="T379" s="15"/>
      <c r="U379" s="15"/>
      <c r="V379" s="95"/>
      <c r="W379" s="95"/>
      <c r="X379" s="15"/>
      <c r="Y379" s="15"/>
      <c r="Z379" s="15" t="str">
        <f t="shared" si="14"/>
        <v/>
      </c>
      <c r="AA379" s="15"/>
      <c r="AB379" s="15" t="str">
        <f t="shared" si="13"/>
        <v/>
      </c>
      <c r="AC379" s="15"/>
      <c r="AD379" s="15"/>
      <c r="AE379" s="15"/>
      <c r="AF379" s="15"/>
      <c r="AG379" s="15"/>
      <c r="AH379" s="15"/>
      <c r="AI379" s="15"/>
      <c r="AJ379" s="15"/>
      <c r="AK379" s="95"/>
      <c r="AL379" s="95"/>
      <c r="AM379" s="93"/>
      <c r="AN379" s="3"/>
      <c r="AP379" s="28"/>
      <c r="AQ379" s="29"/>
    </row>
    <row r="380" spans="1:43" ht="26.85" customHeight="1" x14ac:dyDescent="0.45">
      <c r="A380" s="15"/>
      <c r="B380" s="15"/>
      <c r="C380" s="15"/>
      <c r="D380" s="95"/>
      <c r="E380" s="95"/>
      <c r="F380" s="15"/>
      <c r="G380" s="95"/>
      <c r="H380" s="15"/>
      <c r="I380" s="15" t="str">
        <f>IF($H380&lt;&gt;"",(VLOOKUP(H380,'Other Lists'!O:P,2,FALSE)),"")</f>
        <v/>
      </c>
      <c r="J380" s="15"/>
      <c r="K380" s="15"/>
      <c r="L380" s="15"/>
      <c r="M380" s="15"/>
      <c r="N380" s="40"/>
      <c r="O380" s="15"/>
      <c r="P380" s="26"/>
      <c r="Q380" s="15"/>
      <c r="R380" s="15"/>
      <c r="S380" s="15"/>
      <c r="T380" s="15"/>
      <c r="U380" s="15"/>
      <c r="V380" s="95"/>
      <c r="W380" s="95"/>
      <c r="X380" s="15"/>
      <c r="Y380" s="15"/>
      <c r="Z380" s="15" t="str">
        <f t="shared" si="14"/>
        <v/>
      </c>
      <c r="AA380" s="15"/>
      <c r="AB380" s="15" t="str">
        <f t="shared" si="13"/>
        <v/>
      </c>
      <c r="AC380" s="15"/>
      <c r="AD380" s="15"/>
      <c r="AE380" s="15"/>
      <c r="AF380" s="15"/>
      <c r="AG380" s="15"/>
      <c r="AH380" s="15"/>
      <c r="AI380" s="15"/>
      <c r="AJ380" s="15"/>
      <c r="AK380" s="95"/>
      <c r="AL380" s="95"/>
      <c r="AM380" s="93"/>
      <c r="AN380" s="3"/>
      <c r="AP380" s="28"/>
      <c r="AQ380" s="29"/>
    </row>
    <row r="381" spans="1:43" ht="26.85" customHeight="1" x14ac:dyDescent="0.45">
      <c r="A381" s="15"/>
      <c r="B381" s="15"/>
      <c r="C381" s="15"/>
      <c r="D381" s="95"/>
      <c r="E381" s="95"/>
      <c r="F381" s="15"/>
      <c r="G381" s="95"/>
      <c r="H381" s="15"/>
      <c r="I381" s="15" t="str">
        <f>IF($H381&lt;&gt;"",(VLOOKUP(H381,'Other Lists'!O:P,2,FALSE)),"")</f>
        <v/>
      </c>
      <c r="J381" s="15"/>
      <c r="K381" s="15"/>
      <c r="L381" s="15"/>
      <c r="M381" s="15"/>
      <c r="N381" s="40"/>
      <c r="O381" s="15"/>
      <c r="P381" s="26"/>
      <c r="Q381" s="15"/>
      <c r="R381" s="15"/>
      <c r="S381" s="15"/>
      <c r="T381" s="15"/>
      <c r="U381" s="15"/>
      <c r="V381" s="95"/>
      <c r="W381" s="95"/>
      <c r="X381" s="15"/>
      <c r="Y381" s="15"/>
      <c r="Z381" s="15" t="str">
        <f t="shared" si="14"/>
        <v/>
      </c>
      <c r="AA381" s="15"/>
      <c r="AB381" s="15" t="str">
        <f t="shared" si="13"/>
        <v/>
      </c>
      <c r="AC381" s="15"/>
      <c r="AD381" s="15"/>
      <c r="AE381" s="15"/>
      <c r="AF381" s="15"/>
      <c r="AG381" s="15"/>
      <c r="AH381" s="15"/>
      <c r="AI381" s="15"/>
      <c r="AJ381" s="15"/>
      <c r="AK381" s="95"/>
      <c r="AL381" s="95"/>
      <c r="AM381" s="93"/>
      <c r="AN381" s="3"/>
      <c r="AP381" s="28"/>
      <c r="AQ381" s="29"/>
    </row>
    <row r="382" spans="1:43" ht="26.85" customHeight="1" x14ac:dyDescent="0.45">
      <c r="A382" s="15"/>
      <c r="B382" s="15"/>
      <c r="C382" s="15"/>
      <c r="D382" s="95"/>
      <c r="E382" s="95"/>
      <c r="F382" s="15"/>
      <c r="G382" s="95"/>
      <c r="H382" s="15"/>
      <c r="I382" s="15" t="str">
        <f>IF($H382&lt;&gt;"",(VLOOKUP(H382,'Other Lists'!O:P,2,FALSE)),"")</f>
        <v/>
      </c>
      <c r="J382" s="15"/>
      <c r="K382" s="15"/>
      <c r="L382" s="15"/>
      <c r="M382" s="15"/>
      <c r="N382" s="40"/>
      <c r="O382" s="15"/>
      <c r="P382" s="26"/>
      <c r="Q382" s="15"/>
      <c r="R382" s="15"/>
      <c r="S382" s="15"/>
      <c r="T382" s="15"/>
      <c r="U382" s="15"/>
      <c r="V382" s="95"/>
      <c r="W382" s="95"/>
      <c r="X382" s="15"/>
      <c r="Y382" s="15"/>
      <c r="Z382" s="15" t="str">
        <f t="shared" si="14"/>
        <v/>
      </c>
      <c r="AA382" s="15"/>
      <c r="AB382" s="15" t="str">
        <f t="shared" si="13"/>
        <v/>
      </c>
      <c r="AC382" s="15"/>
      <c r="AD382" s="15"/>
      <c r="AE382" s="15"/>
      <c r="AF382" s="15"/>
      <c r="AG382" s="15"/>
      <c r="AH382" s="15"/>
      <c r="AI382" s="15"/>
      <c r="AJ382" s="15"/>
      <c r="AK382" s="95"/>
      <c r="AL382" s="95"/>
      <c r="AM382" s="93"/>
      <c r="AN382" s="3"/>
      <c r="AP382" s="28"/>
      <c r="AQ382" s="29"/>
    </row>
    <row r="383" spans="1:43" ht="26.85" customHeight="1" x14ac:dyDescent="0.45">
      <c r="A383" s="15"/>
      <c r="B383" s="15"/>
      <c r="C383" s="15"/>
      <c r="D383" s="95"/>
      <c r="E383" s="95"/>
      <c r="F383" s="15"/>
      <c r="G383" s="95"/>
      <c r="H383" s="15"/>
      <c r="I383" s="15" t="str">
        <f>IF($H383&lt;&gt;"",(VLOOKUP(H383,'Other Lists'!O:P,2,FALSE)),"")</f>
        <v/>
      </c>
      <c r="J383" s="15"/>
      <c r="K383" s="15"/>
      <c r="L383" s="15"/>
      <c r="M383" s="15"/>
      <c r="N383" s="40"/>
      <c r="O383" s="15"/>
      <c r="P383" s="26"/>
      <c r="Q383" s="15"/>
      <c r="R383" s="15"/>
      <c r="S383" s="15"/>
      <c r="T383" s="15"/>
      <c r="U383" s="15"/>
      <c r="V383" s="95"/>
      <c r="W383" s="95"/>
      <c r="X383" s="15"/>
      <c r="Y383" s="15"/>
      <c r="Z383" s="15" t="str">
        <f t="shared" si="14"/>
        <v/>
      </c>
      <c r="AA383" s="15"/>
      <c r="AB383" s="15" t="str">
        <f t="shared" si="13"/>
        <v/>
      </c>
      <c r="AC383" s="15"/>
      <c r="AD383" s="15"/>
      <c r="AE383" s="15"/>
      <c r="AF383" s="15"/>
      <c r="AG383" s="15"/>
      <c r="AH383" s="15"/>
      <c r="AI383" s="15"/>
      <c r="AJ383" s="15"/>
      <c r="AK383" s="95"/>
      <c r="AL383" s="95"/>
      <c r="AM383" s="93"/>
      <c r="AN383" s="3"/>
      <c r="AP383" s="28"/>
      <c r="AQ383" s="29"/>
    </row>
    <row r="384" spans="1:43" ht="26.85" customHeight="1" x14ac:dyDescent="0.45">
      <c r="A384" s="15"/>
      <c r="B384" s="15"/>
      <c r="C384" s="15"/>
      <c r="D384" s="95"/>
      <c r="E384" s="95"/>
      <c r="F384" s="15"/>
      <c r="G384" s="95"/>
      <c r="H384" s="15"/>
      <c r="I384" s="15" t="str">
        <f>IF($H384&lt;&gt;"",(VLOOKUP(H384,'Other Lists'!O:P,2,FALSE)),"")</f>
        <v/>
      </c>
      <c r="J384" s="15"/>
      <c r="K384" s="15"/>
      <c r="L384" s="15"/>
      <c r="M384" s="15"/>
      <c r="N384" s="40"/>
      <c r="O384" s="15"/>
      <c r="P384" s="26"/>
      <c r="Q384" s="15"/>
      <c r="R384" s="15"/>
      <c r="S384" s="15"/>
      <c r="T384" s="15"/>
      <c r="U384" s="15"/>
      <c r="V384" s="95"/>
      <c r="W384" s="95"/>
      <c r="X384" s="15"/>
      <c r="Y384" s="15"/>
      <c r="Z384" s="15" t="str">
        <f t="shared" si="14"/>
        <v/>
      </c>
      <c r="AA384" s="15"/>
      <c r="AB384" s="15" t="str">
        <f t="shared" si="13"/>
        <v/>
      </c>
      <c r="AC384" s="15"/>
      <c r="AD384" s="15"/>
      <c r="AE384" s="15"/>
      <c r="AF384" s="15"/>
      <c r="AG384" s="15"/>
      <c r="AH384" s="15"/>
      <c r="AI384" s="15"/>
      <c r="AJ384" s="15"/>
      <c r="AK384" s="95"/>
      <c r="AL384" s="95"/>
      <c r="AM384" s="93"/>
      <c r="AN384" s="3"/>
      <c r="AP384" s="28"/>
      <c r="AQ384" s="29"/>
    </row>
    <row r="385" spans="1:43" ht="26.85" customHeight="1" x14ac:dyDescent="0.45">
      <c r="A385" s="15"/>
      <c r="B385" s="15"/>
      <c r="C385" s="15"/>
      <c r="D385" s="95"/>
      <c r="E385" s="95"/>
      <c r="F385" s="15"/>
      <c r="G385" s="95"/>
      <c r="H385" s="15"/>
      <c r="I385" s="15" t="str">
        <f>IF($H385&lt;&gt;"",(VLOOKUP(H385,'Other Lists'!O:P,2,FALSE)),"")</f>
        <v/>
      </c>
      <c r="J385" s="15"/>
      <c r="K385" s="15"/>
      <c r="L385" s="15"/>
      <c r="M385" s="15"/>
      <c r="N385" s="40"/>
      <c r="O385" s="15"/>
      <c r="P385" s="26"/>
      <c r="Q385" s="15"/>
      <c r="R385" s="15"/>
      <c r="S385" s="15"/>
      <c r="T385" s="15"/>
      <c r="U385" s="15"/>
      <c r="V385" s="95"/>
      <c r="W385" s="95"/>
      <c r="X385" s="15"/>
      <c r="Y385" s="15"/>
      <c r="Z385" s="15" t="str">
        <f t="shared" si="14"/>
        <v/>
      </c>
      <c r="AA385" s="15"/>
      <c r="AB385" s="15" t="str">
        <f t="shared" si="13"/>
        <v/>
      </c>
      <c r="AC385" s="15"/>
      <c r="AD385" s="15"/>
      <c r="AE385" s="15"/>
      <c r="AF385" s="15"/>
      <c r="AG385" s="15"/>
      <c r="AH385" s="15"/>
      <c r="AI385" s="15"/>
      <c r="AJ385" s="15"/>
      <c r="AK385" s="95"/>
      <c r="AL385" s="95"/>
      <c r="AM385" s="93"/>
      <c r="AN385" s="3"/>
      <c r="AP385" s="28"/>
      <c r="AQ385" s="29"/>
    </row>
    <row r="386" spans="1:43" ht="26.85" customHeight="1" x14ac:dyDescent="0.45">
      <c r="A386" s="15"/>
      <c r="B386" s="15"/>
      <c r="C386" s="15"/>
      <c r="D386" s="95"/>
      <c r="E386" s="95"/>
      <c r="F386" s="15"/>
      <c r="G386" s="95"/>
      <c r="H386" s="15"/>
      <c r="I386" s="15" t="str">
        <f>IF($H386&lt;&gt;"",(VLOOKUP(H386,'Other Lists'!O:P,2,FALSE)),"")</f>
        <v/>
      </c>
      <c r="J386" s="15"/>
      <c r="K386" s="15"/>
      <c r="L386" s="15"/>
      <c r="M386" s="15"/>
      <c r="N386" s="40"/>
      <c r="O386" s="15"/>
      <c r="P386" s="26"/>
      <c r="Q386" s="15"/>
      <c r="R386" s="15"/>
      <c r="S386" s="15"/>
      <c r="T386" s="15"/>
      <c r="U386" s="15"/>
      <c r="V386" s="95"/>
      <c r="W386" s="95"/>
      <c r="X386" s="15"/>
      <c r="Y386" s="15"/>
      <c r="Z386" s="15" t="str">
        <f t="shared" si="14"/>
        <v/>
      </c>
      <c r="AA386" s="15"/>
      <c r="AB386" s="15" t="str">
        <f t="shared" si="13"/>
        <v/>
      </c>
      <c r="AC386" s="15"/>
      <c r="AD386" s="15"/>
      <c r="AE386" s="15"/>
      <c r="AF386" s="15"/>
      <c r="AG386" s="15"/>
      <c r="AH386" s="15"/>
      <c r="AI386" s="15"/>
      <c r="AJ386" s="15"/>
      <c r="AK386" s="95"/>
      <c r="AL386" s="95"/>
      <c r="AM386" s="93"/>
      <c r="AN386" s="3"/>
      <c r="AP386" s="28"/>
      <c r="AQ386" s="29"/>
    </row>
    <row r="387" spans="1:43" ht="26.85" customHeight="1" x14ac:dyDescent="0.45">
      <c r="A387" s="15"/>
      <c r="B387" s="15"/>
      <c r="C387" s="15"/>
      <c r="D387" s="95"/>
      <c r="E387" s="95"/>
      <c r="F387" s="15"/>
      <c r="G387" s="95"/>
      <c r="H387" s="15"/>
      <c r="I387" s="15" t="str">
        <f>IF($H387&lt;&gt;"",(VLOOKUP(H387,'Other Lists'!O:P,2,FALSE)),"")</f>
        <v/>
      </c>
      <c r="J387" s="15"/>
      <c r="K387" s="15"/>
      <c r="L387" s="15"/>
      <c r="M387" s="15"/>
      <c r="N387" s="40"/>
      <c r="O387" s="15"/>
      <c r="P387" s="26"/>
      <c r="Q387" s="15"/>
      <c r="R387" s="15"/>
      <c r="S387" s="15"/>
      <c r="T387" s="15"/>
      <c r="U387" s="15"/>
      <c r="V387" s="95"/>
      <c r="W387" s="95"/>
      <c r="X387" s="15"/>
      <c r="Y387" s="15"/>
      <c r="Z387" s="15" t="str">
        <f t="shared" si="14"/>
        <v/>
      </c>
      <c r="AA387" s="15"/>
      <c r="AB387" s="15" t="str">
        <f t="shared" si="13"/>
        <v/>
      </c>
      <c r="AC387" s="15"/>
      <c r="AD387" s="15"/>
      <c r="AE387" s="15"/>
      <c r="AF387" s="15"/>
      <c r="AG387" s="15"/>
      <c r="AH387" s="15"/>
      <c r="AI387" s="15"/>
      <c r="AJ387" s="15"/>
      <c r="AK387" s="95"/>
      <c r="AL387" s="95"/>
      <c r="AM387" s="93"/>
      <c r="AN387" s="3"/>
      <c r="AP387" s="28"/>
      <c r="AQ387" s="29"/>
    </row>
    <row r="388" spans="1:43" ht="26.85" customHeight="1" x14ac:dyDescent="0.45">
      <c r="A388" s="15"/>
      <c r="B388" s="15"/>
      <c r="C388" s="15"/>
      <c r="D388" s="95"/>
      <c r="E388" s="95"/>
      <c r="F388" s="15"/>
      <c r="G388" s="95"/>
      <c r="H388" s="15"/>
      <c r="I388" s="15" t="str">
        <f>IF($H388&lt;&gt;"",(VLOOKUP(H388,'Other Lists'!O:P,2,FALSE)),"")</f>
        <v/>
      </c>
      <c r="J388" s="15"/>
      <c r="K388" s="15"/>
      <c r="L388" s="15"/>
      <c r="M388" s="15"/>
      <c r="N388" s="40"/>
      <c r="O388" s="15"/>
      <c r="P388" s="26"/>
      <c r="Q388" s="15"/>
      <c r="R388" s="15"/>
      <c r="S388" s="15"/>
      <c r="T388" s="15"/>
      <c r="U388" s="15"/>
      <c r="V388" s="95"/>
      <c r="W388" s="95"/>
      <c r="X388" s="15"/>
      <c r="Y388" s="15"/>
      <c r="Z388" s="15" t="str">
        <f t="shared" si="14"/>
        <v/>
      </c>
      <c r="AA388" s="15"/>
      <c r="AB388" s="15" t="str">
        <f t="shared" si="13"/>
        <v/>
      </c>
      <c r="AC388" s="15"/>
      <c r="AD388" s="15"/>
      <c r="AE388" s="15"/>
      <c r="AF388" s="15"/>
      <c r="AG388" s="15"/>
      <c r="AH388" s="15"/>
      <c r="AI388" s="15"/>
      <c r="AJ388" s="15"/>
      <c r="AK388" s="95"/>
      <c r="AL388" s="95"/>
      <c r="AM388" s="93"/>
      <c r="AN388" s="3"/>
      <c r="AP388" s="28"/>
      <c r="AQ388" s="29"/>
    </row>
    <row r="389" spans="1:43" ht="26.85" customHeight="1" x14ac:dyDescent="0.45">
      <c r="A389" s="15"/>
      <c r="B389" s="15"/>
      <c r="C389" s="15"/>
      <c r="D389" s="95"/>
      <c r="E389" s="95"/>
      <c r="F389" s="15"/>
      <c r="G389" s="95"/>
      <c r="H389" s="15"/>
      <c r="I389" s="15" t="str">
        <f>IF($H389&lt;&gt;"",(VLOOKUP(H389,'Other Lists'!O:P,2,FALSE)),"")</f>
        <v/>
      </c>
      <c r="J389" s="15"/>
      <c r="K389" s="15"/>
      <c r="L389" s="15"/>
      <c r="M389" s="15"/>
      <c r="N389" s="40"/>
      <c r="O389" s="15"/>
      <c r="P389" s="26"/>
      <c r="Q389" s="15"/>
      <c r="R389" s="15"/>
      <c r="S389" s="15"/>
      <c r="T389" s="15"/>
      <c r="U389" s="15"/>
      <c r="V389" s="95"/>
      <c r="W389" s="95"/>
      <c r="X389" s="15"/>
      <c r="Y389" s="15"/>
      <c r="Z389" s="15" t="str">
        <f t="shared" si="14"/>
        <v/>
      </c>
      <c r="AA389" s="15"/>
      <c r="AB389" s="15" t="str">
        <f t="shared" si="13"/>
        <v/>
      </c>
      <c r="AC389" s="15"/>
      <c r="AD389" s="15"/>
      <c r="AE389" s="15"/>
      <c r="AF389" s="15"/>
      <c r="AG389" s="15"/>
      <c r="AH389" s="15"/>
      <c r="AI389" s="15"/>
      <c r="AJ389" s="15"/>
      <c r="AK389" s="95"/>
      <c r="AL389" s="95"/>
      <c r="AM389" s="93"/>
      <c r="AN389" s="3"/>
      <c r="AP389" s="28"/>
      <c r="AQ389" s="29"/>
    </row>
    <row r="390" spans="1:43" ht="26.85" customHeight="1" x14ac:dyDescent="0.45">
      <c r="A390" s="15"/>
      <c r="B390" s="15"/>
      <c r="C390" s="15"/>
      <c r="D390" s="95"/>
      <c r="E390" s="95"/>
      <c r="F390" s="15"/>
      <c r="G390" s="95"/>
      <c r="H390" s="15"/>
      <c r="I390" s="15" t="str">
        <f>IF($H390&lt;&gt;"",(VLOOKUP(H390,'Other Lists'!O:P,2,FALSE)),"")</f>
        <v/>
      </c>
      <c r="J390" s="15"/>
      <c r="K390" s="15"/>
      <c r="L390" s="15"/>
      <c r="M390" s="15"/>
      <c r="N390" s="40"/>
      <c r="O390" s="15"/>
      <c r="P390" s="26"/>
      <c r="Q390" s="15"/>
      <c r="R390" s="15"/>
      <c r="S390" s="15"/>
      <c r="T390" s="15"/>
      <c r="U390" s="15"/>
      <c r="V390" s="95"/>
      <c r="W390" s="95"/>
      <c r="X390" s="15"/>
      <c r="Y390" s="15"/>
      <c r="Z390" s="15" t="str">
        <f t="shared" si="14"/>
        <v/>
      </c>
      <c r="AA390" s="15"/>
      <c r="AB390" s="15" t="str">
        <f t="shared" si="13"/>
        <v/>
      </c>
      <c r="AC390" s="15"/>
      <c r="AD390" s="15"/>
      <c r="AE390" s="15"/>
      <c r="AF390" s="15"/>
      <c r="AG390" s="15"/>
      <c r="AH390" s="15"/>
      <c r="AI390" s="15"/>
      <c r="AJ390" s="15"/>
      <c r="AK390" s="95"/>
      <c r="AL390" s="95"/>
      <c r="AM390" s="93"/>
      <c r="AN390" s="3"/>
      <c r="AP390" s="28"/>
      <c r="AQ390" s="29"/>
    </row>
    <row r="391" spans="1:43" ht="26.85" customHeight="1" x14ac:dyDescent="0.45">
      <c r="A391" s="15"/>
      <c r="B391" s="15"/>
      <c r="C391" s="15"/>
      <c r="D391" s="95"/>
      <c r="E391" s="95"/>
      <c r="F391" s="15"/>
      <c r="G391" s="95"/>
      <c r="H391" s="15"/>
      <c r="I391" s="15" t="str">
        <f>IF($H391&lt;&gt;"",(VLOOKUP(H391,'Other Lists'!O:P,2,FALSE)),"")</f>
        <v/>
      </c>
      <c r="J391" s="15"/>
      <c r="K391" s="15"/>
      <c r="L391" s="15"/>
      <c r="M391" s="15"/>
      <c r="N391" s="40"/>
      <c r="O391" s="15"/>
      <c r="P391" s="26"/>
      <c r="Q391" s="15"/>
      <c r="R391" s="15"/>
      <c r="S391" s="15"/>
      <c r="T391" s="15"/>
      <c r="U391" s="15"/>
      <c r="V391" s="95"/>
      <c r="W391" s="95"/>
      <c r="X391" s="15"/>
      <c r="Y391" s="15"/>
      <c r="Z391" s="15" t="str">
        <f t="shared" si="14"/>
        <v/>
      </c>
      <c r="AA391" s="15"/>
      <c r="AB391" s="15" t="str">
        <f t="shared" si="13"/>
        <v/>
      </c>
      <c r="AC391" s="15"/>
      <c r="AD391" s="15"/>
      <c r="AE391" s="15"/>
      <c r="AF391" s="15"/>
      <c r="AG391" s="15"/>
      <c r="AH391" s="15"/>
      <c r="AI391" s="15"/>
      <c r="AJ391" s="15"/>
      <c r="AK391" s="95"/>
      <c r="AL391" s="95"/>
      <c r="AM391" s="93"/>
      <c r="AN391" s="3"/>
      <c r="AP391" s="28"/>
      <c r="AQ391" s="29"/>
    </row>
    <row r="392" spans="1:43" ht="26.85" customHeight="1" x14ac:dyDescent="0.45">
      <c r="A392" s="15"/>
      <c r="B392" s="15"/>
      <c r="C392" s="15"/>
      <c r="D392" s="95"/>
      <c r="E392" s="95"/>
      <c r="F392" s="15"/>
      <c r="G392" s="95"/>
      <c r="H392" s="15"/>
      <c r="I392" s="15" t="str">
        <f>IF($H392&lt;&gt;"",(VLOOKUP(H392,'Other Lists'!O:P,2,FALSE)),"")</f>
        <v/>
      </c>
      <c r="J392" s="15"/>
      <c r="K392" s="15"/>
      <c r="L392" s="15"/>
      <c r="M392" s="15"/>
      <c r="N392" s="40"/>
      <c r="O392" s="15"/>
      <c r="P392" s="26"/>
      <c r="Q392" s="15"/>
      <c r="R392" s="15"/>
      <c r="S392" s="15"/>
      <c r="T392" s="15"/>
      <c r="U392" s="15"/>
      <c r="V392" s="95"/>
      <c r="W392" s="95"/>
      <c r="X392" s="15"/>
      <c r="Y392" s="15"/>
      <c r="Z392" s="15" t="str">
        <f t="shared" si="14"/>
        <v/>
      </c>
      <c r="AA392" s="15"/>
      <c r="AB392" s="15" t="str">
        <f t="shared" si="13"/>
        <v/>
      </c>
      <c r="AC392" s="15"/>
      <c r="AD392" s="15"/>
      <c r="AE392" s="15"/>
      <c r="AF392" s="15"/>
      <c r="AG392" s="15"/>
      <c r="AH392" s="15"/>
      <c r="AI392" s="15"/>
      <c r="AJ392" s="15"/>
      <c r="AK392" s="95"/>
      <c r="AL392" s="95"/>
      <c r="AM392" s="93"/>
      <c r="AN392" s="3"/>
      <c r="AP392" s="28"/>
      <c r="AQ392" s="29"/>
    </row>
    <row r="393" spans="1:43" ht="26.85" customHeight="1" x14ac:dyDescent="0.45">
      <c r="A393" s="15"/>
      <c r="B393" s="15"/>
      <c r="C393" s="15"/>
      <c r="D393" s="95"/>
      <c r="E393" s="95"/>
      <c r="F393" s="15"/>
      <c r="G393" s="95"/>
      <c r="H393" s="15"/>
      <c r="I393" s="15" t="str">
        <f>IF($H393&lt;&gt;"",(VLOOKUP(H393,'Other Lists'!O:P,2,FALSE)),"")</f>
        <v/>
      </c>
      <c r="J393" s="15"/>
      <c r="K393" s="15"/>
      <c r="L393" s="15"/>
      <c r="M393" s="15"/>
      <c r="N393" s="40"/>
      <c r="O393" s="15"/>
      <c r="P393" s="26"/>
      <c r="Q393" s="15"/>
      <c r="R393" s="15"/>
      <c r="S393" s="15"/>
      <c r="T393" s="15"/>
      <c r="U393" s="15"/>
      <c r="V393" s="95"/>
      <c r="W393" s="95"/>
      <c r="X393" s="15"/>
      <c r="Y393" s="15"/>
      <c r="Z393" s="15" t="str">
        <f t="shared" si="14"/>
        <v/>
      </c>
      <c r="AA393" s="15"/>
      <c r="AB393" s="15" t="str">
        <f t="shared" si="13"/>
        <v/>
      </c>
      <c r="AC393" s="15"/>
      <c r="AD393" s="15"/>
      <c r="AE393" s="15"/>
      <c r="AF393" s="15"/>
      <c r="AG393" s="15"/>
      <c r="AH393" s="15"/>
      <c r="AI393" s="15"/>
      <c r="AJ393" s="15"/>
      <c r="AK393" s="95"/>
      <c r="AL393" s="95"/>
      <c r="AM393" s="93"/>
      <c r="AN393" s="3"/>
      <c r="AP393" s="28"/>
      <c r="AQ393" s="29"/>
    </row>
    <row r="394" spans="1:43" ht="26.85" customHeight="1" x14ac:dyDescent="0.45">
      <c r="A394" s="15"/>
      <c r="B394" s="15"/>
      <c r="C394" s="15"/>
      <c r="D394" s="95"/>
      <c r="E394" s="95"/>
      <c r="F394" s="15"/>
      <c r="G394" s="95"/>
      <c r="H394" s="15"/>
      <c r="I394" s="15" t="str">
        <f>IF($H394&lt;&gt;"",(VLOOKUP(H394,'Other Lists'!O:P,2,FALSE)),"")</f>
        <v/>
      </c>
      <c r="J394" s="15"/>
      <c r="K394" s="15"/>
      <c r="L394" s="15"/>
      <c r="M394" s="15"/>
      <c r="N394" s="40"/>
      <c r="O394" s="15"/>
      <c r="P394" s="26"/>
      <c r="Q394" s="15"/>
      <c r="R394" s="15"/>
      <c r="S394" s="15"/>
      <c r="T394" s="15"/>
      <c r="U394" s="15"/>
      <c r="V394" s="95"/>
      <c r="W394" s="95"/>
      <c r="X394" s="15"/>
      <c r="Y394" s="15"/>
      <c r="Z394" s="15" t="str">
        <f t="shared" si="14"/>
        <v/>
      </c>
      <c r="AA394" s="15"/>
      <c r="AB394" s="15" t="str">
        <f t="shared" si="13"/>
        <v/>
      </c>
      <c r="AC394" s="15"/>
      <c r="AD394" s="15"/>
      <c r="AE394" s="15"/>
      <c r="AF394" s="15"/>
      <c r="AG394" s="15"/>
      <c r="AH394" s="15"/>
      <c r="AI394" s="15"/>
      <c r="AJ394" s="15"/>
      <c r="AK394" s="95"/>
      <c r="AL394" s="95"/>
      <c r="AM394" s="93"/>
      <c r="AN394" s="3"/>
      <c r="AP394" s="28"/>
      <c r="AQ394" s="29"/>
    </row>
    <row r="395" spans="1:43" ht="26.85" customHeight="1" x14ac:dyDescent="0.45">
      <c r="A395" s="15"/>
      <c r="B395" s="15"/>
      <c r="C395" s="15"/>
      <c r="D395" s="95"/>
      <c r="E395" s="95"/>
      <c r="F395" s="15"/>
      <c r="G395" s="95"/>
      <c r="H395" s="15"/>
      <c r="I395" s="15" t="str">
        <f>IF($H395&lt;&gt;"",(VLOOKUP(H395,'Other Lists'!O:P,2,FALSE)),"")</f>
        <v/>
      </c>
      <c r="J395" s="15"/>
      <c r="K395" s="15"/>
      <c r="L395" s="15"/>
      <c r="M395" s="15"/>
      <c r="N395" s="40"/>
      <c r="O395" s="15"/>
      <c r="P395" s="26"/>
      <c r="Q395" s="15"/>
      <c r="R395" s="15"/>
      <c r="S395" s="15"/>
      <c r="T395" s="15"/>
      <c r="U395" s="15"/>
      <c r="V395" s="95"/>
      <c r="W395" s="95"/>
      <c r="X395" s="15"/>
      <c r="Y395" s="15"/>
      <c r="Z395" s="15" t="str">
        <f t="shared" si="14"/>
        <v/>
      </c>
      <c r="AA395" s="15"/>
      <c r="AB395" s="15" t="str">
        <f t="shared" si="13"/>
        <v/>
      </c>
      <c r="AC395" s="15"/>
      <c r="AD395" s="15"/>
      <c r="AE395" s="15"/>
      <c r="AF395" s="15"/>
      <c r="AG395" s="15"/>
      <c r="AH395" s="15"/>
      <c r="AI395" s="15"/>
      <c r="AJ395" s="15"/>
      <c r="AK395" s="95"/>
      <c r="AL395" s="95"/>
      <c r="AM395" s="93"/>
      <c r="AN395" s="3"/>
      <c r="AP395" s="28"/>
      <c r="AQ395" s="29"/>
    </row>
    <row r="396" spans="1:43" ht="26.85" customHeight="1" x14ac:dyDescent="0.45">
      <c r="A396" s="15"/>
      <c r="B396" s="15"/>
      <c r="C396" s="15"/>
      <c r="D396" s="95"/>
      <c r="E396" s="95"/>
      <c r="F396" s="15"/>
      <c r="G396" s="95"/>
      <c r="H396" s="15"/>
      <c r="I396" s="15" t="str">
        <f>IF($H396&lt;&gt;"",(VLOOKUP(H396,'Other Lists'!O:P,2,FALSE)),"")</f>
        <v/>
      </c>
      <c r="J396" s="15"/>
      <c r="K396" s="15"/>
      <c r="L396" s="15"/>
      <c r="M396" s="15"/>
      <c r="N396" s="40"/>
      <c r="O396" s="15"/>
      <c r="P396" s="26"/>
      <c r="Q396" s="15"/>
      <c r="R396" s="15"/>
      <c r="S396" s="15"/>
      <c r="T396" s="15"/>
      <c r="U396" s="15"/>
      <c r="V396" s="95"/>
      <c r="W396" s="95"/>
      <c r="X396" s="15"/>
      <c r="Y396" s="15"/>
      <c r="Z396" s="15" t="str">
        <f t="shared" si="14"/>
        <v/>
      </c>
      <c r="AA396" s="15"/>
      <c r="AB396" s="15" t="str">
        <f t="shared" si="13"/>
        <v/>
      </c>
      <c r="AC396" s="15"/>
      <c r="AD396" s="15"/>
      <c r="AE396" s="15"/>
      <c r="AF396" s="15"/>
      <c r="AG396" s="15"/>
      <c r="AH396" s="15"/>
      <c r="AI396" s="15"/>
      <c r="AJ396" s="15"/>
      <c r="AK396" s="95"/>
      <c r="AL396" s="95"/>
      <c r="AM396" s="93"/>
      <c r="AN396" s="3"/>
      <c r="AP396" s="28"/>
      <c r="AQ396" s="29"/>
    </row>
    <row r="397" spans="1:43" ht="26.85" customHeight="1" x14ac:dyDescent="0.45">
      <c r="A397" s="15"/>
      <c r="B397" s="15"/>
      <c r="C397" s="15"/>
      <c r="D397" s="95"/>
      <c r="E397" s="95"/>
      <c r="F397" s="15"/>
      <c r="G397" s="95"/>
      <c r="H397" s="15"/>
      <c r="I397" s="15" t="str">
        <f>IF($H397&lt;&gt;"",(VLOOKUP(H397,'Other Lists'!O:P,2,FALSE)),"")</f>
        <v/>
      </c>
      <c r="J397" s="15"/>
      <c r="K397" s="15"/>
      <c r="L397" s="15"/>
      <c r="M397" s="15"/>
      <c r="N397" s="40"/>
      <c r="O397" s="15"/>
      <c r="P397" s="26"/>
      <c r="Q397" s="15"/>
      <c r="R397" s="15"/>
      <c r="S397" s="15"/>
      <c r="T397" s="15"/>
      <c r="U397" s="15"/>
      <c r="V397" s="95"/>
      <c r="W397" s="95"/>
      <c r="X397" s="15"/>
      <c r="Y397" s="15"/>
      <c r="Z397" s="15" t="str">
        <f t="shared" si="14"/>
        <v/>
      </c>
      <c r="AA397" s="15"/>
      <c r="AB397" s="15" t="str">
        <f t="shared" si="13"/>
        <v/>
      </c>
      <c r="AC397" s="15"/>
      <c r="AD397" s="15"/>
      <c r="AE397" s="15"/>
      <c r="AF397" s="15"/>
      <c r="AG397" s="15"/>
      <c r="AH397" s="15"/>
      <c r="AI397" s="15"/>
      <c r="AJ397" s="15"/>
      <c r="AK397" s="95"/>
      <c r="AL397" s="95"/>
      <c r="AM397" s="93"/>
      <c r="AN397" s="3"/>
      <c r="AP397" s="28"/>
      <c r="AQ397" s="29"/>
    </row>
    <row r="398" spans="1:43" ht="26.85" customHeight="1" x14ac:dyDescent="0.45">
      <c r="A398" s="15"/>
      <c r="B398" s="15"/>
      <c r="C398" s="15"/>
      <c r="D398" s="95"/>
      <c r="E398" s="95"/>
      <c r="F398" s="15"/>
      <c r="G398" s="95"/>
      <c r="H398" s="15"/>
      <c r="I398" s="15" t="str">
        <f>IF($H398&lt;&gt;"",(VLOOKUP(H398,'Other Lists'!O:P,2,FALSE)),"")</f>
        <v/>
      </c>
      <c r="J398" s="15"/>
      <c r="K398" s="15"/>
      <c r="L398" s="15"/>
      <c r="M398" s="15"/>
      <c r="N398" s="40"/>
      <c r="O398" s="15"/>
      <c r="P398" s="26"/>
      <c r="Q398" s="15"/>
      <c r="R398" s="15"/>
      <c r="S398" s="15"/>
      <c r="T398" s="15"/>
      <c r="U398" s="15"/>
      <c r="V398" s="95"/>
      <c r="W398" s="95"/>
      <c r="X398" s="15"/>
      <c r="Y398" s="15"/>
      <c r="Z398" s="15" t="str">
        <f t="shared" si="14"/>
        <v/>
      </c>
      <c r="AA398" s="15"/>
      <c r="AB398" s="15" t="str">
        <f t="shared" si="13"/>
        <v/>
      </c>
      <c r="AC398" s="15"/>
      <c r="AD398" s="15"/>
      <c r="AE398" s="15"/>
      <c r="AF398" s="15"/>
      <c r="AG398" s="15"/>
      <c r="AH398" s="15"/>
      <c r="AI398" s="15"/>
      <c r="AJ398" s="15"/>
      <c r="AK398" s="95"/>
      <c r="AL398" s="95"/>
      <c r="AM398" s="93"/>
      <c r="AN398" s="3"/>
      <c r="AP398" s="28"/>
      <c r="AQ398" s="29"/>
    </row>
    <row r="399" spans="1:43" ht="26.85" customHeight="1" x14ac:dyDescent="0.45">
      <c r="A399" s="15"/>
      <c r="B399" s="15"/>
      <c r="C399" s="15"/>
      <c r="D399" s="95"/>
      <c r="E399" s="95"/>
      <c r="F399" s="15"/>
      <c r="G399" s="95"/>
      <c r="H399" s="15"/>
      <c r="I399" s="15" t="str">
        <f>IF($H399&lt;&gt;"",(VLOOKUP(H399,'Other Lists'!O:P,2,FALSE)),"")</f>
        <v/>
      </c>
      <c r="J399" s="15"/>
      <c r="K399" s="15"/>
      <c r="L399" s="15"/>
      <c r="M399" s="15"/>
      <c r="N399" s="40"/>
      <c r="O399" s="15"/>
      <c r="P399" s="26"/>
      <c r="Q399" s="15"/>
      <c r="R399" s="15"/>
      <c r="S399" s="15"/>
      <c r="T399" s="15"/>
      <c r="U399" s="15"/>
      <c r="V399" s="95"/>
      <c r="W399" s="95"/>
      <c r="X399" s="15"/>
      <c r="Y399" s="15"/>
      <c r="Z399" s="15" t="str">
        <f t="shared" si="14"/>
        <v/>
      </c>
      <c r="AA399" s="15"/>
      <c r="AB399" s="15" t="str">
        <f t="shared" si="13"/>
        <v/>
      </c>
      <c r="AC399" s="15"/>
      <c r="AD399" s="15"/>
      <c r="AE399" s="15"/>
      <c r="AF399" s="15"/>
      <c r="AG399" s="15"/>
      <c r="AH399" s="15"/>
      <c r="AI399" s="15"/>
      <c r="AJ399" s="15"/>
      <c r="AK399" s="95"/>
      <c r="AL399" s="95"/>
      <c r="AM399" s="93"/>
      <c r="AN399" s="3"/>
      <c r="AP399" s="28"/>
      <c r="AQ399" s="29"/>
    </row>
    <row r="400" spans="1:43" ht="26.85" customHeight="1" x14ac:dyDescent="0.45">
      <c r="A400" s="15"/>
      <c r="B400" s="15"/>
      <c r="C400" s="15"/>
      <c r="D400" s="95"/>
      <c r="E400" s="95"/>
      <c r="F400" s="15"/>
      <c r="G400" s="95"/>
      <c r="H400" s="15"/>
      <c r="I400" s="15" t="str">
        <f>IF($H400&lt;&gt;"",(VLOOKUP(H400,'Other Lists'!O:P,2,FALSE)),"")</f>
        <v/>
      </c>
      <c r="J400" s="15"/>
      <c r="K400" s="15"/>
      <c r="L400" s="15"/>
      <c r="M400" s="15"/>
      <c r="N400" s="40"/>
      <c r="O400" s="15"/>
      <c r="P400" s="26"/>
      <c r="Q400" s="15"/>
      <c r="R400" s="15"/>
      <c r="S400" s="15"/>
      <c r="T400" s="15"/>
      <c r="U400" s="15"/>
      <c r="V400" s="95"/>
      <c r="W400" s="95"/>
      <c r="X400" s="15"/>
      <c r="Y400" s="15"/>
      <c r="Z400" s="15" t="str">
        <f t="shared" si="14"/>
        <v/>
      </c>
      <c r="AA400" s="15"/>
      <c r="AB400" s="15" t="str">
        <f t="shared" si="13"/>
        <v/>
      </c>
      <c r="AC400" s="15"/>
      <c r="AD400" s="15"/>
      <c r="AE400" s="15"/>
      <c r="AF400" s="15"/>
      <c r="AG400" s="15"/>
      <c r="AH400" s="15"/>
      <c r="AI400" s="15"/>
      <c r="AJ400" s="15"/>
      <c r="AK400" s="95"/>
      <c r="AL400" s="95"/>
      <c r="AM400" s="93"/>
      <c r="AN400" s="3"/>
      <c r="AP400" s="28"/>
      <c r="AQ400" s="29"/>
    </row>
    <row r="401" spans="1:43" ht="26.85" customHeight="1" x14ac:dyDescent="0.45">
      <c r="A401" s="15"/>
      <c r="B401" s="15"/>
      <c r="C401" s="15"/>
      <c r="D401" s="95"/>
      <c r="E401" s="95"/>
      <c r="F401" s="15"/>
      <c r="G401" s="95"/>
      <c r="H401" s="15"/>
      <c r="I401" s="15" t="str">
        <f>IF($H401&lt;&gt;"",(VLOOKUP(H401,'Other Lists'!O:P,2,FALSE)),"")</f>
        <v/>
      </c>
      <c r="J401" s="15"/>
      <c r="K401" s="15"/>
      <c r="L401" s="15"/>
      <c r="M401" s="15"/>
      <c r="N401" s="40"/>
      <c r="O401" s="15"/>
      <c r="P401" s="26"/>
      <c r="Q401" s="15"/>
      <c r="R401" s="15"/>
      <c r="S401" s="15"/>
      <c r="T401" s="15"/>
      <c r="U401" s="15"/>
      <c r="V401" s="95"/>
      <c r="W401" s="95"/>
      <c r="X401" s="15"/>
      <c r="Y401" s="15"/>
      <c r="Z401" s="15" t="str">
        <f t="shared" si="14"/>
        <v/>
      </c>
      <c r="AA401" s="15"/>
      <c r="AB401" s="15" t="str">
        <f t="shared" si="13"/>
        <v/>
      </c>
      <c r="AC401" s="15"/>
      <c r="AD401" s="15"/>
      <c r="AE401" s="15"/>
      <c r="AF401" s="15"/>
      <c r="AG401" s="15"/>
      <c r="AH401" s="15"/>
      <c r="AI401" s="15"/>
      <c r="AJ401" s="15"/>
      <c r="AK401" s="95"/>
      <c r="AL401" s="95"/>
      <c r="AM401" s="93"/>
      <c r="AN401" s="3"/>
      <c r="AP401" s="28"/>
      <c r="AQ401" s="29"/>
    </row>
    <row r="402" spans="1:43" ht="26.85" customHeight="1" x14ac:dyDescent="0.45">
      <c r="A402" s="15"/>
      <c r="B402" s="15"/>
      <c r="C402" s="15"/>
      <c r="D402" s="95"/>
      <c r="E402" s="95"/>
      <c r="F402" s="15"/>
      <c r="G402" s="95"/>
      <c r="H402" s="15"/>
      <c r="I402" s="15" t="str">
        <f>IF($H402&lt;&gt;"",(VLOOKUP(H402,'Other Lists'!O:P,2,FALSE)),"")</f>
        <v/>
      </c>
      <c r="J402" s="15"/>
      <c r="K402" s="15"/>
      <c r="L402" s="15"/>
      <c r="M402" s="15"/>
      <c r="N402" s="40"/>
      <c r="O402" s="15"/>
      <c r="P402" s="26"/>
      <c r="Q402" s="15"/>
      <c r="R402" s="15"/>
      <c r="S402" s="15"/>
      <c r="T402" s="15"/>
      <c r="U402" s="15"/>
      <c r="V402" s="95"/>
      <c r="W402" s="95"/>
      <c r="X402" s="15"/>
      <c r="Y402" s="15"/>
      <c r="Z402" s="15" t="str">
        <f t="shared" si="14"/>
        <v/>
      </c>
      <c r="AA402" s="15"/>
      <c r="AB402" s="15" t="str">
        <f t="shared" si="13"/>
        <v/>
      </c>
      <c r="AC402" s="15"/>
      <c r="AD402" s="15"/>
      <c r="AE402" s="15"/>
      <c r="AF402" s="15"/>
      <c r="AG402" s="15"/>
      <c r="AH402" s="15"/>
      <c r="AI402" s="15"/>
      <c r="AJ402" s="15"/>
      <c r="AK402" s="95"/>
      <c r="AL402" s="95"/>
      <c r="AM402" s="93"/>
      <c r="AN402" s="3"/>
      <c r="AP402" s="28"/>
      <c r="AQ402" s="29"/>
    </row>
    <row r="403" spans="1:43" ht="26.85" customHeight="1" x14ac:dyDescent="0.45">
      <c r="A403" s="15"/>
      <c r="B403" s="15"/>
      <c r="C403" s="15"/>
      <c r="D403" s="95"/>
      <c r="E403" s="95"/>
      <c r="F403" s="15"/>
      <c r="G403" s="95"/>
      <c r="H403" s="15"/>
      <c r="I403" s="15" t="str">
        <f>IF($H403&lt;&gt;"",(VLOOKUP(H403,'Other Lists'!O:P,2,FALSE)),"")</f>
        <v/>
      </c>
      <c r="J403" s="15"/>
      <c r="K403" s="15"/>
      <c r="L403" s="15"/>
      <c r="M403" s="15"/>
      <c r="N403" s="40"/>
      <c r="O403" s="15"/>
      <c r="P403" s="26"/>
      <c r="Q403" s="15"/>
      <c r="R403" s="15"/>
      <c r="S403" s="15"/>
      <c r="T403" s="15"/>
      <c r="U403" s="15"/>
      <c r="V403" s="95"/>
      <c r="W403" s="95"/>
      <c r="X403" s="15"/>
      <c r="Y403" s="15"/>
      <c r="Z403" s="15" t="str">
        <f t="shared" si="14"/>
        <v/>
      </c>
      <c r="AA403" s="15"/>
      <c r="AB403" s="15" t="str">
        <f t="shared" si="13"/>
        <v/>
      </c>
      <c r="AC403" s="15"/>
      <c r="AD403" s="15"/>
      <c r="AE403" s="15"/>
      <c r="AF403" s="15"/>
      <c r="AG403" s="15"/>
      <c r="AH403" s="15"/>
      <c r="AI403" s="15"/>
      <c r="AJ403" s="15"/>
      <c r="AK403" s="95"/>
      <c r="AL403" s="95"/>
      <c r="AM403" s="93"/>
      <c r="AN403" s="3"/>
      <c r="AP403" s="28"/>
      <c r="AQ403" s="29"/>
    </row>
    <row r="404" spans="1:43" ht="26.85" customHeight="1" x14ac:dyDescent="0.45">
      <c r="A404" s="15"/>
      <c r="B404" s="15"/>
      <c r="C404" s="15"/>
      <c r="D404" s="95"/>
      <c r="E404" s="95"/>
      <c r="F404" s="15"/>
      <c r="G404" s="95"/>
      <c r="H404" s="15"/>
      <c r="I404" s="15" t="str">
        <f>IF($H404&lt;&gt;"",(VLOOKUP(H404,'Other Lists'!O:P,2,FALSE)),"")</f>
        <v/>
      </c>
      <c r="J404" s="15"/>
      <c r="K404" s="15"/>
      <c r="L404" s="15"/>
      <c r="M404" s="15"/>
      <c r="N404" s="40"/>
      <c r="O404" s="15"/>
      <c r="P404" s="26"/>
      <c r="Q404" s="15"/>
      <c r="R404" s="15"/>
      <c r="S404" s="15"/>
      <c r="T404" s="15"/>
      <c r="U404" s="15"/>
      <c r="V404" s="95"/>
      <c r="W404" s="95"/>
      <c r="X404" s="15"/>
      <c r="Y404" s="15"/>
      <c r="Z404" s="15" t="str">
        <f t="shared" si="14"/>
        <v/>
      </c>
      <c r="AA404" s="15"/>
      <c r="AB404" s="15" t="str">
        <f t="shared" si="13"/>
        <v/>
      </c>
      <c r="AC404" s="15"/>
      <c r="AD404" s="15"/>
      <c r="AE404" s="15"/>
      <c r="AF404" s="15"/>
      <c r="AG404" s="15"/>
      <c r="AH404" s="15"/>
      <c r="AI404" s="15"/>
      <c r="AJ404" s="15"/>
      <c r="AK404" s="95"/>
      <c r="AL404" s="95"/>
      <c r="AM404" s="93"/>
      <c r="AN404" s="3"/>
      <c r="AP404" s="28"/>
      <c r="AQ404" s="29"/>
    </row>
    <row r="405" spans="1:43" ht="26.85" customHeight="1" x14ac:dyDescent="0.45">
      <c r="A405" s="15"/>
      <c r="B405" s="15"/>
      <c r="C405" s="15"/>
      <c r="D405" s="95"/>
      <c r="E405" s="95"/>
      <c r="F405" s="15"/>
      <c r="G405" s="95"/>
      <c r="H405" s="15"/>
      <c r="I405" s="15" t="str">
        <f>IF($H405&lt;&gt;"",(VLOOKUP(H405,'Other Lists'!O:P,2,FALSE)),"")</f>
        <v/>
      </c>
      <c r="J405" s="15"/>
      <c r="K405" s="15"/>
      <c r="L405" s="15"/>
      <c r="M405" s="15"/>
      <c r="N405" s="40"/>
      <c r="O405" s="15"/>
      <c r="P405" s="26"/>
      <c r="Q405" s="15"/>
      <c r="R405" s="15"/>
      <c r="S405" s="15"/>
      <c r="T405" s="15"/>
      <c r="U405" s="15"/>
      <c r="V405" s="95"/>
      <c r="W405" s="95"/>
      <c r="X405" s="15"/>
      <c r="Y405" s="15"/>
      <c r="Z405" s="15" t="str">
        <f t="shared" si="14"/>
        <v/>
      </c>
      <c r="AA405" s="15"/>
      <c r="AB405" s="15" t="str">
        <f t="shared" si="13"/>
        <v/>
      </c>
      <c r="AC405" s="15"/>
      <c r="AD405" s="15"/>
      <c r="AE405" s="15"/>
      <c r="AF405" s="15"/>
      <c r="AG405" s="15"/>
      <c r="AH405" s="15"/>
      <c r="AI405" s="15"/>
      <c r="AJ405" s="15"/>
      <c r="AK405" s="95"/>
      <c r="AL405" s="95"/>
      <c r="AM405" s="93"/>
      <c r="AN405" s="3"/>
      <c r="AP405" s="28"/>
      <c r="AQ405" s="29"/>
    </row>
    <row r="406" spans="1:43" ht="26.85" customHeight="1" x14ac:dyDescent="0.45">
      <c r="A406" s="15"/>
      <c r="B406" s="15"/>
      <c r="C406" s="15"/>
      <c r="D406" s="95"/>
      <c r="E406" s="95"/>
      <c r="F406" s="15"/>
      <c r="G406" s="95"/>
      <c r="H406" s="15"/>
      <c r="I406" s="15" t="str">
        <f>IF($H406&lt;&gt;"",(VLOOKUP(H406,'Other Lists'!O:P,2,FALSE)),"")</f>
        <v/>
      </c>
      <c r="J406" s="15"/>
      <c r="K406" s="15"/>
      <c r="L406" s="15"/>
      <c r="M406" s="15"/>
      <c r="N406" s="40"/>
      <c r="O406" s="15"/>
      <c r="P406" s="26"/>
      <c r="Q406" s="15"/>
      <c r="R406" s="15"/>
      <c r="S406" s="15"/>
      <c r="T406" s="15"/>
      <c r="U406" s="15"/>
      <c r="V406" s="95"/>
      <c r="W406" s="95"/>
      <c r="X406" s="15"/>
      <c r="Y406" s="15"/>
      <c r="Z406" s="15" t="str">
        <f t="shared" si="14"/>
        <v/>
      </c>
      <c r="AA406" s="15"/>
      <c r="AB406" s="15" t="str">
        <f t="shared" si="13"/>
        <v/>
      </c>
      <c r="AC406" s="15"/>
      <c r="AD406" s="15"/>
      <c r="AE406" s="15"/>
      <c r="AF406" s="15"/>
      <c r="AG406" s="15"/>
      <c r="AH406" s="15"/>
      <c r="AI406" s="15"/>
      <c r="AJ406" s="15"/>
      <c r="AK406" s="95"/>
      <c r="AL406" s="95"/>
      <c r="AM406" s="93"/>
      <c r="AN406" s="3"/>
      <c r="AP406" s="28"/>
      <c r="AQ406" s="29"/>
    </row>
    <row r="407" spans="1:43" ht="26.85" customHeight="1" x14ac:dyDescent="0.45">
      <c r="A407" s="15"/>
      <c r="B407" s="15"/>
      <c r="C407" s="15"/>
      <c r="D407" s="95"/>
      <c r="E407" s="95"/>
      <c r="F407" s="15"/>
      <c r="G407" s="95"/>
      <c r="H407" s="15"/>
      <c r="I407" s="15" t="str">
        <f>IF($H407&lt;&gt;"",(VLOOKUP(H407,'Other Lists'!O:P,2,FALSE)),"")</f>
        <v/>
      </c>
      <c r="J407" s="15"/>
      <c r="K407" s="15"/>
      <c r="L407" s="15"/>
      <c r="M407" s="15"/>
      <c r="N407" s="40"/>
      <c r="O407" s="15"/>
      <c r="P407" s="26"/>
      <c r="Q407" s="15"/>
      <c r="R407" s="15"/>
      <c r="S407" s="15"/>
      <c r="T407" s="15"/>
      <c r="U407" s="15"/>
      <c r="V407" s="95"/>
      <c r="W407" s="95"/>
      <c r="X407" s="15"/>
      <c r="Y407" s="15"/>
      <c r="Z407" s="15" t="str">
        <f t="shared" si="14"/>
        <v/>
      </c>
      <c r="AA407" s="15"/>
      <c r="AB407" s="15" t="str">
        <f t="shared" si="13"/>
        <v/>
      </c>
      <c r="AC407" s="15"/>
      <c r="AD407" s="15"/>
      <c r="AE407" s="15"/>
      <c r="AF407" s="15"/>
      <c r="AG407" s="15"/>
      <c r="AH407" s="15"/>
      <c r="AI407" s="15"/>
      <c r="AJ407" s="15"/>
      <c r="AK407" s="95"/>
      <c r="AL407" s="95"/>
      <c r="AM407" s="93"/>
      <c r="AN407" s="3"/>
      <c r="AP407" s="28"/>
      <c r="AQ407" s="29"/>
    </row>
    <row r="408" spans="1:43" ht="26.85" customHeight="1" x14ac:dyDescent="0.45">
      <c r="A408" s="15"/>
      <c r="B408" s="15"/>
      <c r="C408" s="15"/>
      <c r="D408" s="95"/>
      <c r="E408" s="95"/>
      <c r="F408" s="15"/>
      <c r="G408" s="95"/>
      <c r="H408" s="15"/>
      <c r="I408" s="15" t="str">
        <f>IF($H408&lt;&gt;"",(VLOOKUP(H408,'Other Lists'!O:P,2,FALSE)),"")</f>
        <v/>
      </c>
      <c r="J408" s="15"/>
      <c r="K408" s="15"/>
      <c r="L408" s="15"/>
      <c r="M408" s="15"/>
      <c r="N408" s="40"/>
      <c r="O408" s="15"/>
      <c r="P408" s="26"/>
      <c r="Q408" s="15"/>
      <c r="R408" s="15"/>
      <c r="S408" s="15"/>
      <c r="T408" s="15"/>
      <c r="U408" s="15"/>
      <c r="V408" s="95"/>
      <c r="W408" s="95"/>
      <c r="X408" s="15"/>
      <c r="Y408" s="15"/>
      <c r="Z408" s="15" t="str">
        <f t="shared" si="14"/>
        <v/>
      </c>
      <c r="AA408" s="15"/>
      <c r="AB408" s="15" t="str">
        <f t="shared" si="13"/>
        <v/>
      </c>
      <c r="AC408" s="15"/>
      <c r="AD408" s="15"/>
      <c r="AE408" s="15"/>
      <c r="AF408" s="15"/>
      <c r="AG408" s="15"/>
      <c r="AH408" s="15"/>
      <c r="AI408" s="15"/>
      <c r="AJ408" s="15"/>
      <c r="AK408" s="95"/>
      <c r="AL408" s="95"/>
      <c r="AM408" s="93"/>
      <c r="AN408" s="3"/>
      <c r="AP408" s="28"/>
      <c r="AQ408" s="29"/>
    </row>
    <row r="409" spans="1:43" ht="26.85" customHeight="1" x14ac:dyDescent="0.45">
      <c r="A409" s="15"/>
      <c r="B409" s="15"/>
      <c r="C409" s="15"/>
      <c r="D409" s="95"/>
      <c r="E409" s="95"/>
      <c r="F409" s="15"/>
      <c r="G409" s="95"/>
      <c r="H409" s="15"/>
      <c r="I409" s="15" t="str">
        <f>IF($H409&lt;&gt;"",(VLOOKUP(H409,'Other Lists'!O:P,2,FALSE)),"")</f>
        <v/>
      </c>
      <c r="J409" s="15"/>
      <c r="K409" s="15"/>
      <c r="L409" s="15"/>
      <c r="M409" s="15"/>
      <c r="N409" s="40"/>
      <c r="O409" s="15"/>
      <c r="P409" s="26"/>
      <c r="Q409" s="15"/>
      <c r="R409" s="15"/>
      <c r="S409" s="15"/>
      <c r="T409" s="15"/>
      <c r="U409" s="15"/>
      <c r="V409" s="95"/>
      <c r="W409" s="95"/>
      <c r="X409" s="15"/>
      <c r="Y409" s="15"/>
      <c r="Z409" s="15" t="str">
        <f t="shared" si="14"/>
        <v/>
      </c>
      <c r="AA409" s="15"/>
      <c r="AB409" s="15" t="str">
        <f t="shared" si="13"/>
        <v/>
      </c>
      <c r="AC409" s="15"/>
      <c r="AD409" s="15"/>
      <c r="AE409" s="15"/>
      <c r="AF409" s="15"/>
      <c r="AG409" s="15"/>
      <c r="AH409" s="15"/>
      <c r="AI409" s="15"/>
      <c r="AJ409" s="15"/>
      <c r="AK409" s="95"/>
      <c r="AL409" s="95"/>
      <c r="AM409" s="93"/>
      <c r="AN409" s="3"/>
      <c r="AP409" s="28"/>
      <c r="AQ409" s="29"/>
    </row>
    <row r="410" spans="1:43" ht="26.85" customHeight="1" x14ac:dyDescent="0.45">
      <c r="A410" s="15"/>
      <c r="B410" s="15"/>
      <c r="C410" s="15"/>
      <c r="D410" s="95"/>
      <c r="E410" s="95"/>
      <c r="F410" s="15"/>
      <c r="G410" s="95"/>
      <c r="H410" s="15"/>
      <c r="I410" s="15" t="str">
        <f>IF($H410&lt;&gt;"",(VLOOKUP(H410,'Other Lists'!O:P,2,FALSE)),"")</f>
        <v/>
      </c>
      <c r="J410" s="15"/>
      <c r="K410" s="15"/>
      <c r="L410" s="15"/>
      <c r="M410" s="15"/>
      <c r="N410" s="40"/>
      <c r="O410" s="15"/>
      <c r="P410" s="26"/>
      <c r="Q410" s="15"/>
      <c r="R410" s="15"/>
      <c r="S410" s="15"/>
      <c r="T410" s="15"/>
      <c r="U410" s="15"/>
      <c r="V410" s="95"/>
      <c r="W410" s="95"/>
      <c r="X410" s="15"/>
      <c r="Y410" s="15"/>
      <c r="Z410" s="15" t="str">
        <f t="shared" si="14"/>
        <v/>
      </c>
      <c r="AA410" s="15"/>
      <c r="AB410" s="15" t="str">
        <f t="shared" si="13"/>
        <v/>
      </c>
      <c r="AC410" s="15"/>
      <c r="AD410" s="15"/>
      <c r="AE410" s="15"/>
      <c r="AF410" s="15"/>
      <c r="AG410" s="15"/>
      <c r="AH410" s="15"/>
      <c r="AI410" s="15"/>
      <c r="AJ410" s="15"/>
      <c r="AK410" s="95"/>
      <c r="AL410" s="95"/>
      <c r="AM410" s="93"/>
      <c r="AN410" s="3"/>
      <c r="AP410" s="28"/>
      <c r="AQ410" s="29"/>
    </row>
    <row r="411" spans="1:43" ht="26.85" customHeight="1" x14ac:dyDescent="0.45">
      <c r="A411" s="15"/>
      <c r="B411" s="15"/>
      <c r="C411" s="15"/>
      <c r="D411" s="95"/>
      <c r="E411" s="95"/>
      <c r="F411" s="15"/>
      <c r="G411" s="95"/>
      <c r="H411" s="15"/>
      <c r="I411" s="15" t="str">
        <f>IF($H411&lt;&gt;"",(VLOOKUP(H411,'Other Lists'!O:P,2,FALSE)),"")</f>
        <v/>
      </c>
      <c r="J411" s="15"/>
      <c r="K411" s="15"/>
      <c r="L411" s="15"/>
      <c r="M411" s="15"/>
      <c r="N411" s="40"/>
      <c r="O411" s="15"/>
      <c r="P411" s="26"/>
      <c r="Q411" s="15"/>
      <c r="R411" s="15"/>
      <c r="S411" s="15"/>
      <c r="T411" s="15"/>
      <c r="U411" s="15"/>
      <c r="V411" s="95"/>
      <c r="W411" s="95"/>
      <c r="X411" s="15"/>
      <c r="Y411" s="15"/>
      <c r="Z411" s="15" t="str">
        <f t="shared" si="14"/>
        <v/>
      </c>
      <c r="AA411" s="15"/>
      <c r="AB411" s="15" t="str">
        <f t="shared" si="13"/>
        <v/>
      </c>
      <c r="AC411" s="15"/>
      <c r="AD411" s="15"/>
      <c r="AE411" s="15"/>
      <c r="AF411" s="15"/>
      <c r="AG411" s="15"/>
      <c r="AH411" s="15"/>
      <c r="AI411" s="15"/>
      <c r="AJ411" s="15"/>
      <c r="AK411" s="95"/>
      <c r="AL411" s="95"/>
      <c r="AM411" s="93"/>
      <c r="AN411" s="3"/>
      <c r="AP411" s="28"/>
      <c r="AQ411" s="29"/>
    </row>
    <row r="412" spans="1:43" ht="26.85" customHeight="1" x14ac:dyDescent="0.45">
      <c r="A412" s="15"/>
      <c r="B412" s="15"/>
      <c r="C412" s="15"/>
      <c r="D412" s="95"/>
      <c r="E412" s="95"/>
      <c r="F412" s="15"/>
      <c r="G412" s="95"/>
      <c r="H412" s="15"/>
      <c r="I412" s="15" t="str">
        <f>IF($H412&lt;&gt;"",(VLOOKUP(H412,'Other Lists'!O:P,2,FALSE)),"")</f>
        <v/>
      </c>
      <c r="J412" s="15"/>
      <c r="K412" s="15"/>
      <c r="L412" s="15"/>
      <c r="M412" s="15"/>
      <c r="N412" s="40"/>
      <c r="O412" s="15"/>
      <c r="P412" s="26"/>
      <c r="Q412" s="15"/>
      <c r="R412" s="15"/>
      <c r="S412" s="15"/>
      <c r="T412" s="15"/>
      <c r="U412" s="15"/>
      <c r="V412" s="95"/>
      <c r="W412" s="95"/>
      <c r="X412" s="15"/>
      <c r="Y412" s="15"/>
      <c r="Z412" s="15" t="str">
        <f t="shared" si="14"/>
        <v/>
      </c>
      <c r="AA412" s="15"/>
      <c r="AB412" s="15" t="str">
        <f t="shared" si="13"/>
        <v/>
      </c>
      <c r="AC412" s="15"/>
      <c r="AD412" s="15"/>
      <c r="AE412" s="15"/>
      <c r="AF412" s="15"/>
      <c r="AG412" s="15"/>
      <c r="AH412" s="15"/>
      <c r="AI412" s="15"/>
      <c r="AJ412" s="15"/>
      <c r="AK412" s="95"/>
      <c r="AL412" s="95"/>
      <c r="AM412" s="93"/>
      <c r="AN412" s="3"/>
      <c r="AP412" s="28"/>
      <c r="AQ412" s="29"/>
    </row>
    <row r="413" spans="1:43" ht="26.85" customHeight="1" x14ac:dyDescent="0.45">
      <c r="A413" s="15"/>
      <c r="B413" s="15"/>
      <c r="C413" s="15"/>
      <c r="D413" s="95"/>
      <c r="E413" s="95"/>
      <c r="F413" s="15"/>
      <c r="G413" s="95"/>
      <c r="H413" s="15"/>
      <c r="I413" s="15" t="str">
        <f>IF($H413&lt;&gt;"",(VLOOKUP(H413,'Other Lists'!O:P,2,FALSE)),"")</f>
        <v/>
      </c>
      <c r="J413" s="15"/>
      <c r="K413" s="15"/>
      <c r="L413" s="15"/>
      <c r="M413" s="15"/>
      <c r="N413" s="40"/>
      <c r="O413" s="15"/>
      <c r="P413" s="26"/>
      <c r="Q413" s="15"/>
      <c r="R413" s="15"/>
      <c r="S413" s="15"/>
      <c r="T413" s="15"/>
      <c r="U413" s="15"/>
      <c r="V413" s="95"/>
      <c r="W413" s="95"/>
      <c r="X413" s="15"/>
      <c r="Y413" s="15"/>
      <c r="Z413" s="15" t="str">
        <f t="shared" si="14"/>
        <v/>
      </c>
      <c r="AA413" s="15"/>
      <c r="AB413" s="15" t="str">
        <f t="shared" si="13"/>
        <v/>
      </c>
      <c r="AC413" s="15"/>
      <c r="AD413" s="15"/>
      <c r="AE413" s="15"/>
      <c r="AF413" s="15"/>
      <c r="AG413" s="15"/>
      <c r="AH413" s="15"/>
      <c r="AI413" s="15"/>
      <c r="AJ413" s="15"/>
      <c r="AK413" s="95"/>
      <c r="AL413" s="95"/>
      <c r="AM413" s="93"/>
      <c r="AN413" s="3"/>
      <c r="AP413" s="28"/>
      <c r="AQ413" s="29"/>
    </row>
    <row r="414" spans="1:43" ht="26.85" customHeight="1" x14ac:dyDescent="0.45">
      <c r="A414" s="15"/>
      <c r="B414" s="15"/>
      <c r="C414" s="15"/>
      <c r="D414" s="95"/>
      <c r="E414" s="95"/>
      <c r="F414" s="15"/>
      <c r="G414" s="95"/>
      <c r="H414" s="15"/>
      <c r="I414" s="15" t="str">
        <f>IF($H414&lt;&gt;"",(VLOOKUP(H414,'Other Lists'!O:P,2,FALSE)),"")</f>
        <v/>
      </c>
      <c r="J414" s="15"/>
      <c r="K414" s="15"/>
      <c r="L414" s="15"/>
      <c r="M414" s="15"/>
      <c r="N414" s="40"/>
      <c r="O414" s="15"/>
      <c r="P414" s="26"/>
      <c r="Q414" s="15"/>
      <c r="R414" s="15"/>
      <c r="S414" s="15"/>
      <c r="T414" s="15"/>
      <c r="U414" s="15"/>
      <c r="V414" s="95"/>
      <c r="W414" s="95"/>
      <c r="X414" s="15"/>
      <c r="Y414" s="15"/>
      <c r="Z414" s="15" t="str">
        <f t="shared" si="14"/>
        <v/>
      </c>
      <c r="AA414" s="15"/>
      <c r="AB414" s="15" t="str">
        <f t="shared" si="13"/>
        <v/>
      </c>
      <c r="AC414" s="15"/>
      <c r="AD414" s="15"/>
      <c r="AE414" s="15"/>
      <c r="AF414" s="15"/>
      <c r="AG414" s="15"/>
      <c r="AH414" s="15"/>
      <c r="AI414" s="15"/>
      <c r="AJ414" s="15"/>
      <c r="AK414" s="95"/>
      <c r="AL414" s="95"/>
      <c r="AM414" s="93"/>
      <c r="AN414" s="3"/>
      <c r="AP414" s="28"/>
      <c r="AQ414" s="29"/>
    </row>
    <row r="415" spans="1:43" ht="26.85" customHeight="1" x14ac:dyDescent="0.45">
      <c r="A415" s="15"/>
      <c r="B415" s="15"/>
      <c r="C415" s="15"/>
      <c r="D415" s="95"/>
      <c r="E415" s="95"/>
      <c r="F415" s="15"/>
      <c r="G415" s="95"/>
      <c r="H415" s="15"/>
      <c r="I415" s="15" t="str">
        <f>IF($H415&lt;&gt;"",(VLOOKUP(H415,'Other Lists'!O:P,2,FALSE)),"")</f>
        <v/>
      </c>
      <c r="J415" s="15"/>
      <c r="K415" s="15"/>
      <c r="L415" s="15"/>
      <c r="M415" s="15"/>
      <c r="N415" s="40"/>
      <c r="O415" s="15"/>
      <c r="P415" s="26"/>
      <c r="Q415" s="15"/>
      <c r="R415" s="15"/>
      <c r="S415" s="15"/>
      <c r="T415" s="15"/>
      <c r="U415" s="15"/>
      <c r="V415" s="95"/>
      <c r="W415" s="95"/>
      <c r="X415" s="15"/>
      <c r="Y415" s="15"/>
      <c r="Z415" s="15" t="str">
        <f t="shared" si="14"/>
        <v/>
      </c>
      <c r="AA415" s="15"/>
      <c r="AB415" s="15" t="str">
        <f t="shared" si="13"/>
        <v/>
      </c>
      <c r="AC415" s="15"/>
      <c r="AD415" s="15"/>
      <c r="AE415" s="15"/>
      <c r="AF415" s="15"/>
      <c r="AG415" s="15"/>
      <c r="AH415" s="15"/>
      <c r="AI415" s="15"/>
      <c r="AJ415" s="15"/>
      <c r="AK415" s="95"/>
      <c r="AL415" s="95"/>
      <c r="AM415" s="93"/>
      <c r="AN415" s="3"/>
      <c r="AP415" s="28"/>
      <c r="AQ415" s="29"/>
    </row>
    <row r="416" spans="1:43" ht="26.85" customHeight="1" x14ac:dyDescent="0.45">
      <c r="A416" s="15"/>
      <c r="B416" s="15"/>
      <c r="C416" s="15"/>
      <c r="D416" s="95"/>
      <c r="E416" s="95"/>
      <c r="F416" s="15"/>
      <c r="G416" s="95"/>
      <c r="H416" s="15"/>
      <c r="I416" s="15" t="str">
        <f>IF($H416&lt;&gt;"",(VLOOKUP(H416,'Other Lists'!O:P,2,FALSE)),"")</f>
        <v/>
      </c>
      <c r="J416" s="15"/>
      <c r="K416" s="15"/>
      <c r="L416" s="15"/>
      <c r="M416" s="15"/>
      <c r="N416" s="40"/>
      <c r="O416" s="15"/>
      <c r="P416" s="26"/>
      <c r="Q416" s="15"/>
      <c r="R416" s="15"/>
      <c r="S416" s="15"/>
      <c r="T416" s="15"/>
      <c r="U416" s="15"/>
      <c r="V416" s="95"/>
      <c r="W416" s="95"/>
      <c r="X416" s="15"/>
      <c r="Y416" s="15"/>
      <c r="Z416" s="15" t="str">
        <f t="shared" si="14"/>
        <v/>
      </c>
      <c r="AA416" s="15"/>
      <c r="AB416" s="15" t="str">
        <f t="shared" si="13"/>
        <v/>
      </c>
      <c r="AC416" s="15"/>
      <c r="AD416" s="15"/>
      <c r="AE416" s="15"/>
      <c r="AF416" s="15"/>
      <c r="AG416" s="15"/>
      <c r="AH416" s="15"/>
      <c r="AI416" s="15"/>
      <c r="AJ416" s="15"/>
      <c r="AK416" s="95"/>
      <c r="AL416" s="95"/>
      <c r="AM416" s="93"/>
      <c r="AN416" s="3"/>
      <c r="AP416" s="28"/>
      <c r="AQ416" s="29"/>
    </row>
    <row r="417" spans="1:43" ht="26.85" customHeight="1" x14ac:dyDescent="0.45">
      <c r="A417" s="15"/>
      <c r="B417" s="15"/>
      <c r="C417" s="15"/>
      <c r="D417" s="95"/>
      <c r="E417" s="95"/>
      <c r="F417" s="15"/>
      <c r="G417" s="95"/>
      <c r="H417" s="15"/>
      <c r="I417" s="15" t="str">
        <f>IF($H417&lt;&gt;"",(VLOOKUP(H417,'Other Lists'!O:P,2,FALSE)),"")</f>
        <v/>
      </c>
      <c r="J417" s="15"/>
      <c r="K417" s="15"/>
      <c r="L417" s="15"/>
      <c r="M417" s="15"/>
      <c r="N417" s="40"/>
      <c r="O417" s="15"/>
      <c r="P417" s="26"/>
      <c r="Q417" s="15"/>
      <c r="R417" s="15"/>
      <c r="S417" s="15"/>
      <c r="T417" s="15"/>
      <c r="U417" s="15"/>
      <c r="V417" s="95"/>
      <c r="W417" s="95"/>
      <c r="X417" s="15"/>
      <c r="Y417" s="15"/>
      <c r="Z417" s="15" t="str">
        <f t="shared" si="14"/>
        <v/>
      </c>
      <c r="AA417" s="15"/>
      <c r="AB417" s="15" t="str">
        <f t="shared" si="13"/>
        <v/>
      </c>
      <c r="AC417" s="15"/>
      <c r="AD417" s="15"/>
      <c r="AE417" s="15"/>
      <c r="AF417" s="15"/>
      <c r="AG417" s="15"/>
      <c r="AH417" s="15"/>
      <c r="AI417" s="15"/>
      <c r="AJ417" s="15"/>
      <c r="AK417" s="95"/>
      <c r="AL417" s="95"/>
      <c r="AM417" s="93"/>
      <c r="AN417" s="3"/>
      <c r="AP417" s="28"/>
      <c r="AQ417" s="29"/>
    </row>
    <row r="418" spans="1:43" ht="26.85" customHeight="1" x14ac:dyDescent="0.45">
      <c r="A418" s="15"/>
      <c r="B418" s="15"/>
      <c r="C418" s="15"/>
      <c r="D418" s="95"/>
      <c r="E418" s="95"/>
      <c r="F418" s="15"/>
      <c r="G418" s="95"/>
      <c r="H418" s="15"/>
      <c r="I418" s="15" t="str">
        <f>IF($H418&lt;&gt;"",(VLOOKUP(H418,'Other Lists'!O:P,2,FALSE)),"")</f>
        <v/>
      </c>
      <c r="J418" s="15"/>
      <c r="K418" s="15"/>
      <c r="L418" s="15"/>
      <c r="M418" s="15"/>
      <c r="N418" s="40"/>
      <c r="O418" s="15"/>
      <c r="P418" s="26"/>
      <c r="Q418" s="15"/>
      <c r="R418" s="15"/>
      <c r="S418" s="15"/>
      <c r="T418" s="15"/>
      <c r="U418" s="15"/>
      <c r="V418" s="95"/>
      <c r="W418" s="95"/>
      <c r="X418" s="15"/>
      <c r="Y418" s="15"/>
      <c r="Z418" s="15" t="str">
        <f t="shared" si="14"/>
        <v/>
      </c>
      <c r="AA418" s="15"/>
      <c r="AB418" s="15" t="str">
        <f t="shared" si="13"/>
        <v/>
      </c>
      <c r="AC418" s="15"/>
      <c r="AD418" s="15"/>
      <c r="AE418" s="15"/>
      <c r="AF418" s="15"/>
      <c r="AG418" s="15"/>
      <c r="AH418" s="15"/>
      <c r="AI418" s="15"/>
      <c r="AJ418" s="15"/>
      <c r="AK418" s="95"/>
      <c r="AL418" s="95"/>
      <c r="AM418" s="93"/>
      <c r="AN418" s="3"/>
      <c r="AP418" s="28"/>
      <c r="AQ418" s="29"/>
    </row>
    <row r="419" spans="1:43" ht="26.85" customHeight="1" x14ac:dyDescent="0.45">
      <c r="A419" s="15"/>
      <c r="B419" s="15"/>
      <c r="C419" s="15"/>
      <c r="D419" s="95"/>
      <c r="E419" s="95"/>
      <c r="F419" s="15"/>
      <c r="G419" s="95"/>
      <c r="H419" s="15"/>
      <c r="I419" s="15" t="str">
        <f>IF($H419&lt;&gt;"",(VLOOKUP(H419,'Other Lists'!O:P,2,FALSE)),"")</f>
        <v/>
      </c>
      <c r="J419" s="15"/>
      <c r="K419" s="15"/>
      <c r="L419" s="15"/>
      <c r="M419" s="15"/>
      <c r="N419" s="40"/>
      <c r="O419" s="15"/>
      <c r="P419" s="26"/>
      <c r="Q419" s="15"/>
      <c r="R419" s="15"/>
      <c r="S419" s="15"/>
      <c r="T419" s="15"/>
      <c r="U419" s="15"/>
      <c r="V419" s="95"/>
      <c r="W419" s="95"/>
      <c r="X419" s="15"/>
      <c r="Y419" s="15"/>
      <c r="Z419" s="15" t="str">
        <f t="shared" si="14"/>
        <v/>
      </c>
      <c r="AA419" s="15"/>
      <c r="AB419" s="15" t="str">
        <f t="shared" si="13"/>
        <v/>
      </c>
      <c r="AC419" s="15"/>
      <c r="AD419" s="15"/>
      <c r="AE419" s="15"/>
      <c r="AF419" s="15"/>
      <c r="AG419" s="15"/>
      <c r="AH419" s="15"/>
      <c r="AI419" s="15"/>
      <c r="AJ419" s="15"/>
      <c r="AK419" s="95"/>
      <c r="AL419" s="95"/>
      <c r="AM419" s="93"/>
      <c r="AN419" s="3"/>
      <c r="AP419" s="28"/>
      <c r="AQ419" s="29"/>
    </row>
    <row r="420" spans="1:43" ht="26.85" customHeight="1" x14ac:dyDescent="0.45">
      <c r="A420" s="15"/>
      <c r="B420" s="15"/>
      <c r="C420" s="15"/>
      <c r="D420" s="95"/>
      <c r="E420" s="95"/>
      <c r="F420" s="15"/>
      <c r="G420" s="95"/>
      <c r="H420" s="15"/>
      <c r="I420" s="15" t="str">
        <f>IF($H420&lt;&gt;"",(VLOOKUP(H420,'Other Lists'!O:P,2,FALSE)),"")</f>
        <v/>
      </c>
      <c r="J420" s="15"/>
      <c r="K420" s="15"/>
      <c r="L420" s="15"/>
      <c r="M420" s="15"/>
      <c r="N420" s="40"/>
      <c r="O420" s="15"/>
      <c r="P420" s="26"/>
      <c r="Q420" s="15"/>
      <c r="R420" s="15"/>
      <c r="S420" s="15"/>
      <c r="T420" s="15"/>
      <c r="U420" s="15"/>
      <c r="V420" s="95"/>
      <c r="W420" s="95"/>
      <c r="X420" s="15"/>
      <c r="Y420" s="15"/>
      <c r="Z420" s="15" t="str">
        <f t="shared" si="14"/>
        <v/>
      </c>
      <c r="AA420" s="15"/>
      <c r="AB420" s="15" t="str">
        <f t="shared" si="13"/>
        <v/>
      </c>
      <c r="AC420" s="15"/>
      <c r="AD420" s="15"/>
      <c r="AE420" s="15"/>
      <c r="AF420" s="15"/>
      <c r="AG420" s="15"/>
      <c r="AH420" s="15"/>
      <c r="AI420" s="15"/>
      <c r="AJ420" s="15"/>
      <c r="AK420" s="95"/>
      <c r="AL420" s="95"/>
      <c r="AM420" s="93"/>
      <c r="AN420" s="3"/>
      <c r="AP420" s="28"/>
      <c r="AQ420" s="29"/>
    </row>
    <row r="421" spans="1:43" ht="26.85" customHeight="1" x14ac:dyDescent="0.45">
      <c r="A421" s="15"/>
      <c r="B421" s="15"/>
      <c r="C421" s="15"/>
      <c r="D421" s="95"/>
      <c r="E421" s="95"/>
      <c r="F421" s="15"/>
      <c r="G421" s="95"/>
      <c r="H421" s="15"/>
      <c r="I421" s="15" t="str">
        <f>IF($H421&lt;&gt;"",(VLOOKUP(H421,'Other Lists'!O:P,2,FALSE)),"")</f>
        <v/>
      </c>
      <c r="J421" s="15"/>
      <c r="K421" s="15"/>
      <c r="L421" s="15"/>
      <c r="M421" s="15"/>
      <c r="N421" s="40"/>
      <c r="O421" s="15"/>
      <c r="P421" s="26"/>
      <c r="Q421" s="15"/>
      <c r="R421" s="15"/>
      <c r="S421" s="15"/>
      <c r="T421" s="15"/>
      <c r="U421" s="15"/>
      <c r="V421" s="95"/>
      <c r="W421" s="95"/>
      <c r="X421" s="15"/>
      <c r="Y421" s="15"/>
      <c r="Z421" s="15" t="str">
        <f t="shared" si="14"/>
        <v/>
      </c>
      <c r="AA421" s="15"/>
      <c r="AB421" s="15" t="str">
        <f t="shared" si="13"/>
        <v/>
      </c>
      <c r="AC421" s="15"/>
      <c r="AD421" s="15"/>
      <c r="AE421" s="15"/>
      <c r="AF421" s="15"/>
      <c r="AG421" s="15"/>
      <c r="AH421" s="15"/>
      <c r="AI421" s="15"/>
      <c r="AJ421" s="15"/>
      <c r="AK421" s="95"/>
      <c r="AL421" s="95"/>
      <c r="AM421" s="93"/>
      <c r="AN421" s="3"/>
      <c r="AP421" s="28"/>
      <c r="AQ421" s="29"/>
    </row>
    <row r="422" spans="1:43" ht="26.85" customHeight="1" x14ac:dyDescent="0.45">
      <c r="A422" s="15"/>
      <c r="B422" s="15"/>
      <c r="C422" s="15"/>
      <c r="D422" s="95"/>
      <c r="E422" s="95"/>
      <c r="F422" s="15"/>
      <c r="G422" s="95"/>
      <c r="H422" s="15"/>
      <c r="I422" s="15" t="str">
        <f>IF($H422&lt;&gt;"",(VLOOKUP(H422,'Other Lists'!O:P,2,FALSE)),"")</f>
        <v/>
      </c>
      <c r="J422" s="15"/>
      <c r="K422" s="15"/>
      <c r="L422" s="15"/>
      <c r="M422" s="15"/>
      <c r="N422" s="40"/>
      <c r="O422" s="15"/>
      <c r="P422" s="26"/>
      <c r="Q422" s="15"/>
      <c r="R422" s="15"/>
      <c r="S422" s="15"/>
      <c r="T422" s="15"/>
      <c r="U422" s="15"/>
      <c r="V422" s="95"/>
      <c r="W422" s="95"/>
      <c r="X422" s="15"/>
      <c r="Y422" s="15"/>
      <c r="Z422" s="15" t="str">
        <f t="shared" si="14"/>
        <v/>
      </c>
      <c r="AA422" s="15"/>
      <c r="AB422" s="15" t="str">
        <f t="shared" si="13"/>
        <v/>
      </c>
      <c r="AC422" s="15"/>
      <c r="AD422" s="15"/>
      <c r="AE422" s="15"/>
      <c r="AF422" s="15"/>
      <c r="AG422" s="15"/>
      <c r="AH422" s="15"/>
      <c r="AI422" s="15"/>
      <c r="AJ422" s="15"/>
      <c r="AK422" s="95"/>
      <c r="AL422" s="95"/>
      <c r="AM422" s="93"/>
      <c r="AN422" s="3"/>
      <c r="AP422" s="28"/>
      <c r="AQ422" s="29"/>
    </row>
    <row r="423" spans="1:43" ht="26.85" customHeight="1" x14ac:dyDescent="0.45">
      <c r="A423" s="15"/>
      <c r="B423" s="15"/>
      <c r="C423" s="15"/>
      <c r="D423" s="95"/>
      <c r="E423" s="95"/>
      <c r="F423" s="15"/>
      <c r="G423" s="95"/>
      <c r="H423" s="15"/>
      <c r="I423" s="15" t="str">
        <f>IF($H423&lt;&gt;"",(VLOOKUP(H423,'Other Lists'!O:P,2,FALSE)),"")</f>
        <v/>
      </c>
      <c r="J423" s="15"/>
      <c r="K423" s="15"/>
      <c r="L423" s="15"/>
      <c r="M423" s="15"/>
      <c r="N423" s="40"/>
      <c r="O423" s="15"/>
      <c r="P423" s="26"/>
      <c r="Q423" s="15"/>
      <c r="R423" s="15"/>
      <c r="S423" s="15"/>
      <c r="T423" s="15"/>
      <c r="U423" s="15"/>
      <c r="V423" s="95"/>
      <c r="W423" s="95"/>
      <c r="X423" s="15"/>
      <c r="Y423" s="15"/>
      <c r="Z423" s="15" t="str">
        <f t="shared" si="14"/>
        <v/>
      </c>
      <c r="AA423" s="15"/>
      <c r="AB423" s="15" t="str">
        <f t="shared" si="13"/>
        <v/>
      </c>
      <c r="AC423" s="15"/>
      <c r="AD423" s="15"/>
      <c r="AE423" s="15"/>
      <c r="AF423" s="15"/>
      <c r="AG423" s="15"/>
      <c r="AH423" s="15"/>
      <c r="AI423" s="15"/>
      <c r="AJ423" s="15"/>
      <c r="AK423" s="95"/>
      <c r="AL423" s="95"/>
      <c r="AM423" s="93"/>
      <c r="AN423" s="3"/>
      <c r="AP423" s="28"/>
      <c r="AQ423" s="29"/>
    </row>
    <row r="424" spans="1:43" ht="26.85" customHeight="1" x14ac:dyDescent="0.45">
      <c r="A424" s="15"/>
      <c r="B424" s="15"/>
      <c r="C424" s="15"/>
      <c r="D424" s="95"/>
      <c r="E424" s="95"/>
      <c r="F424" s="15"/>
      <c r="G424" s="95"/>
      <c r="H424" s="15"/>
      <c r="I424" s="15" t="str">
        <f>IF($H424&lt;&gt;"",(VLOOKUP(H424,'Other Lists'!O:P,2,FALSE)),"")</f>
        <v/>
      </c>
      <c r="J424" s="15"/>
      <c r="K424" s="15"/>
      <c r="L424" s="15"/>
      <c r="M424" s="15"/>
      <c r="N424" s="40"/>
      <c r="O424" s="15"/>
      <c r="P424" s="26"/>
      <c r="Q424" s="15"/>
      <c r="R424" s="15"/>
      <c r="S424" s="15"/>
      <c r="T424" s="15"/>
      <c r="U424" s="15"/>
      <c r="V424" s="95"/>
      <c r="W424" s="95"/>
      <c r="X424" s="15"/>
      <c r="Y424" s="15"/>
      <c r="Z424" s="15" t="str">
        <f t="shared" si="14"/>
        <v/>
      </c>
      <c r="AA424" s="15"/>
      <c r="AB424" s="15" t="str">
        <f t="shared" si="13"/>
        <v/>
      </c>
      <c r="AC424" s="15"/>
      <c r="AD424" s="15"/>
      <c r="AE424" s="15"/>
      <c r="AF424" s="15"/>
      <c r="AG424" s="15"/>
      <c r="AH424" s="15"/>
      <c r="AI424" s="15"/>
      <c r="AJ424" s="15"/>
      <c r="AK424" s="95"/>
      <c r="AL424" s="95"/>
      <c r="AM424" s="93"/>
      <c r="AN424" s="3"/>
      <c r="AP424" s="28"/>
      <c r="AQ424" s="29"/>
    </row>
    <row r="425" spans="1:43" ht="26.85" customHeight="1" x14ac:dyDescent="0.45">
      <c r="A425" s="15"/>
      <c r="B425" s="15"/>
      <c r="C425" s="15"/>
      <c r="D425" s="95"/>
      <c r="E425" s="95"/>
      <c r="F425" s="15"/>
      <c r="G425" s="95"/>
      <c r="H425" s="15"/>
      <c r="I425" s="15" t="str">
        <f>IF($H425&lt;&gt;"",(VLOOKUP(H425,'Other Lists'!O:P,2,FALSE)),"")</f>
        <v/>
      </c>
      <c r="J425" s="15"/>
      <c r="K425" s="15"/>
      <c r="L425" s="15"/>
      <c r="M425" s="15"/>
      <c r="N425" s="40"/>
      <c r="O425" s="15"/>
      <c r="P425" s="26"/>
      <c r="Q425" s="15"/>
      <c r="R425" s="15"/>
      <c r="S425" s="15"/>
      <c r="T425" s="15"/>
      <c r="U425" s="15"/>
      <c r="V425" s="95"/>
      <c r="W425" s="95"/>
      <c r="X425" s="15"/>
      <c r="Y425" s="15"/>
      <c r="Z425" s="15" t="str">
        <f t="shared" si="14"/>
        <v/>
      </c>
      <c r="AA425" s="15"/>
      <c r="AB425" s="15" t="str">
        <f t="shared" si="13"/>
        <v/>
      </c>
      <c r="AC425" s="15"/>
      <c r="AD425" s="15"/>
      <c r="AE425" s="15"/>
      <c r="AF425" s="15"/>
      <c r="AG425" s="15"/>
      <c r="AH425" s="15"/>
      <c r="AI425" s="15"/>
      <c r="AJ425" s="15"/>
      <c r="AK425" s="95"/>
      <c r="AL425" s="95"/>
      <c r="AM425" s="93"/>
      <c r="AN425" s="3"/>
      <c r="AP425" s="28"/>
      <c r="AQ425" s="29"/>
    </row>
    <row r="426" spans="1:43" ht="26.85" customHeight="1" x14ac:dyDescent="0.45">
      <c r="A426" s="15"/>
      <c r="B426" s="15"/>
      <c r="C426" s="15"/>
      <c r="D426" s="95"/>
      <c r="E426" s="95"/>
      <c r="F426" s="15"/>
      <c r="G426" s="95"/>
      <c r="H426" s="15"/>
      <c r="I426" s="15" t="str">
        <f>IF($H426&lt;&gt;"",(VLOOKUP(H426,'Other Lists'!O:P,2,FALSE)),"")</f>
        <v/>
      </c>
      <c r="J426" s="15"/>
      <c r="K426" s="15"/>
      <c r="L426" s="15"/>
      <c r="M426" s="15"/>
      <c r="N426" s="40"/>
      <c r="O426" s="15"/>
      <c r="P426" s="26"/>
      <c r="Q426" s="15"/>
      <c r="R426" s="15"/>
      <c r="S426" s="15"/>
      <c r="T426" s="15"/>
      <c r="U426" s="15"/>
      <c r="V426" s="95"/>
      <c r="W426" s="95"/>
      <c r="X426" s="15"/>
      <c r="Y426" s="15"/>
      <c r="Z426" s="15" t="str">
        <f t="shared" si="14"/>
        <v/>
      </c>
      <c r="AA426" s="15"/>
      <c r="AB426" s="15" t="str">
        <f t="shared" si="13"/>
        <v/>
      </c>
      <c r="AC426" s="15"/>
      <c r="AD426" s="15"/>
      <c r="AE426" s="15"/>
      <c r="AF426" s="15"/>
      <c r="AG426" s="15"/>
      <c r="AH426" s="15"/>
      <c r="AI426" s="15"/>
      <c r="AJ426" s="15"/>
      <c r="AK426" s="95"/>
      <c r="AL426" s="95"/>
      <c r="AM426" s="93"/>
      <c r="AN426" s="3"/>
      <c r="AP426" s="28"/>
      <c r="AQ426" s="29"/>
    </row>
    <row r="427" spans="1:43" ht="26.85" customHeight="1" x14ac:dyDescent="0.45">
      <c r="A427" s="15"/>
      <c r="B427" s="15"/>
      <c r="C427" s="15"/>
      <c r="D427" s="95"/>
      <c r="E427" s="95"/>
      <c r="F427" s="15"/>
      <c r="G427" s="95"/>
      <c r="H427" s="15"/>
      <c r="I427" s="15" t="str">
        <f>IF($H427&lt;&gt;"",(VLOOKUP(H427,'Other Lists'!O:P,2,FALSE)),"")</f>
        <v/>
      </c>
      <c r="J427" s="15"/>
      <c r="K427" s="15"/>
      <c r="L427" s="15"/>
      <c r="M427" s="15"/>
      <c r="N427" s="40"/>
      <c r="O427" s="15"/>
      <c r="P427" s="26"/>
      <c r="Q427" s="15"/>
      <c r="R427" s="15"/>
      <c r="S427" s="15"/>
      <c r="T427" s="15"/>
      <c r="U427" s="15"/>
      <c r="V427" s="95"/>
      <c r="W427" s="95"/>
      <c r="X427" s="15"/>
      <c r="Y427" s="15"/>
      <c r="Z427" s="15" t="str">
        <f t="shared" si="14"/>
        <v/>
      </c>
      <c r="AA427" s="15"/>
      <c r="AB427" s="15" t="str">
        <f t="shared" si="13"/>
        <v/>
      </c>
      <c r="AC427" s="15"/>
      <c r="AD427" s="15"/>
      <c r="AE427" s="15"/>
      <c r="AF427" s="15"/>
      <c r="AG427" s="15"/>
      <c r="AH427" s="15"/>
      <c r="AI427" s="15"/>
      <c r="AJ427" s="15"/>
      <c r="AK427" s="95"/>
      <c r="AL427" s="95"/>
      <c r="AM427" s="93"/>
      <c r="AN427" s="3"/>
      <c r="AP427" s="28"/>
      <c r="AQ427" s="29"/>
    </row>
    <row r="428" spans="1:43" ht="26.85" customHeight="1" x14ac:dyDescent="0.45">
      <c r="A428" s="15"/>
      <c r="B428" s="15"/>
      <c r="C428" s="15"/>
      <c r="D428" s="95"/>
      <c r="E428" s="95"/>
      <c r="F428" s="15"/>
      <c r="G428" s="95"/>
      <c r="H428" s="15"/>
      <c r="I428" s="15" t="str">
        <f>IF($H428&lt;&gt;"",(VLOOKUP(H428,'Other Lists'!O:P,2,FALSE)),"")</f>
        <v/>
      </c>
      <c r="J428" s="15"/>
      <c r="K428" s="15"/>
      <c r="L428" s="15"/>
      <c r="M428" s="15"/>
      <c r="N428" s="40"/>
      <c r="O428" s="15"/>
      <c r="P428" s="26"/>
      <c r="Q428" s="15"/>
      <c r="R428" s="15"/>
      <c r="S428" s="15"/>
      <c r="T428" s="15"/>
      <c r="U428" s="15"/>
      <c r="V428" s="95"/>
      <c r="W428" s="95"/>
      <c r="X428" s="15"/>
      <c r="Y428" s="15"/>
      <c r="Z428" s="15" t="str">
        <f t="shared" si="14"/>
        <v/>
      </c>
      <c r="AA428" s="15"/>
      <c r="AB428" s="15" t="str">
        <f t="shared" si="13"/>
        <v/>
      </c>
      <c r="AC428" s="15"/>
      <c r="AD428" s="15"/>
      <c r="AE428" s="15"/>
      <c r="AF428" s="15"/>
      <c r="AG428" s="15"/>
      <c r="AH428" s="15"/>
      <c r="AI428" s="15"/>
      <c r="AJ428" s="15"/>
      <c r="AK428" s="95"/>
      <c r="AL428" s="95"/>
      <c r="AM428" s="93"/>
      <c r="AN428" s="3"/>
      <c r="AP428" s="28"/>
      <c r="AQ428" s="29"/>
    </row>
    <row r="429" spans="1:43" ht="26.85" customHeight="1" x14ac:dyDescent="0.45">
      <c r="A429" s="15"/>
      <c r="B429" s="15"/>
      <c r="C429" s="15"/>
      <c r="D429" s="95"/>
      <c r="E429" s="95"/>
      <c r="F429" s="15"/>
      <c r="G429" s="95"/>
      <c r="H429" s="15"/>
      <c r="I429" s="15" t="str">
        <f>IF($H429&lt;&gt;"",(VLOOKUP(H429,'Other Lists'!O:P,2,FALSE)),"")</f>
        <v/>
      </c>
      <c r="J429" s="15"/>
      <c r="K429" s="15"/>
      <c r="L429" s="15"/>
      <c r="M429" s="15"/>
      <c r="N429" s="40"/>
      <c r="O429" s="15"/>
      <c r="P429" s="26"/>
      <c r="Q429" s="15"/>
      <c r="R429" s="15"/>
      <c r="S429" s="15"/>
      <c r="T429" s="15"/>
      <c r="U429" s="15"/>
      <c r="V429" s="95"/>
      <c r="W429" s="95"/>
      <c r="X429" s="15"/>
      <c r="Y429" s="15"/>
      <c r="Z429" s="15" t="str">
        <f t="shared" si="14"/>
        <v/>
      </c>
      <c r="AA429" s="15"/>
      <c r="AB429" s="15" t="str">
        <f t="shared" si="13"/>
        <v/>
      </c>
      <c r="AC429" s="15"/>
      <c r="AD429" s="15"/>
      <c r="AE429" s="15"/>
      <c r="AF429" s="15"/>
      <c r="AG429" s="15"/>
      <c r="AH429" s="15"/>
      <c r="AI429" s="15"/>
      <c r="AJ429" s="15"/>
      <c r="AK429" s="95"/>
      <c r="AL429" s="95"/>
      <c r="AM429" s="93"/>
      <c r="AN429" s="3"/>
      <c r="AP429" s="28"/>
      <c r="AQ429" s="29"/>
    </row>
    <row r="430" spans="1:43" ht="26.85" customHeight="1" x14ac:dyDescent="0.45">
      <c r="A430" s="15"/>
      <c r="B430" s="15"/>
      <c r="C430" s="15"/>
      <c r="D430" s="95"/>
      <c r="E430" s="95"/>
      <c r="F430" s="15"/>
      <c r="G430" s="95"/>
      <c r="H430" s="15"/>
      <c r="I430" s="15" t="str">
        <f>IF($H430&lt;&gt;"",(VLOOKUP(H430,'Other Lists'!O:P,2,FALSE)),"")</f>
        <v/>
      </c>
      <c r="J430" s="15"/>
      <c r="K430" s="15"/>
      <c r="L430" s="15"/>
      <c r="M430" s="15"/>
      <c r="N430" s="40"/>
      <c r="O430" s="15"/>
      <c r="P430" s="26"/>
      <c r="Q430" s="15"/>
      <c r="R430" s="15"/>
      <c r="S430" s="15"/>
      <c r="T430" s="15"/>
      <c r="U430" s="15"/>
      <c r="V430" s="95"/>
      <c r="W430" s="95"/>
      <c r="X430" s="15"/>
      <c r="Y430" s="15"/>
      <c r="Z430" s="15" t="str">
        <f t="shared" si="14"/>
        <v/>
      </c>
      <c r="AA430" s="15"/>
      <c r="AB430" s="15" t="str">
        <f t="shared" si="13"/>
        <v/>
      </c>
      <c r="AC430" s="15"/>
      <c r="AD430" s="15"/>
      <c r="AE430" s="15"/>
      <c r="AF430" s="15"/>
      <c r="AG430" s="15"/>
      <c r="AH430" s="15"/>
      <c r="AI430" s="15"/>
      <c r="AJ430" s="15"/>
      <c r="AK430" s="95"/>
      <c r="AL430" s="95"/>
      <c r="AM430" s="93"/>
      <c r="AN430" s="3"/>
      <c r="AP430" s="28"/>
      <c r="AQ430" s="29"/>
    </row>
    <row r="431" spans="1:43" ht="26.85" customHeight="1" x14ac:dyDescent="0.45">
      <c r="A431" s="15"/>
      <c r="B431" s="15"/>
      <c r="C431" s="15"/>
      <c r="D431" s="95"/>
      <c r="E431" s="95"/>
      <c r="F431" s="15"/>
      <c r="G431" s="95"/>
      <c r="H431" s="15"/>
      <c r="I431" s="15" t="str">
        <f>IF($H431&lt;&gt;"",(VLOOKUP(H431,'Other Lists'!O:P,2,FALSE)),"")</f>
        <v/>
      </c>
      <c r="J431" s="15"/>
      <c r="K431" s="15"/>
      <c r="L431" s="15"/>
      <c r="M431" s="15"/>
      <c r="N431" s="40"/>
      <c r="O431" s="15"/>
      <c r="P431" s="26"/>
      <c r="Q431" s="15"/>
      <c r="R431" s="15"/>
      <c r="S431" s="15"/>
      <c r="T431" s="15"/>
      <c r="U431" s="15"/>
      <c r="V431" s="95"/>
      <c r="W431" s="95"/>
      <c r="X431" s="15"/>
      <c r="Y431" s="15"/>
      <c r="Z431" s="15" t="str">
        <f t="shared" si="14"/>
        <v/>
      </c>
      <c r="AA431" s="15"/>
      <c r="AB431" s="15" t="str">
        <f t="shared" si="13"/>
        <v/>
      </c>
      <c r="AC431" s="15"/>
      <c r="AD431" s="15"/>
      <c r="AE431" s="15"/>
      <c r="AF431" s="15"/>
      <c r="AG431" s="15"/>
      <c r="AH431" s="15"/>
      <c r="AI431" s="15"/>
      <c r="AJ431" s="15"/>
      <c r="AK431" s="95"/>
      <c r="AL431" s="95"/>
      <c r="AM431" s="93"/>
      <c r="AN431" s="3"/>
      <c r="AP431" s="28"/>
      <c r="AQ431" s="29"/>
    </row>
    <row r="432" spans="1:43" ht="26.85" customHeight="1" x14ac:dyDescent="0.45">
      <c r="A432" s="15"/>
      <c r="B432" s="15"/>
      <c r="C432" s="15"/>
      <c r="D432" s="95"/>
      <c r="E432" s="95"/>
      <c r="F432" s="15"/>
      <c r="G432" s="95"/>
      <c r="H432" s="15"/>
      <c r="I432" s="15" t="str">
        <f>IF($H432&lt;&gt;"",(VLOOKUP(H432,'Other Lists'!O:P,2,FALSE)),"")</f>
        <v/>
      </c>
      <c r="J432" s="15"/>
      <c r="K432" s="15"/>
      <c r="L432" s="15"/>
      <c r="M432" s="15"/>
      <c r="N432" s="40"/>
      <c r="O432" s="15"/>
      <c r="P432" s="26"/>
      <c r="Q432" s="15"/>
      <c r="R432" s="15"/>
      <c r="S432" s="15"/>
      <c r="T432" s="15"/>
      <c r="U432" s="15"/>
      <c r="V432" s="95"/>
      <c r="W432" s="95"/>
      <c r="X432" s="15"/>
      <c r="Y432" s="15"/>
      <c r="Z432" s="15" t="str">
        <f t="shared" si="14"/>
        <v/>
      </c>
      <c r="AA432" s="15"/>
      <c r="AB432" s="15" t="str">
        <f t="shared" si="13"/>
        <v/>
      </c>
      <c r="AC432" s="15"/>
      <c r="AD432" s="15"/>
      <c r="AE432" s="15"/>
      <c r="AF432" s="15"/>
      <c r="AG432" s="15"/>
      <c r="AH432" s="15"/>
      <c r="AI432" s="15"/>
      <c r="AJ432" s="15"/>
      <c r="AK432" s="95"/>
      <c r="AL432" s="95"/>
      <c r="AM432" s="93"/>
      <c r="AN432" s="3"/>
      <c r="AP432" s="28"/>
      <c r="AQ432" s="29"/>
    </row>
    <row r="433" spans="1:43" ht="26.85" customHeight="1" x14ac:dyDescent="0.45">
      <c r="A433" s="15"/>
      <c r="B433" s="15"/>
      <c r="C433" s="15"/>
      <c r="D433" s="95"/>
      <c r="E433" s="95"/>
      <c r="F433" s="15"/>
      <c r="G433" s="95"/>
      <c r="H433" s="15"/>
      <c r="I433" s="15" t="str">
        <f>IF($H433&lt;&gt;"",(VLOOKUP(H433,'Other Lists'!O:P,2,FALSE)),"")</f>
        <v/>
      </c>
      <c r="J433" s="15"/>
      <c r="K433" s="15"/>
      <c r="L433" s="15"/>
      <c r="M433" s="15"/>
      <c r="N433" s="40"/>
      <c r="O433" s="15"/>
      <c r="P433" s="26"/>
      <c r="Q433" s="15"/>
      <c r="R433" s="15"/>
      <c r="S433" s="15"/>
      <c r="T433" s="15"/>
      <c r="U433" s="15"/>
      <c r="V433" s="95"/>
      <c r="W433" s="95"/>
      <c r="X433" s="15"/>
      <c r="Y433" s="15"/>
      <c r="Z433" s="15" t="str">
        <f t="shared" si="14"/>
        <v/>
      </c>
      <c r="AA433" s="15"/>
      <c r="AB433" s="15" t="str">
        <f t="shared" si="13"/>
        <v/>
      </c>
      <c r="AC433" s="15"/>
      <c r="AD433" s="15"/>
      <c r="AE433" s="15"/>
      <c r="AF433" s="15"/>
      <c r="AG433" s="15"/>
      <c r="AH433" s="15"/>
      <c r="AI433" s="15"/>
      <c r="AJ433" s="15"/>
      <c r="AK433" s="95"/>
      <c r="AL433" s="95"/>
      <c r="AM433" s="93"/>
      <c r="AN433" s="3"/>
      <c r="AP433" s="28"/>
      <c r="AQ433" s="29"/>
    </row>
    <row r="434" spans="1:43" ht="26.85" customHeight="1" x14ac:dyDescent="0.45">
      <c r="A434" s="15"/>
      <c r="B434" s="15"/>
      <c r="C434" s="15"/>
      <c r="D434" s="95"/>
      <c r="E434" s="95"/>
      <c r="F434" s="15"/>
      <c r="G434" s="95"/>
      <c r="H434" s="15"/>
      <c r="I434" s="15" t="str">
        <f>IF($H434&lt;&gt;"",(VLOOKUP(H434,'Other Lists'!O:P,2,FALSE)),"")</f>
        <v/>
      </c>
      <c r="J434" s="15"/>
      <c r="K434" s="15"/>
      <c r="L434" s="15"/>
      <c r="M434" s="15"/>
      <c r="N434" s="40"/>
      <c r="O434" s="15"/>
      <c r="P434" s="26"/>
      <c r="Q434" s="15"/>
      <c r="R434" s="15"/>
      <c r="S434" s="15"/>
      <c r="T434" s="15"/>
      <c r="U434" s="15"/>
      <c r="V434" s="95"/>
      <c r="W434" s="95"/>
      <c r="X434" s="15"/>
      <c r="Y434" s="15"/>
      <c r="Z434" s="15" t="str">
        <f t="shared" si="14"/>
        <v/>
      </c>
      <c r="AA434" s="15"/>
      <c r="AB434" s="15" t="str">
        <f t="shared" si="13"/>
        <v/>
      </c>
      <c r="AC434" s="15"/>
      <c r="AD434" s="15"/>
      <c r="AE434" s="15"/>
      <c r="AF434" s="15"/>
      <c r="AG434" s="15"/>
      <c r="AH434" s="15"/>
      <c r="AI434" s="15"/>
      <c r="AJ434" s="15"/>
      <c r="AK434" s="95"/>
      <c r="AL434" s="95"/>
      <c r="AM434" s="93"/>
      <c r="AN434" s="3"/>
      <c r="AP434" s="28"/>
      <c r="AQ434" s="29"/>
    </row>
    <row r="435" spans="1:43" ht="26.85" customHeight="1" x14ac:dyDescent="0.45">
      <c r="A435" s="15"/>
      <c r="B435" s="15"/>
      <c r="C435" s="15"/>
      <c r="D435" s="95"/>
      <c r="E435" s="95"/>
      <c r="F435" s="15"/>
      <c r="G435" s="95"/>
      <c r="H435" s="15"/>
      <c r="I435" s="15" t="str">
        <f>IF($H435&lt;&gt;"",(VLOOKUP(H435,'Other Lists'!O:P,2,FALSE)),"")</f>
        <v/>
      </c>
      <c r="J435" s="15"/>
      <c r="K435" s="15"/>
      <c r="L435" s="15"/>
      <c r="M435" s="15"/>
      <c r="N435" s="40"/>
      <c r="O435" s="15"/>
      <c r="P435" s="26"/>
      <c r="Q435" s="15"/>
      <c r="R435" s="15"/>
      <c r="S435" s="15"/>
      <c r="T435" s="15"/>
      <c r="U435" s="15"/>
      <c r="V435" s="95"/>
      <c r="W435" s="95"/>
      <c r="X435" s="15"/>
      <c r="Y435" s="15"/>
      <c r="Z435" s="15" t="str">
        <f t="shared" si="14"/>
        <v/>
      </c>
      <c r="AA435" s="15"/>
      <c r="AB435" s="15" t="str">
        <f t="shared" si="13"/>
        <v/>
      </c>
      <c r="AC435" s="15"/>
      <c r="AD435" s="15"/>
      <c r="AE435" s="15"/>
      <c r="AF435" s="15"/>
      <c r="AG435" s="15"/>
      <c r="AH435" s="15"/>
      <c r="AI435" s="15"/>
      <c r="AJ435" s="15"/>
      <c r="AK435" s="95"/>
      <c r="AL435" s="95"/>
      <c r="AM435" s="93"/>
      <c r="AN435" s="3"/>
      <c r="AP435" s="28"/>
      <c r="AQ435" s="29"/>
    </row>
    <row r="436" spans="1:43" ht="26.85" customHeight="1" x14ac:dyDescent="0.45">
      <c r="A436" s="15"/>
      <c r="B436" s="15"/>
      <c r="C436" s="15"/>
      <c r="D436" s="95"/>
      <c r="E436" s="95"/>
      <c r="F436" s="15"/>
      <c r="G436" s="95"/>
      <c r="H436" s="15"/>
      <c r="I436" s="15" t="str">
        <f>IF($H436&lt;&gt;"",(VLOOKUP(H436,'Other Lists'!O:P,2,FALSE)),"")</f>
        <v/>
      </c>
      <c r="J436" s="15"/>
      <c r="K436" s="15"/>
      <c r="L436" s="15"/>
      <c r="M436" s="15"/>
      <c r="N436" s="40"/>
      <c r="O436" s="15"/>
      <c r="P436" s="26"/>
      <c r="Q436" s="15"/>
      <c r="R436" s="15"/>
      <c r="S436" s="15"/>
      <c r="T436" s="15"/>
      <c r="U436" s="15"/>
      <c r="V436" s="95"/>
      <c r="W436" s="95"/>
      <c r="X436" s="15"/>
      <c r="Y436" s="15"/>
      <c r="Z436" s="15" t="str">
        <f t="shared" si="14"/>
        <v/>
      </c>
      <c r="AA436" s="15"/>
      <c r="AB436" s="15" t="str">
        <f t="shared" si="13"/>
        <v/>
      </c>
      <c r="AC436" s="15"/>
      <c r="AD436" s="15"/>
      <c r="AE436" s="15"/>
      <c r="AF436" s="15"/>
      <c r="AG436" s="15"/>
      <c r="AH436" s="15"/>
      <c r="AI436" s="15"/>
      <c r="AJ436" s="15"/>
      <c r="AK436" s="95"/>
      <c r="AL436" s="95"/>
      <c r="AM436" s="93"/>
      <c r="AN436" s="3"/>
      <c r="AP436" s="28"/>
      <c r="AQ436" s="29"/>
    </row>
    <row r="437" spans="1:43" ht="26.85" customHeight="1" x14ac:dyDescent="0.45">
      <c r="A437" s="15"/>
      <c r="B437" s="15"/>
      <c r="C437" s="15"/>
      <c r="D437" s="95"/>
      <c r="E437" s="95"/>
      <c r="F437" s="15"/>
      <c r="G437" s="95"/>
      <c r="H437" s="15"/>
      <c r="I437" s="15" t="str">
        <f>IF($H437&lt;&gt;"",(VLOOKUP(H437,'Other Lists'!O:P,2,FALSE)),"")</f>
        <v/>
      </c>
      <c r="J437" s="15"/>
      <c r="K437" s="15"/>
      <c r="L437" s="15"/>
      <c r="M437" s="15"/>
      <c r="N437" s="40"/>
      <c r="O437" s="15"/>
      <c r="P437" s="26"/>
      <c r="Q437" s="15"/>
      <c r="R437" s="15"/>
      <c r="S437" s="15"/>
      <c r="T437" s="15"/>
      <c r="U437" s="15"/>
      <c r="V437" s="95"/>
      <c r="W437" s="95"/>
      <c r="X437" s="15"/>
      <c r="Y437" s="15"/>
      <c r="Z437" s="15" t="str">
        <f t="shared" ref="Z437:Z492" si="15">(SUBSTITUTE(SUBSTITUTE(SUBSTITUTE(SUBSTITUTE(SUBSTITUTE(SUBSTITUTE($Y437,",","_")," ","_"),"/","_"),"(","_"),")",""),"-","_"))</f>
        <v/>
      </c>
      <c r="AA437" s="15"/>
      <c r="AB437" s="15" t="str">
        <f t="shared" ref="AB437:AB493" si="16">(SUBSTITUTE(SUBSTITUTE(SUBSTITUTE(SUBSTITUTE(SUBSTITUTE(SUBSTITUTE($AA437,",","_")," ","_"),"/","_"),"(","_"),")",""),"_","_"))</f>
        <v/>
      </c>
      <c r="AC437" s="15"/>
      <c r="AD437" s="15"/>
      <c r="AE437" s="15"/>
      <c r="AF437" s="15"/>
      <c r="AG437" s="15"/>
      <c r="AH437" s="15"/>
      <c r="AI437" s="15"/>
      <c r="AJ437" s="15"/>
      <c r="AK437" s="95"/>
      <c r="AL437" s="95"/>
      <c r="AM437" s="93"/>
      <c r="AN437" s="3"/>
      <c r="AP437" s="28"/>
      <c r="AQ437" s="29"/>
    </row>
    <row r="438" spans="1:43" ht="26.85" customHeight="1" x14ac:dyDescent="0.45">
      <c r="A438" s="15"/>
      <c r="B438" s="15"/>
      <c r="C438" s="15"/>
      <c r="D438" s="95"/>
      <c r="E438" s="95"/>
      <c r="F438" s="15"/>
      <c r="G438" s="95"/>
      <c r="H438" s="15"/>
      <c r="I438" s="15" t="str">
        <f>IF($H438&lt;&gt;"",(VLOOKUP(H438,'Other Lists'!O:P,2,FALSE)),"")</f>
        <v/>
      </c>
      <c r="J438" s="15"/>
      <c r="K438" s="15"/>
      <c r="L438" s="15"/>
      <c r="M438" s="15"/>
      <c r="N438" s="40"/>
      <c r="O438" s="15"/>
      <c r="P438" s="26"/>
      <c r="Q438" s="15"/>
      <c r="R438" s="15"/>
      <c r="S438" s="15"/>
      <c r="T438" s="15"/>
      <c r="U438" s="15"/>
      <c r="V438" s="95"/>
      <c r="W438" s="95"/>
      <c r="X438" s="15"/>
      <c r="Y438" s="15"/>
      <c r="Z438" s="15" t="str">
        <f t="shared" si="15"/>
        <v/>
      </c>
      <c r="AA438" s="15"/>
      <c r="AB438" s="15" t="str">
        <f t="shared" si="16"/>
        <v/>
      </c>
      <c r="AC438" s="15"/>
      <c r="AD438" s="15"/>
      <c r="AE438" s="15"/>
      <c r="AF438" s="15"/>
      <c r="AG438" s="15"/>
      <c r="AH438" s="15"/>
      <c r="AI438" s="15"/>
      <c r="AJ438" s="15"/>
      <c r="AK438" s="95"/>
      <c r="AL438" s="95"/>
      <c r="AM438" s="93"/>
      <c r="AN438" s="3"/>
      <c r="AP438" s="28"/>
      <c r="AQ438" s="29"/>
    </row>
    <row r="439" spans="1:43" ht="26.85" customHeight="1" x14ac:dyDescent="0.45">
      <c r="A439" s="15"/>
      <c r="B439" s="15"/>
      <c r="C439" s="15"/>
      <c r="D439" s="95"/>
      <c r="E439" s="95"/>
      <c r="F439" s="15"/>
      <c r="G439" s="95"/>
      <c r="H439" s="15"/>
      <c r="I439" s="15" t="str">
        <f>IF($H439&lt;&gt;"",(VLOOKUP(H439,'Other Lists'!O:P,2,FALSE)),"")</f>
        <v/>
      </c>
      <c r="J439" s="15"/>
      <c r="K439" s="15"/>
      <c r="L439" s="15"/>
      <c r="M439" s="15"/>
      <c r="N439" s="40"/>
      <c r="O439" s="15"/>
      <c r="P439" s="26"/>
      <c r="Q439" s="15"/>
      <c r="R439" s="15"/>
      <c r="S439" s="15"/>
      <c r="T439" s="15"/>
      <c r="U439" s="15"/>
      <c r="V439" s="95"/>
      <c r="W439" s="95"/>
      <c r="X439" s="15"/>
      <c r="Y439" s="15"/>
      <c r="Z439" s="15" t="str">
        <f t="shared" si="15"/>
        <v/>
      </c>
      <c r="AA439" s="15"/>
      <c r="AB439" s="15" t="str">
        <f t="shared" si="16"/>
        <v/>
      </c>
      <c r="AC439" s="15"/>
      <c r="AD439" s="15"/>
      <c r="AE439" s="15"/>
      <c r="AF439" s="15"/>
      <c r="AG439" s="15"/>
      <c r="AH439" s="15"/>
      <c r="AI439" s="15"/>
      <c r="AJ439" s="15"/>
      <c r="AK439" s="95"/>
      <c r="AL439" s="95"/>
      <c r="AM439" s="93"/>
      <c r="AN439" s="3"/>
      <c r="AP439" s="28"/>
      <c r="AQ439" s="29"/>
    </row>
    <row r="440" spans="1:43" ht="26.85" customHeight="1" x14ac:dyDescent="0.45">
      <c r="A440" s="15"/>
      <c r="B440" s="15"/>
      <c r="C440" s="15"/>
      <c r="D440" s="95"/>
      <c r="E440" s="95"/>
      <c r="F440" s="15"/>
      <c r="G440" s="95"/>
      <c r="H440" s="15"/>
      <c r="I440" s="15" t="str">
        <f>IF($H440&lt;&gt;"",(VLOOKUP(H440,'Other Lists'!O:P,2,FALSE)),"")</f>
        <v/>
      </c>
      <c r="J440" s="15"/>
      <c r="K440" s="15"/>
      <c r="L440" s="15"/>
      <c r="M440" s="15"/>
      <c r="N440" s="40"/>
      <c r="O440" s="15"/>
      <c r="P440" s="26"/>
      <c r="Q440" s="15"/>
      <c r="R440" s="15"/>
      <c r="S440" s="15"/>
      <c r="T440" s="15"/>
      <c r="U440" s="15"/>
      <c r="V440" s="95"/>
      <c r="W440" s="95"/>
      <c r="X440" s="15"/>
      <c r="Y440" s="15"/>
      <c r="Z440" s="15" t="str">
        <f t="shared" si="15"/>
        <v/>
      </c>
      <c r="AA440" s="15"/>
      <c r="AB440" s="15" t="str">
        <f t="shared" si="16"/>
        <v/>
      </c>
      <c r="AC440" s="15"/>
      <c r="AD440" s="15"/>
      <c r="AE440" s="15"/>
      <c r="AF440" s="15"/>
      <c r="AG440" s="15"/>
      <c r="AH440" s="15"/>
      <c r="AI440" s="15"/>
      <c r="AJ440" s="15"/>
      <c r="AK440" s="95"/>
      <c r="AL440" s="95"/>
      <c r="AM440" s="93"/>
      <c r="AN440" s="3"/>
      <c r="AP440" s="28"/>
      <c r="AQ440" s="29"/>
    </row>
    <row r="441" spans="1:43" ht="26.85" customHeight="1" x14ac:dyDescent="0.45">
      <c r="A441" s="15"/>
      <c r="B441" s="15"/>
      <c r="C441" s="15"/>
      <c r="D441" s="95"/>
      <c r="E441" s="95"/>
      <c r="F441" s="15"/>
      <c r="G441" s="95"/>
      <c r="H441" s="15"/>
      <c r="I441" s="15" t="str">
        <f>IF($H441&lt;&gt;"",(VLOOKUP(H441,'Other Lists'!O:P,2,FALSE)),"")</f>
        <v/>
      </c>
      <c r="J441" s="15"/>
      <c r="K441" s="15"/>
      <c r="L441" s="15"/>
      <c r="M441" s="15"/>
      <c r="N441" s="40"/>
      <c r="O441" s="15"/>
      <c r="P441" s="26"/>
      <c r="Q441" s="15"/>
      <c r="R441" s="15"/>
      <c r="S441" s="15"/>
      <c r="T441" s="15"/>
      <c r="U441" s="15"/>
      <c r="V441" s="95"/>
      <c r="W441" s="95"/>
      <c r="X441" s="15"/>
      <c r="Y441" s="15"/>
      <c r="Z441" s="15" t="str">
        <f t="shared" si="15"/>
        <v/>
      </c>
      <c r="AA441" s="15"/>
      <c r="AB441" s="15" t="str">
        <f t="shared" si="16"/>
        <v/>
      </c>
      <c r="AC441" s="15"/>
      <c r="AD441" s="15"/>
      <c r="AE441" s="15"/>
      <c r="AF441" s="15"/>
      <c r="AG441" s="15"/>
      <c r="AH441" s="15"/>
      <c r="AI441" s="15"/>
      <c r="AJ441" s="15"/>
      <c r="AK441" s="95"/>
      <c r="AL441" s="95"/>
      <c r="AM441" s="93"/>
      <c r="AN441" s="3"/>
      <c r="AP441" s="28"/>
      <c r="AQ441" s="29"/>
    </row>
    <row r="442" spans="1:43" ht="26.85" customHeight="1" x14ac:dyDescent="0.45">
      <c r="A442" s="15"/>
      <c r="B442" s="15"/>
      <c r="C442" s="15"/>
      <c r="D442" s="95"/>
      <c r="E442" s="95"/>
      <c r="F442" s="15"/>
      <c r="G442" s="95"/>
      <c r="H442" s="15"/>
      <c r="I442" s="15" t="str">
        <f>IF($H442&lt;&gt;"",(VLOOKUP(H442,'Other Lists'!O:P,2,FALSE)),"")</f>
        <v/>
      </c>
      <c r="J442" s="15"/>
      <c r="K442" s="15"/>
      <c r="L442" s="15"/>
      <c r="M442" s="15"/>
      <c r="N442" s="40"/>
      <c r="O442" s="15"/>
      <c r="P442" s="26"/>
      <c r="Q442" s="15"/>
      <c r="R442" s="15"/>
      <c r="S442" s="15"/>
      <c r="T442" s="15"/>
      <c r="U442" s="15"/>
      <c r="V442" s="95"/>
      <c r="W442" s="95"/>
      <c r="X442" s="15"/>
      <c r="Y442" s="15"/>
      <c r="Z442" s="15" t="str">
        <f t="shared" si="15"/>
        <v/>
      </c>
      <c r="AA442" s="15"/>
      <c r="AB442" s="15" t="str">
        <f t="shared" si="16"/>
        <v/>
      </c>
      <c r="AC442" s="15"/>
      <c r="AD442" s="15"/>
      <c r="AE442" s="15"/>
      <c r="AF442" s="15"/>
      <c r="AG442" s="15"/>
      <c r="AH442" s="15"/>
      <c r="AI442" s="15"/>
      <c r="AJ442" s="15"/>
      <c r="AK442" s="95"/>
      <c r="AL442" s="95"/>
      <c r="AM442" s="93"/>
      <c r="AN442" s="3"/>
      <c r="AP442" s="28"/>
      <c r="AQ442" s="29"/>
    </row>
    <row r="443" spans="1:43" ht="26.85" customHeight="1" x14ac:dyDescent="0.45">
      <c r="A443" s="15"/>
      <c r="B443" s="15"/>
      <c r="C443" s="15"/>
      <c r="D443" s="95"/>
      <c r="E443" s="95"/>
      <c r="F443" s="15"/>
      <c r="G443" s="95"/>
      <c r="H443" s="15"/>
      <c r="I443" s="15" t="str">
        <f>IF($H443&lt;&gt;"",(VLOOKUP(H443,'Other Lists'!O:P,2,FALSE)),"")</f>
        <v/>
      </c>
      <c r="J443" s="15"/>
      <c r="K443" s="15"/>
      <c r="L443" s="15"/>
      <c r="M443" s="15"/>
      <c r="N443" s="40"/>
      <c r="O443" s="15"/>
      <c r="P443" s="26"/>
      <c r="Q443" s="15"/>
      <c r="R443" s="15"/>
      <c r="S443" s="15"/>
      <c r="T443" s="15"/>
      <c r="U443" s="15"/>
      <c r="V443" s="95"/>
      <c r="W443" s="95"/>
      <c r="X443" s="15"/>
      <c r="Y443" s="15"/>
      <c r="Z443" s="15" t="str">
        <f t="shared" si="15"/>
        <v/>
      </c>
      <c r="AA443" s="15"/>
      <c r="AB443" s="15" t="str">
        <f t="shared" si="16"/>
        <v/>
      </c>
      <c r="AC443" s="15"/>
      <c r="AD443" s="15"/>
      <c r="AE443" s="15"/>
      <c r="AF443" s="15"/>
      <c r="AG443" s="15"/>
      <c r="AH443" s="15"/>
      <c r="AI443" s="15"/>
      <c r="AJ443" s="15"/>
      <c r="AK443" s="95"/>
      <c r="AL443" s="95"/>
      <c r="AM443" s="93"/>
      <c r="AN443" s="3"/>
      <c r="AP443" s="28"/>
      <c r="AQ443" s="29"/>
    </row>
    <row r="444" spans="1:43" ht="26.85" customHeight="1" x14ac:dyDescent="0.45">
      <c r="A444" s="15"/>
      <c r="B444" s="15"/>
      <c r="C444" s="15"/>
      <c r="D444" s="95"/>
      <c r="E444" s="95"/>
      <c r="F444" s="15"/>
      <c r="G444" s="95"/>
      <c r="H444" s="15"/>
      <c r="I444" s="15" t="str">
        <f>IF($H444&lt;&gt;"",(VLOOKUP(H444,'Other Lists'!O:P,2,FALSE)),"")</f>
        <v/>
      </c>
      <c r="J444" s="15"/>
      <c r="K444" s="15"/>
      <c r="L444" s="15"/>
      <c r="M444" s="15"/>
      <c r="N444" s="40"/>
      <c r="O444" s="15"/>
      <c r="P444" s="26"/>
      <c r="Q444" s="15"/>
      <c r="R444" s="15"/>
      <c r="S444" s="15"/>
      <c r="T444" s="15"/>
      <c r="U444" s="15"/>
      <c r="V444" s="95"/>
      <c r="W444" s="95"/>
      <c r="X444" s="15"/>
      <c r="Y444" s="15"/>
      <c r="Z444" s="15" t="str">
        <f t="shared" si="15"/>
        <v/>
      </c>
      <c r="AA444" s="15"/>
      <c r="AB444" s="15" t="str">
        <f t="shared" si="16"/>
        <v/>
      </c>
      <c r="AC444" s="15"/>
      <c r="AD444" s="15"/>
      <c r="AE444" s="15"/>
      <c r="AF444" s="15"/>
      <c r="AG444" s="15"/>
      <c r="AH444" s="15"/>
      <c r="AI444" s="15"/>
      <c r="AJ444" s="15"/>
      <c r="AK444" s="95"/>
      <c r="AL444" s="95"/>
      <c r="AM444" s="93"/>
      <c r="AN444" s="3"/>
      <c r="AP444" s="28"/>
      <c r="AQ444" s="29"/>
    </row>
    <row r="445" spans="1:43" ht="26.85" customHeight="1" x14ac:dyDescent="0.45">
      <c r="A445" s="15"/>
      <c r="B445" s="15"/>
      <c r="C445" s="15"/>
      <c r="D445" s="95"/>
      <c r="E445" s="95"/>
      <c r="F445" s="15"/>
      <c r="G445" s="95"/>
      <c r="H445" s="15"/>
      <c r="I445" s="15" t="str">
        <f>IF($H445&lt;&gt;"",(VLOOKUP(H445,'Other Lists'!O:P,2,FALSE)),"")</f>
        <v/>
      </c>
      <c r="J445" s="15"/>
      <c r="K445" s="15"/>
      <c r="L445" s="15"/>
      <c r="M445" s="15"/>
      <c r="N445" s="40"/>
      <c r="O445" s="15"/>
      <c r="P445" s="26"/>
      <c r="Q445" s="15"/>
      <c r="R445" s="15"/>
      <c r="S445" s="15"/>
      <c r="T445" s="15"/>
      <c r="U445" s="15"/>
      <c r="V445" s="95"/>
      <c r="W445" s="95"/>
      <c r="X445" s="15"/>
      <c r="Y445" s="15"/>
      <c r="Z445" s="15" t="str">
        <f t="shared" si="15"/>
        <v/>
      </c>
      <c r="AA445" s="15"/>
      <c r="AB445" s="15" t="str">
        <f t="shared" si="16"/>
        <v/>
      </c>
      <c r="AC445" s="15"/>
      <c r="AD445" s="15"/>
      <c r="AE445" s="15"/>
      <c r="AF445" s="15"/>
      <c r="AG445" s="15"/>
      <c r="AH445" s="15"/>
      <c r="AI445" s="15"/>
      <c r="AJ445" s="15"/>
      <c r="AK445" s="95"/>
      <c r="AL445" s="95"/>
      <c r="AM445" s="93"/>
      <c r="AN445" s="3"/>
      <c r="AP445" s="28"/>
      <c r="AQ445" s="29"/>
    </row>
    <row r="446" spans="1:43" ht="26.85" customHeight="1" x14ac:dyDescent="0.45">
      <c r="A446" s="15"/>
      <c r="B446" s="15"/>
      <c r="C446" s="15"/>
      <c r="D446" s="95"/>
      <c r="E446" s="95"/>
      <c r="F446" s="15"/>
      <c r="G446" s="95"/>
      <c r="H446" s="15"/>
      <c r="I446" s="15" t="str">
        <f>IF($H446&lt;&gt;"",(VLOOKUP(H446,'Other Lists'!O:P,2,FALSE)),"")</f>
        <v/>
      </c>
      <c r="J446" s="15"/>
      <c r="K446" s="15"/>
      <c r="L446" s="15"/>
      <c r="M446" s="15"/>
      <c r="N446" s="40"/>
      <c r="O446" s="15"/>
      <c r="P446" s="26"/>
      <c r="Q446" s="15"/>
      <c r="R446" s="15"/>
      <c r="S446" s="15"/>
      <c r="T446" s="15"/>
      <c r="U446" s="15"/>
      <c r="V446" s="95"/>
      <c r="W446" s="95"/>
      <c r="X446" s="15"/>
      <c r="Y446" s="15"/>
      <c r="Z446" s="15" t="str">
        <f t="shared" si="15"/>
        <v/>
      </c>
      <c r="AA446" s="15"/>
      <c r="AB446" s="15" t="str">
        <f t="shared" si="16"/>
        <v/>
      </c>
      <c r="AC446" s="15"/>
      <c r="AD446" s="15"/>
      <c r="AE446" s="15"/>
      <c r="AF446" s="15"/>
      <c r="AG446" s="15"/>
      <c r="AH446" s="15"/>
      <c r="AI446" s="15"/>
      <c r="AJ446" s="15"/>
      <c r="AK446" s="95"/>
      <c r="AL446" s="95"/>
      <c r="AM446" s="93"/>
      <c r="AN446" s="3"/>
      <c r="AP446" s="28"/>
      <c r="AQ446" s="29"/>
    </row>
    <row r="447" spans="1:43" ht="26.85" customHeight="1" x14ac:dyDescent="0.45">
      <c r="A447" s="15"/>
      <c r="B447" s="15"/>
      <c r="C447" s="15"/>
      <c r="D447" s="95"/>
      <c r="E447" s="95"/>
      <c r="F447" s="15"/>
      <c r="G447" s="95"/>
      <c r="H447" s="15"/>
      <c r="I447" s="15" t="str">
        <f>IF($H447&lt;&gt;"",(VLOOKUP(H447,'Other Lists'!O:P,2,FALSE)),"")</f>
        <v/>
      </c>
      <c r="J447" s="15"/>
      <c r="K447" s="15"/>
      <c r="L447" s="15"/>
      <c r="M447" s="15"/>
      <c r="N447" s="40"/>
      <c r="O447" s="15"/>
      <c r="P447" s="26"/>
      <c r="Q447" s="15"/>
      <c r="R447" s="15"/>
      <c r="S447" s="15"/>
      <c r="T447" s="15"/>
      <c r="U447" s="15"/>
      <c r="V447" s="95"/>
      <c r="W447" s="95"/>
      <c r="X447" s="15"/>
      <c r="Y447" s="15"/>
      <c r="Z447" s="15" t="str">
        <f t="shared" si="15"/>
        <v/>
      </c>
      <c r="AA447" s="15"/>
      <c r="AB447" s="15" t="str">
        <f t="shared" si="16"/>
        <v/>
      </c>
      <c r="AC447" s="15"/>
      <c r="AD447" s="15"/>
      <c r="AE447" s="15"/>
      <c r="AF447" s="15"/>
      <c r="AG447" s="15"/>
      <c r="AH447" s="15"/>
      <c r="AI447" s="15"/>
      <c r="AJ447" s="15"/>
      <c r="AK447" s="95"/>
      <c r="AL447" s="95"/>
      <c r="AM447" s="93"/>
      <c r="AN447" s="3"/>
      <c r="AP447" s="28"/>
      <c r="AQ447" s="29"/>
    </row>
    <row r="448" spans="1:43" ht="26.85" customHeight="1" x14ac:dyDescent="0.45">
      <c r="A448" s="15"/>
      <c r="B448" s="15"/>
      <c r="C448" s="15"/>
      <c r="D448" s="95"/>
      <c r="E448" s="95"/>
      <c r="F448" s="15"/>
      <c r="G448" s="95"/>
      <c r="H448" s="15"/>
      <c r="I448" s="15" t="str">
        <f>IF($H448&lt;&gt;"",(VLOOKUP(H448,'Other Lists'!O:P,2,FALSE)),"")</f>
        <v/>
      </c>
      <c r="J448" s="15"/>
      <c r="K448" s="15"/>
      <c r="L448" s="15"/>
      <c r="M448" s="15"/>
      <c r="N448" s="40"/>
      <c r="O448" s="15"/>
      <c r="P448" s="26"/>
      <c r="Q448" s="15"/>
      <c r="R448" s="15"/>
      <c r="S448" s="15"/>
      <c r="T448" s="15"/>
      <c r="U448" s="15"/>
      <c r="V448" s="95"/>
      <c r="W448" s="95"/>
      <c r="X448" s="15"/>
      <c r="Y448" s="15"/>
      <c r="Z448" s="15" t="str">
        <f t="shared" si="15"/>
        <v/>
      </c>
      <c r="AA448" s="15"/>
      <c r="AB448" s="15" t="str">
        <f t="shared" si="16"/>
        <v/>
      </c>
      <c r="AC448" s="15"/>
      <c r="AD448" s="15"/>
      <c r="AE448" s="15"/>
      <c r="AF448" s="15"/>
      <c r="AG448" s="15"/>
      <c r="AH448" s="15"/>
      <c r="AI448" s="15"/>
      <c r="AJ448" s="15"/>
      <c r="AK448" s="95"/>
      <c r="AL448" s="95"/>
      <c r="AM448" s="93"/>
      <c r="AN448" s="3"/>
      <c r="AP448" s="28"/>
      <c r="AQ448" s="29"/>
    </row>
    <row r="449" spans="1:43" ht="26.85" customHeight="1" x14ac:dyDescent="0.45">
      <c r="A449" s="15"/>
      <c r="B449" s="15"/>
      <c r="C449" s="15"/>
      <c r="D449" s="95"/>
      <c r="E449" s="95"/>
      <c r="F449" s="15"/>
      <c r="G449" s="95"/>
      <c r="H449" s="15"/>
      <c r="I449" s="15" t="str">
        <f>IF($H449&lt;&gt;"",(VLOOKUP(H449,'Other Lists'!O:P,2,FALSE)),"")</f>
        <v/>
      </c>
      <c r="J449" s="15"/>
      <c r="K449" s="15"/>
      <c r="L449" s="15"/>
      <c r="M449" s="15"/>
      <c r="N449" s="40"/>
      <c r="O449" s="15"/>
      <c r="P449" s="26"/>
      <c r="Q449" s="15"/>
      <c r="R449" s="15"/>
      <c r="S449" s="15"/>
      <c r="T449" s="15"/>
      <c r="U449" s="15"/>
      <c r="V449" s="95"/>
      <c r="W449" s="95"/>
      <c r="X449" s="15"/>
      <c r="Y449" s="15"/>
      <c r="Z449" s="15" t="str">
        <f t="shared" si="15"/>
        <v/>
      </c>
      <c r="AA449" s="15"/>
      <c r="AB449" s="15" t="str">
        <f t="shared" si="16"/>
        <v/>
      </c>
      <c r="AC449" s="15"/>
      <c r="AD449" s="15"/>
      <c r="AE449" s="15"/>
      <c r="AF449" s="15"/>
      <c r="AG449" s="15"/>
      <c r="AH449" s="15"/>
      <c r="AI449" s="15"/>
      <c r="AJ449" s="15"/>
      <c r="AK449" s="95"/>
      <c r="AL449" s="95"/>
      <c r="AM449" s="93"/>
      <c r="AN449" s="3"/>
      <c r="AP449" s="28"/>
      <c r="AQ449" s="29"/>
    </row>
    <row r="450" spans="1:43" ht="26.85" customHeight="1" x14ac:dyDescent="0.45">
      <c r="A450" s="15"/>
      <c r="B450" s="15"/>
      <c r="C450" s="15"/>
      <c r="D450" s="95"/>
      <c r="E450" s="95"/>
      <c r="F450" s="15"/>
      <c r="G450" s="95"/>
      <c r="H450" s="15"/>
      <c r="I450" s="15" t="str">
        <f>IF($H450&lt;&gt;"",(VLOOKUP(H450,'Other Lists'!O:P,2,FALSE)),"")</f>
        <v/>
      </c>
      <c r="J450" s="15"/>
      <c r="K450" s="15"/>
      <c r="L450" s="15"/>
      <c r="M450" s="15"/>
      <c r="N450" s="40"/>
      <c r="O450" s="15"/>
      <c r="P450" s="26"/>
      <c r="Q450" s="15"/>
      <c r="R450" s="15"/>
      <c r="S450" s="15"/>
      <c r="T450" s="15"/>
      <c r="U450" s="15"/>
      <c r="V450" s="95"/>
      <c r="W450" s="95"/>
      <c r="X450" s="15"/>
      <c r="Y450" s="15"/>
      <c r="Z450" s="15" t="str">
        <f t="shared" si="15"/>
        <v/>
      </c>
      <c r="AA450" s="15"/>
      <c r="AB450" s="15" t="str">
        <f t="shared" si="16"/>
        <v/>
      </c>
      <c r="AC450" s="15"/>
      <c r="AD450" s="15"/>
      <c r="AE450" s="15"/>
      <c r="AF450" s="15"/>
      <c r="AG450" s="15"/>
      <c r="AH450" s="15"/>
      <c r="AI450" s="15"/>
      <c r="AJ450" s="15"/>
      <c r="AK450" s="95"/>
      <c r="AL450" s="95"/>
      <c r="AM450" s="93"/>
      <c r="AN450" s="3"/>
      <c r="AP450" s="28"/>
      <c r="AQ450" s="29"/>
    </row>
    <row r="451" spans="1:43" ht="26.85" customHeight="1" x14ac:dyDescent="0.45">
      <c r="A451" s="15"/>
      <c r="B451" s="15"/>
      <c r="C451" s="15"/>
      <c r="D451" s="95"/>
      <c r="E451" s="95"/>
      <c r="F451" s="15"/>
      <c r="G451" s="95"/>
      <c r="H451" s="15"/>
      <c r="I451" s="15" t="str">
        <f>IF($H451&lt;&gt;"",(VLOOKUP(H451,'Other Lists'!O:P,2,FALSE)),"")</f>
        <v/>
      </c>
      <c r="J451" s="15"/>
      <c r="K451" s="15"/>
      <c r="L451" s="15"/>
      <c r="M451" s="15"/>
      <c r="N451" s="40"/>
      <c r="O451" s="15"/>
      <c r="P451" s="26"/>
      <c r="Q451" s="15"/>
      <c r="R451" s="15"/>
      <c r="S451" s="15"/>
      <c r="T451" s="15"/>
      <c r="U451" s="15"/>
      <c r="V451" s="95"/>
      <c r="W451" s="95"/>
      <c r="X451" s="15"/>
      <c r="Y451" s="15"/>
      <c r="Z451" s="15" t="str">
        <f t="shared" si="15"/>
        <v/>
      </c>
      <c r="AA451" s="15"/>
      <c r="AB451" s="15" t="str">
        <f t="shared" si="16"/>
        <v/>
      </c>
      <c r="AC451" s="15"/>
      <c r="AD451" s="15"/>
      <c r="AE451" s="15"/>
      <c r="AF451" s="15"/>
      <c r="AG451" s="15"/>
      <c r="AH451" s="15"/>
      <c r="AI451" s="15"/>
      <c r="AJ451" s="15"/>
      <c r="AK451" s="95"/>
      <c r="AL451" s="95"/>
      <c r="AM451" s="93"/>
      <c r="AN451" s="3"/>
      <c r="AP451" s="28"/>
      <c r="AQ451" s="29"/>
    </row>
    <row r="452" spans="1:43" ht="26.85" customHeight="1" x14ac:dyDescent="0.45">
      <c r="A452" s="15"/>
      <c r="B452" s="15"/>
      <c r="C452" s="15"/>
      <c r="D452" s="95"/>
      <c r="E452" s="95"/>
      <c r="F452" s="15"/>
      <c r="G452" s="95"/>
      <c r="H452" s="15"/>
      <c r="I452" s="15" t="str">
        <f>IF($H452&lt;&gt;"",(VLOOKUP(H452,'Other Lists'!O:P,2,FALSE)),"")</f>
        <v/>
      </c>
      <c r="J452" s="15"/>
      <c r="K452" s="15"/>
      <c r="L452" s="15"/>
      <c r="M452" s="15"/>
      <c r="N452" s="40"/>
      <c r="O452" s="15"/>
      <c r="P452" s="26"/>
      <c r="Q452" s="15"/>
      <c r="R452" s="15"/>
      <c r="S452" s="15"/>
      <c r="T452" s="15"/>
      <c r="U452" s="15"/>
      <c r="V452" s="95"/>
      <c r="W452" s="95"/>
      <c r="X452" s="15"/>
      <c r="Y452" s="15"/>
      <c r="Z452" s="15" t="str">
        <f t="shared" si="15"/>
        <v/>
      </c>
      <c r="AA452" s="15"/>
      <c r="AB452" s="15" t="str">
        <f t="shared" si="16"/>
        <v/>
      </c>
      <c r="AC452" s="15"/>
      <c r="AD452" s="15"/>
      <c r="AE452" s="15"/>
      <c r="AF452" s="15"/>
      <c r="AG452" s="15"/>
      <c r="AH452" s="15"/>
      <c r="AI452" s="15"/>
      <c r="AJ452" s="15"/>
      <c r="AK452" s="95"/>
      <c r="AL452" s="95"/>
      <c r="AM452" s="93"/>
      <c r="AN452" s="3"/>
      <c r="AP452" s="28"/>
      <c r="AQ452" s="29"/>
    </row>
    <row r="453" spans="1:43" ht="26.85" customHeight="1" x14ac:dyDescent="0.45">
      <c r="A453" s="15"/>
      <c r="B453" s="15"/>
      <c r="C453" s="15"/>
      <c r="D453" s="95"/>
      <c r="E453" s="95"/>
      <c r="F453" s="15"/>
      <c r="G453" s="95"/>
      <c r="H453" s="15"/>
      <c r="I453" s="15" t="str">
        <f>IF($H453&lt;&gt;"",(VLOOKUP(H453,'Other Lists'!O:P,2,FALSE)),"")</f>
        <v/>
      </c>
      <c r="J453" s="15"/>
      <c r="K453" s="15"/>
      <c r="L453" s="15"/>
      <c r="M453" s="15"/>
      <c r="N453" s="40"/>
      <c r="O453" s="15"/>
      <c r="P453" s="26"/>
      <c r="Q453" s="15"/>
      <c r="R453" s="15"/>
      <c r="S453" s="15"/>
      <c r="T453" s="15"/>
      <c r="U453" s="15"/>
      <c r="V453" s="95"/>
      <c r="W453" s="95"/>
      <c r="X453" s="15"/>
      <c r="Y453" s="15"/>
      <c r="Z453" s="15" t="str">
        <f t="shared" si="15"/>
        <v/>
      </c>
      <c r="AA453" s="15"/>
      <c r="AB453" s="15" t="str">
        <f t="shared" si="16"/>
        <v/>
      </c>
      <c r="AC453" s="15"/>
      <c r="AD453" s="15"/>
      <c r="AE453" s="15"/>
      <c r="AF453" s="15"/>
      <c r="AG453" s="15"/>
      <c r="AH453" s="15"/>
      <c r="AI453" s="15"/>
      <c r="AJ453" s="15"/>
      <c r="AK453" s="95"/>
      <c r="AL453" s="95"/>
      <c r="AM453" s="93"/>
      <c r="AN453" s="3"/>
      <c r="AP453" s="28"/>
      <c r="AQ453" s="29"/>
    </row>
    <row r="454" spans="1:43" ht="26.85" customHeight="1" x14ac:dyDescent="0.45">
      <c r="A454" s="15"/>
      <c r="B454" s="15"/>
      <c r="C454" s="15"/>
      <c r="D454" s="95"/>
      <c r="E454" s="95"/>
      <c r="F454" s="15"/>
      <c r="G454" s="95"/>
      <c r="H454" s="15"/>
      <c r="I454" s="15" t="str">
        <f>IF($H454&lt;&gt;"",(VLOOKUP(H454,'Other Lists'!O:P,2,FALSE)),"")</f>
        <v/>
      </c>
      <c r="J454" s="15"/>
      <c r="K454" s="15"/>
      <c r="L454" s="15"/>
      <c r="M454" s="15"/>
      <c r="N454" s="40"/>
      <c r="O454" s="15"/>
      <c r="P454" s="26"/>
      <c r="Q454" s="15"/>
      <c r="R454" s="15"/>
      <c r="S454" s="15"/>
      <c r="T454" s="15"/>
      <c r="U454" s="15"/>
      <c r="V454" s="95"/>
      <c r="W454" s="95"/>
      <c r="X454" s="15"/>
      <c r="Y454" s="15"/>
      <c r="Z454" s="15" t="str">
        <f t="shared" si="15"/>
        <v/>
      </c>
      <c r="AA454" s="15"/>
      <c r="AB454" s="15" t="str">
        <f t="shared" si="16"/>
        <v/>
      </c>
      <c r="AC454" s="15"/>
      <c r="AD454" s="15"/>
      <c r="AE454" s="15"/>
      <c r="AF454" s="15"/>
      <c r="AG454" s="15"/>
      <c r="AH454" s="15"/>
      <c r="AI454" s="15"/>
      <c r="AJ454" s="15"/>
      <c r="AK454" s="95"/>
      <c r="AL454" s="95"/>
      <c r="AM454" s="93"/>
      <c r="AN454" s="3"/>
      <c r="AP454" s="28"/>
      <c r="AQ454" s="29"/>
    </row>
    <row r="455" spans="1:43" ht="26.85" customHeight="1" x14ac:dyDescent="0.45">
      <c r="A455" s="15"/>
      <c r="B455" s="15"/>
      <c r="C455" s="15"/>
      <c r="D455" s="95"/>
      <c r="E455" s="95"/>
      <c r="F455" s="15"/>
      <c r="G455" s="95"/>
      <c r="H455" s="15"/>
      <c r="I455" s="15" t="str">
        <f>IF($H455&lt;&gt;"",(VLOOKUP(H455,'Other Lists'!O:P,2,FALSE)),"")</f>
        <v/>
      </c>
      <c r="J455" s="15"/>
      <c r="K455" s="15"/>
      <c r="L455" s="15"/>
      <c r="M455" s="15"/>
      <c r="N455" s="40"/>
      <c r="O455" s="15"/>
      <c r="P455" s="26"/>
      <c r="Q455" s="15"/>
      <c r="R455" s="15"/>
      <c r="S455" s="15"/>
      <c r="T455" s="15"/>
      <c r="U455" s="15"/>
      <c r="V455" s="95"/>
      <c r="W455" s="95"/>
      <c r="X455" s="15"/>
      <c r="Y455" s="15"/>
      <c r="Z455" s="15" t="str">
        <f t="shared" si="15"/>
        <v/>
      </c>
      <c r="AA455" s="15"/>
      <c r="AB455" s="15" t="str">
        <f t="shared" si="16"/>
        <v/>
      </c>
      <c r="AC455" s="15"/>
      <c r="AD455" s="15"/>
      <c r="AE455" s="15"/>
      <c r="AF455" s="15"/>
      <c r="AG455" s="15"/>
      <c r="AH455" s="15"/>
      <c r="AI455" s="15"/>
      <c r="AJ455" s="15"/>
      <c r="AK455" s="95"/>
      <c r="AL455" s="95"/>
      <c r="AM455" s="93"/>
      <c r="AN455" s="3"/>
      <c r="AP455" s="28"/>
      <c r="AQ455" s="29"/>
    </row>
    <row r="456" spans="1:43" ht="26.85" customHeight="1" x14ac:dyDescent="0.45">
      <c r="A456" s="15"/>
      <c r="B456" s="15"/>
      <c r="C456" s="15"/>
      <c r="D456" s="95"/>
      <c r="E456" s="95"/>
      <c r="F456" s="15"/>
      <c r="G456" s="95"/>
      <c r="H456" s="15"/>
      <c r="I456" s="15" t="str">
        <f>IF($H456&lt;&gt;"",(VLOOKUP(H456,'Other Lists'!O:P,2,FALSE)),"")</f>
        <v/>
      </c>
      <c r="J456" s="15"/>
      <c r="K456" s="15"/>
      <c r="L456" s="15"/>
      <c r="M456" s="15"/>
      <c r="N456" s="40"/>
      <c r="O456" s="15"/>
      <c r="P456" s="26"/>
      <c r="Q456" s="15"/>
      <c r="R456" s="15"/>
      <c r="S456" s="15"/>
      <c r="T456" s="15"/>
      <c r="U456" s="15"/>
      <c r="V456" s="95"/>
      <c r="W456" s="95"/>
      <c r="X456" s="15"/>
      <c r="Y456" s="15"/>
      <c r="Z456" s="15" t="str">
        <f t="shared" si="15"/>
        <v/>
      </c>
      <c r="AA456" s="15"/>
      <c r="AB456" s="15" t="str">
        <f t="shared" si="16"/>
        <v/>
      </c>
      <c r="AC456" s="15"/>
      <c r="AD456" s="15"/>
      <c r="AE456" s="15"/>
      <c r="AF456" s="15"/>
      <c r="AG456" s="15"/>
      <c r="AH456" s="15"/>
      <c r="AI456" s="15"/>
      <c r="AJ456" s="15"/>
      <c r="AK456" s="95"/>
      <c r="AL456" s="95"/>
      <c r="AM456" s="93"/>
      <c r="AN456" s="3"/>
      <c r="AP456" s="28"/>
      <c r="AQ456" s="29"/>
    </row>
    <row r="457" spans="1:43" ht="26.85" customHeight="1" x14ac:dyDescent="0.45">
      <c r="A457" s="15"/>
      <c r="B457" s="15"/>
      <c r="C457" s="15"/>
      <c r="D457" s="95"/>
      <c r="E457" s="95"/>
      <c r="F457" s="15"/>
      <c r="G457" s="95"/>
      <c r="H457" s="15"/>
      <c r="I457" s="15" t="str">
        <f>IF($H457&lt;&gt;"",(VLOOKUP(H457,'Other Lists'!O:P,2,FALSE)),"")</f>
        <v/>
      </c>
      <c r="J457" s="15"/>
      <c r="K457" s="15"/>
      <c r="L457" s="15"/>
      <c r="M457" s="15"/>
      <c r="N457" s="40"/>
      <c r="O457" s="15"/>
      <c r="P457" s="26"/>
      <c r="Q457" s="15"/>
      <c r="R457" s="15"/>
      <c r="S457" s="15"/>
      <c r="T457" s="15"/>
      <c r="U457" s="15"/>
      <c r="V457" s="95"/>
      <c r="W457" s="95"/>
      <c r="X457" s="15"/>
      <c r="Y457" s="15"/>
      <c r="Z457" s="15" t="str">
        <f t="shared" si="15"/>
        <v/>
      </c>
      <c r="AA457" s="15"/>
      <c r="AB457" s="15" t="str">
        <f t="shared" si="16"/>
        <v/>
      </c>
      <c r="AC457" s="15"/>
      <c r="AD457" s="15"/>
      <c r="AE457" s="15"/>
      <c r="AF457" s="15"/>
      <c r="AG457" s="15"/>
      <c r="AH457" s="15"/>
      <c r="AI457" s="15"/>
      <c r="AJ457" s="15"/>
      <c r="AK457" s="95"/>
      <c r="AL457" s="95"/>
      <c r="AM457" s="93"/>
      <c r="AN457" s="3"/>
      <c r="AP457" s="28"/>
      <c r="AQ457" s="29"/>
    </row>
    <row r="458" spans="1:43" ht="26.85" customHeight="1" x14ac:dyDescent="0.45">
      <c r="A458" s="15"/>
      <c r="B458" s="15"/>
      <c r="C458" s="15"/>
      <c r="D458" s="95"/>
      <c r="E458" s="95"/>
      <c r="F458" s="15"/>
      <c r="G458" s="95"/>
      <c r="H458" s="15"/>
      <c r="I458" s="15" t="str">
        <f>IF($H458&lt;&gt;"",(VLOOKUP(H458,'Other Lists'!O:P,2,FALSE)),"")</f>
        <v/>
      </c>
      <c r="J458" s="15"/>
      <c r="K458" s="15"/>
      <c r="L458" s="15"/>
      <c r="M458" s="15"/>
      <c r="N458" s="40"/>
      <c r="O458" s="15"/>
      <c r="P458" s="26"/>
      <c r="Q458" s="15"/>
      <c r="R458" s="15"/>
      <c r="S458" s="15"/>
      <c r="T458" s="15"/>
      <c r="U458" s="15"/>
      <c r="V458" s="95"/>
      <c r="W458" s="95"/>
      <c r="X458" s="15"/>
      <c r="Y458" s="15"/>
      <c r="Z458" s="15" t="str">
        <f t="shared" si="15"/>
        <v/>
      </c>
      <c r="AA458" s="15"/>
      <c r="AB458" s="15" t="str">
        <f t="shared" si="16"/>
        <v/>
      </c>
      <c r="AC458" s="15"/>
      <c r="AD458" s="15"/>
      <c r="AE458" s="15"/>
      <c r="AF458" s="15"/>
      <c r="AG458" s="15"/>
      <c r="AH458" s="15"/>
      <c r="AI458" s="15"/>
      <c r="AJ458" s="15"/>
      <c r="AK458" s="95"/>
      <c r="AL458" s="95"/>
      <c r="AM458" s="93"/>
      <c r="AN458" s="3"/>
      <c r="AP458" s="28"/>
      <c r="AQ458" s="29"/>
    </row>
    <row r="459" spans="1:43" ht="26.85" customHeight="1" x14ac:dyDescent="0.45">
      <c r="A459" s="15"/>
      <c r="B459" s="15"/>
      <c r="C459" s="15"/>
      <c r="D459" s="95"/>
      <c r="E459" s="95"/>
      <c r="F459" s="15"/>
      <c r="G459" s="95"/>
      <c r="H459" s="15"/>
      <c r="I459" s="15" t="str">
        <f>IF($H459&lt;&gt;"",(VLOOKUP(H459,'Other Lists'!O:P,2,FALSE)),"")</f>
        <v/>
      </c>
      <c r="J459" s="15"/>
      <c r="K459" s="15"/>
      <c r="L459" s="15"/>
      <c r="M459" s="15"/>
      <c r="N459" s="40"/>
      <c r="O459" s="15"/>
      <c r="P459" s="26"/>
      <c r="Q459" s="15"/>
      <c r="R459" s="15"/>
      <c r="S459" s="15"/>
      <c r="T459" s="15"/>
      <c r="U459" s="15"/>
      <c r="V459" s="95"/>
      <c r="W459" s="95"/>
      <c r="X459" s="15"/>
      <c r="Y459" s="15"/>
      <c r="Z459" s="15" t="str">
        <f t="shared" si="15"/>
        <v/>
      </c>
      <c r="AA459" s="15"/>
      <c r="AB459" s="15" t="str">
        <f t="shared" si="16"/>
        <v/>
      </c>
      <c r="AC459" s="15"/>
      <c r="AD459" s="15"/>
      <c r="AE459" s="15"/>
      <c r="AF459" s="15"/>
      <c r="AG459" s="15"/>
      <c r="AH459" s="15"/>
      <c r="AI459" s="15"/>
      <c r="AJ459" s="15"/>
      <c r="AK459" s="95"/>
      <c r="AL459" s="95"/>
      <c r="AM459" s="93"/>
      <c r="AN459" s="3"/>
      <c r="AP459" s="28"/>
      <c r="AQ459" s="29"/>
    </row>
    <row r="460" spans="1:43" ht="26.85" customHeight="1" x14ac:dyDescent="0.45">
      <c r="A460" s="15"/>
      <c r="B460" s="15"/>
      <c r="C460" s="15"/>
      <c r="D460" s="95"/>
      <c r="E460" s="95"/>
      <c r="F460" s="15"/>
      <c r="G460" s="95"/>
      <c r="H460" s="15"/>
      <c r="I460" s="15" t="str">
        <f>IF($H460&lt;&gt;"",(VLOOKUP(H460,'Other Lists'!O:P,2,FALSE)),"")</f>
        <v/>
      </c>
      <c r="J460" s="15"/>
      <c r="K460" s="15"/>
      <c r="L460" s="15"/>
      <c r="M460" s="15"/>
      <c r="N460" s="40"/>
      <c r="O460" s="15"/>
      <c r="P460" s="26"/>
      <c r="Q460" s="15"/>
      <c r="R460" s="15"/>
      <c r="S460" s="15"/>
      <c r="T460" s="15"/>
      <c r="U460" s="15"/>
      <c r="V460" s="95"/>
      <c r="W460" s="95"/>
      <c r="X460" s="15"/>
      <c r="Y460" s="15"/>
      <c r="Z460" s="15" t="str">
        <f t="shared" si="15"/>
        <v/>
      </c>
      <c r="AA460" s="15"/>
      <c r="AB460" s="15" t="str">
        <f t="shared" si="16"/>
        <v/>
      </c>
      <c r="AC460" s="15"/>
      <c r="AD460" s="15"/>
      <c r="AE460" s="15"/>
      <c r="AF460" s="15"/>
      <c r="AG460" s="15"/>
      <c r="AH460" s="15"/>
      <c r="AI460" s="15"/>
      <c r="AJ460" s="15"/>
      <c r="AK460" s="95"/>
      <c r="AL460" s="95"/>
      <c r="AM460" s="93"/>
      <c r="AN460" s="3"/>
      <c r="AP460" s="28"/>
      <c r="AQ460" s="29"/>
    </row>
    <row r="461" spans="1:43" ht="26.85" customHeight="1" x14ac:dyDescent="0.45">
      <c r="A461" s="15"/>
      <c r="B461" s="15"/>
      <c r="C461" s="15"/>
      <c r="D461" s="95"/>
      <c r="E461" s="95"/>
      <c r="F461" s="15"/>
      <c r="G461" s="95"/>
      <c r="H461" s="15"/>
      <c r="I461" s="15" t="str">
        <f>IF($H461&lt;&gt;"",(VLOOKUP(H461,'Other Lists'!O:P,2,FALSE)),"")</f>
        <v/>
      </c>
      <c r="J461" s="15"/>
      <c r="K461" s="15"/>
      <c r="L461" s="15"/>
      <c r="M461" s="15"/>
      <c r="N461" s="40"/>
      <c r="O461" s="15"/>
      <c r="P461" s="26"/>
      <c r="Q461" s="15"/>
      <c r="R461" s="15"/>
      <c r="S461" s="15"/>
      <c r="T461" s="15"/>
      <c r="U461" s="15"/>
      <c r="V461" s="95"/>
      <c r="W461" s="95"/>
      <c r="X461" s="15"/>
      <c r="Y461" s="15"/>
      <c r="Z461" s="15" t="str">
        <f t="shared" si="15"/>
        <v/>
      </c>
      <c r="AA461" s="15"/>
      <c r="AB461" s="15" t="str">
        <f t="shared" si="16"/>
        <v/>
      </c>
      <c r="AC461" s="15"/>
      <c r="AD461" s="15"/>
      <c r="AE461" s="15"/>
      <c r="AF461" s="15"/>
      <c r="AG461" s="15"/>
      <c r="AH461" s="15"/>
      <c r="AI461" s="15"/>
      <c r="AJ461" s="15"/>
      <c r="AK461" s="95"/>
      <c r="AL461" s="95"/>
      <c r="AM461" s="93"/>
      <c r="AN461" s="3"/>
      <c r="AP461" s="28"/>
      <c r="AQ461" s="29"/>
    </row>
    <row r="462" spans="1:43" ht="26.85" customHeight="1" x14ac:dyDescent="0.45">
      <c r="A462" s="15"/>
      <c r="B462" s="15"/>
      <c r="C462" s="15"/>
      <c r="D462" s="95"/>
      <c r="E462" s="95"/>
      <c r="F462" s="15"/>
      <c r="G462" s="95"/>
      <c r="H462" s="15"/>
      <c r="I462" s="15" t="str">
        <f>IF($H462&lt;&gt;"",(VLOOKUP(H462,'Other Lists'!O:P,2,FALSE)),"")</f>
        <v/>
      </c>
      <c r="J462" s="15"/>
      <c r="K462" s="15"/>
      <c r="L462" s="15"/>
      <c r="M462" s="15"/>
      <c r="N462" s="40"/>
      <c r="O462" s="15"/>
      <c r="P462" s="26"/>
      <c r="Q462" s="15"/>
      <c r="R462" s="15"/>
      <c r="S462" s="15"/>
      <c r="T462" s="15"/>
      <c r="U462" s="15"/>
      <c r="V462" s="95"/>
      <c r="W462" s="95"/>
      <c r="X462" s="15"/>
      <c r="Y462" s="15"/>
      <c r="Z462" s="15" t="str">
        <f t="shared" si="15"/>
        <v/>
      </c>
      <c r="AA462" s="15"/>
      <c r="AB462" s="15" t="str">
        <f t="shared" si="16"/>
        <v/>
      </c>
      <c r="AC462" s="15"/>
      <c r="AD462" s="15"/>
      <c r="AE462" s="15"/>
      <c r="AF462" s="15"/>
      <c r="AG462" s="15"/>
      <c r="AH462" s="15"/>
      <c r="AI462" s="15"/>
      <c r="AJ462" s="15"/>
      <c r="AK462" s="95"/>
      <c r="AL462" s="95"/>
      <c r="AM462" s="93"/>
      <c r="AN462" s="3"/>
      <c r="AP462" s="28"/>
      <c r="AQ462" s="29"/>
    </row>
    <row r="463" spans="1:43" ht="26.85" customHeight="1" x14ac:dyDescent="0.45">
      <c r="A463" s="15"/>
      <c r="B463" s="15"/>
      <c r="C463" s="15"/>
      <c r="D463" s="95"/>
      <c r="E463" s="95"/>
      <c r="F463" s="15"/>
      <c r="G463" s="95"/>
      <c r="H463" s="15"/>
      <c r="I463" s="15" t="str">
        <f>IF($H463&lt;&gt;"",(VLOOKUP(H463,'Other Lists'!O:P,2,FALSE)),"")</f>
        <v/>
      </c>
      <c r="J463" s="15"/>
      <c r="K463" s="15"/>
      <c r="L463" s="15"/>
      <c r="M463" s="15"/>
      <c r="N463" s="40"/>
      <c r="O463" s="15"/>
      <c r="P463" s="26"/>
      <c r="Q463" s="15"/>
      <c r="R463" s="15"/>
      <c r="S463" s="15"/>
      <c r="T463" s="15"/>
      <c r="U463" s="15"/>
      <c r="V463" s="95"/>
      <c r="W463" s="95"/>
      <c r="X463" s="15"/>
      <c r="Y463" s="15"/>
      <c r="Z463" s="15" t="str">
        <f t="shared" si="15"/>
        <v/>
      </c>
      <c r="AA463" s="15"/>
      <c r="AB463" s="15" t="str">
        <f t="shared" si="16"/>
        <v/>
      </c>
      <c r="AC463" s="15"/>
      <c r="AD463" s="15"/>
      <c r="AE463" s="15"/>
      <c r="AF463" s="15"/>
      <c r="AG463" s="15"/>
      <c r="AH463" s="15"/>
      <c r="AI463" s="15"/>
      <c r="AJ463" s="15"/>
      <c r="AK463" s="95"/>
      <c r="AL463" s="95"/>
      <c r="AM463" s="93"/>
      <c r="AN463" s="3"/>
      <c r="AP463" s="28"/>
      <c r="AQ463" s="29"/>
    </row>
    <row r="464" spans="1:43" ht="26.85" customHeight="1" x14ac:dyDescent="0.45">
      <c r="A464" s="15"/>
      <c r="B464" s="15"/>
      <c r="C464" s="15"/>
      <c r="D464" s="95"/>
      <c r="E464" s="95"/>
      <c r="F464" s="15"/>
      <c r="G464" s="95"/>
      <c r="H464" s="15"/>
      <c r="I464" s="15" t="str">
        <f>IF($H464&lt;&gt;"",(VLOOKUP(H464,'Other Lists'!O:P,2,FALSE)),"")</f>
        <v/>
      </c>
      <c r="J464" s="15"/>
      <c r="K464" s="15"/>
      <c r="L464" s="15"/>
      <c r="M464" s="15"/>
      <c r="N464" s="40"/>
      <c r="O464" s="15"/>
      <c r="P464" s="26"/>
      <c r="Q464" s="15"/>
      <c r="R464" s="15"/>
      <c r="S464" s="15"/>
      <c r="T464" s="15"/>
      <c r="U464" s="15"/>
      <c r="V464" s="95"/>
      <c r="W464" s="95"/>
      <c r="X464" s="15"/>
      <c r="Y464" s="15"/>
      <c r="Z464" s="15" t="str">
        <f t="shared" si="15"/>
        <v/>
      </c>
      <c r="AA464" s="15"/>
      <c r="AB464" s="15" t="str">
        <f t="shared" si="16"/>
        <v/>
      </c>
      <c r="AC464" s="15"/>
      <c r="AD464" s="15"/>
      <c r="AE464" s="15"/>
      <c r="AF464" s="15"/>
      <c r="AG464" s="15"/>
      <c r="AH464" s="15"/>
      <c r="AI464" s="15"/>
      <c r="AJ464" s="15"/>
      <c r="AK464" s="95"/>
      <c r="AL464" s="95"/>
      <c r="AM464" s="93"/>
      <c r="AN464" s="3"/>
      <c r="AP464" s="28"/>
      <c r="AQ464" s="29"/>
    </row>
    <row r="465" spans="1:43" ht="26.85" customHeight="1" x14ac:dyDescent="0.45">
      <c r="A465" s="15"/>
      <c r="B465" s="15"/>
      <c r="C465" s="15"/>
      <c r="D465" s="95"/>
      <c r="E465" s="95"/>
      <c r="F465" s="15"/>
      <c r="G465" s="95"/>
      <c r="H465" s="15"/>
      <c r="I465" s="15" t="str">
        <f>IF($H465&lt;&gt;"",(VLOOKUP(H465,'Other Lists'!O:P,2,FALSE)),"")</f>
        <v/>
      </c>
      <c r="J465" s="15"/>
      <c r="K465" s="15"/>
      <c r="L465" s="15"/>
      <c r="M465" s="15"/>
      <c r="N465" s="40"/>
      <c r="O465" s="15"/>
      <c r="P465" s="26"/>
      <c r="Q465" s="15"/>
      <c r="R465" s="15"/>
      <c r="S465" s="15"/>
      <c r="T465" s="15"/>
      <c r="U465" s="15"/>
      <c r="V465" s="95"/>
      <c r="W465" s="95"/>
      <c r="X465" s="15"/>
      <c r="Y465" s="15"/>
      <c r="Z465" s="15" t="str">
        <f t="shared" si="15"/>
        <v/>
      </c>
      <c r="AA465" s="15"/>
      <c r="AB465" s="15" t="str">
        <f t="shared" si="16"/>
        <v/>
      </c>
      <c r="AC465" s="15"/>
      <c r="AD465" s="15"/>
      <c r="AE465" s="15"/>
      <c r="AF465" s="15"/>
      <c r="AG465" s="15"/>
      <c r="AH465" s="15"/>
      <c r="AI465" s="15"/>
      <c r="AJ465" s="15"/>
      <c r="AK465" s="95"/>
      <c r="AL465" s="95"/>
      <c r="AM465" s="93"/>
      <c r="AN465" s="3"/>
      <c r="AP465" s="28"/>
      <c r="AQ465" s="29"/>
    </row>
    <row r="466" spans="1:43" ht="26.85" customHeight="1" x14ac:dyDescent="0.45">
      <c r="A466" s="15"/>
      <c r="B466" s="15"/>
      <c r="C466" s="15"/>
      <c r="D466" s="95"/>
      <c r="E466" s="95"/>
      <c r="F466" s="15"/>
      <c r="G466" s="95"/>
      <c r="H466" s="15"/>
      <c r="I466" s="15" t="str">
        <f>IF($H466&lt;&gt;"",(VLOOKUP(H466,'Other Lists'!O:P,2,FALSE)),"")</f>
        <v/>
      </c>
      <c r="J466" s="15"/>
      <c r="K466" s="15"/>
      <c r="L466" s="15"/>
      <c r="M466" s="15"/>
      <c r="N466" s="40"/>
      <c r="O466" s="15"/>
      <c r="P466" s="26"/>
      <c r="Q466" s="15"/>
      <c r="R466" s="15"/>
      <c r="S466" s="15"/>
      <c r="T466" s="15"/>
      <c r="U466" s="15"/>
      <c r="V466" s="95"/>
      <c r="W466" s="95"/>
      <c r="X466" s="15"/>
      <c r="Y466" s="15"/>
      <c r="Z466" s="15" t="str">
        <f t="shared" si="15"/>
        <v/>
      </c>
      <c r="AA466" s="15"/>
      <c r="AB466" s="15" t="str">
        <f t="shared" si="16"/>
        <v/>
      </c>
      <c r="AC466" s="15"/>
      <c r="AD466" s="15"/>
      <c r="AE466" s="15"/>
      <c r="AF466" s="15"/>
      <c r="AG466" s="15"/>
      <c r="AH466" s="15"/>
      <c r="AI466" s="15"/>
      <c r="AJ466" s="15"/>
      <c r="AK466" s="95"/>
      <c r="AL466" s="95"/>
      <c r="AM466" s="93"/>
      <c r="AN466" s="3"/>
      <c r="AP466" s="28"/>
      <c r="AQ466" s="29"/>
    </row>
    <row r="467" spans="1:43" ht="26.85" customHeight="1" x14ac:dyDescent="0.45">
      <c r="A467" s="15"/>
      <c r="B467" s="15"/>
      <c r="C467" s="15"/>
      <c r="D467" s="95"/>
      <c r="E467" s="95"/>
      <c r="F467" s="15"/>
      <c r="G467" s="95"/>
      <c r="H467" s="15"/>
      <c r="I467" s="15" t="str">
        <f>IF($H467&lt;&gt;"",(VLOOKUP(H467,'Other Lists'!O:P,2,FALSE)),"")</f>
        <v/>
      </c>
      <c r="J467" s="15"/>
      <c r="K467" s="15"/>
      <c r="L467" s="15"/>
      <c r="M467" s="15"/>
      <c r="N467" s="40"/>
      <c r="O467" s="15"/>
      <c r="P467" s="26"/>
      <c r="Q467" s="15"/>
      <c r="R467" s="15"/>
      <c r="S467" s="15"/>
      <c r="T467" s="15"/>
      <c r="U467" s="15"/>
      <c r="V467" s="95"/>
      <c r="W467" s="95"/>
      <c r="X467" s="15"/>
      <c r="Y467" s="15"/>
      <c r="Z467" s="15" t="str">
        <f t="shared" si="15"/>
        <v/>
      </c>
      <c r="AA467" s="15"/>
      <c r="AB467" s="15" t="str">
        <f t="shared" si="16"/>
        <v/>
      </c>
      <c r="AC467" s="15"/>
      <c r="AD467" s="15"/>
      <c r="AE467" s="15"/>
      <c r="AF467" s="15"/>
      <c r="AG467" s="15"/>
      <c r="AH467" s="15"/>
      <c r="AI467" s="15"/>
      <c r="AJ467" s="15"/>
      <c r="AK467" s="95"/>
      <c r="AL467" s="95"/>
      <c r="AM467" s="93"/>
      <c r="AN467" s="3"/>
      <c r="AP467" s="28"/>
      <c r="AQ467" s="29"/>
    </row>
    <row r="468" spans="1:43" ht="26.85" customHeight="1" x14ac:dyDescent="0.45">
      <c r="A468" s="15"/>
      <c r="B468" s="15"/>
      <c r="C468" s="15"/>
      <c r="D468" s="95"/>
      <c r="E468" s="95"/>
      <c r="F468" s="15"/>
      <c r="G468" s="95"/>
      <c r="H468" s="15"/>
      <c r="I468" s="15" t="str">
        <f>IF($H468&lt;&gt;"",(VLOOKUP(H468,'Other Lists'!O:P,2,FALSE)),"")</f>
        <v/>
      </c>
      <c r="J468" s="15"/>
      <c r="K468" s="15"/>
      <c r="L468" s="15"/>
      <c r="M468" s="15"/>
      <c r="N468" s="40"/>
      <c r="O468" s="15"/>
      <c r="P468" s="26"/>
      <c r="Q468" s="15"/>
      <c r="R468" s="15"/>
      <c r="S468" s="15"/>
      <c r="T468" s="15"/>
      <c r="U468" s="15"/>
      <c r="V468" s="95"/>
      <c r="W468" s="95"/>
      <c r="X468" s="15"/>
      <c r="Y468" s="15"/>
      <c r="Z468" s="15" t="str">
        <f t="shared" si="15"/>
        <v/>
      </c>
      <c r="AA468" s="15"/>
      <c r="AB468" s="15" t="str">
        <f t="shared" si="16"/>
        <v/>
      </c>
      <c r="AC468" s="15"/>
      <c r="AD468" s="15"/>
      <c r="AE468" s="15"/>
      <c r="AF468" s="15"/>
      <c r="AG468" s="15"/>
      <c r="AH468" s="15"/>
      <c r="AI468" s="15"/>
      <c r="AJ468" s="15"/>
      <c r="AK468" s="95"/>
      <c r="AL468" s="95"/>
      <c r="AM468" s="93"/>
      <c r="AN468" s="3"/>
      <c r="AP468" s="28"/>
      <c r="AQ468" s="29"/>
    </row>
    <row r="469" spans="1:43" ht="26.85" customHeight="1" x14ac:dyDescent="0.45">
      <c r="A469" s="15"/>
      <c r="B469" s="15"/>
      <c r="C469" s="15"/>
      <c r="D469" s="95"/>
      <c r="E469" s="95"/>
      <c r="F469" s="15"/>
      <c r="G469" s="95"/>
      <c r="H469" s="15"/>
      <c r="I469" s="15" t="str">
        <f>IF($H469&lt;&gt;"",(VLOOKUP(H469,'Other Lists'!O:P,2,FALSE)),"")</f>
        <v/>
      </c>
      <c r="J469" s="15"/>
      <c r="K469" s="15"/>
      <c r="L469" s="15"/>
      <c r="M469" s="15"/>
      <c r="N469" s="40"/>
      <c r="O469" s="15"/>
      <c r="P469" s="26"/>
      <c r="Q469" s="15"/>
      <c r="R469" s="15"/>
      <c r="S469" s="15"/>
      <c r="T469" s="15"/>
      <c r="U469" s="15"/>
      <c r="V469" s="95"/>
      <c r="W469" s="95"/>
      <c r="X469" s="15"/>
      <c r="Y469" s="15"/>
      <c r="Z469" s="15" t="str">
        <f t="shared" si="15"/>
        <v/>
      </c>
      <c r="AA469" s="15"/>
      <c r="AB469" s="15" t="str">
        <f t="shared" si="16"/>
        <v/>
      </c>
      <c r="AC469" s="15"/>
      <c r="AD469" s="15"/>
      <c r="AE469" s="15"/>
      <c r="AF469" s="15"/>
      <c r="AG469" s="15"/>
      <c r="AH469" s="15"/>
      <c r="AI469" s="15"/>
      <c r="AJ469" s="15"/>
      <c r="AK469" s="95"/>
      <c r="AL469" s="95"/>
      <c r="AM469" s="93"/>
      <c r="AN469" s="3"/>
      <c r="AP469" s="28"/>
      <c r="AQ469" s="29"/>
    </row>
    <row r="470" spans="1:43" ht="26.85" customHeight="1" x14ac:dyDescent="0.45">
      <c r="A470" s="15"/>
      <c r="B470" s="15"/>
      <c r="C470" s="15"/>
      <c r="D470" s="95"/>
      <c r="E470" s="95"/>
      <c r="F470" s="15"/>
      <c r="G470" s="95"/>
      <c r="H470" s="15"/>
      <c r="I470" s="15" t="str">
        <f>IF($H470&lt;&gt;"",(VLOOKUP(H470,'Other Lists'!O:P,2,FALSE)),"")</f>
        <v/>
      </c>
      <c r="J470" s="15"/>
      <c r="K470" s="15"/>
      <c r="L470" s="15"/>
      <c r="M470" s="15"/>
      <c r="N470" s="40"/>
      <c r="O470" s="15"/>
      <c r="P470" s="26"/>
      <c r="Q470" s="15"/>
      <c r="R470" s="15"/>
      <c r="S470" s="15"/>
      <c r="T470" s="15"/>
      <c r="U470" s="15"/>
      <c r="V470" s="95"/>
      <c r="W470" s="95"/>
      <c r="X470" s="15"/>
      <c r="Y470" s="15"/>
      <c r="Z470" s="15" t="str">
        <f t="shared" si="15"/>
        <v/>
      </c>
      <c r="AA470" s="15"/>
      <c r="AB470" s="15" t="str">
        <f t="shared" si="16"/>
        <v/>
      </c>
      <c r="AC470" s="15"/>
      <c r="AD470" s="15"/>
      <c r="AE470" s="15"/>
      <c r="AF470" s="15"/>
      <c r="AG470" s="15"/>
      <c r="AH470" s="15"/>
      <c r="AI470" s="15"/>
      <c r="AJ470" s="15"/>
      <c r="AK470" s="95"/>
      <c r="AL470" s="95"/>
      <c r="AM470" s="93"/>
      <c r="AN470" s="3"/>
      <c r="AP470" s="28"/>
      <c r="AQ470" s="29"/>
    </row>
    <row r="471" spans="1:43" ht="26.85" customHeight="1" x14ac:dyDescent="0.45">
      <c r="A471" s="15"/>
      <c r="B471" s="15"/>
      <c r="C471" s="15"/>
      <c r="D471" s="95"/>
      <c r="E471" s="95"/>
      <c r="F471" s="15"/>
      <c r="G471" s="95"/>
      <c r="H471" s="15"/>
      <c r="I471" s="15" t="str">
        <f>IF($H471&lt;&gt;"",(VLOOKUP(H471,'Other Lists'!O:P,2,FALSE)),"")</f>
        <v/>
      </c>
      <c r="J471" s="15"/>
      <c r="K471" s="15"/>
      <c r="L471" s="15"/>
      <c r="M471" s="15"/>
      <c r="N471" s="40"/>
      <c r="O471" s="15"/>
      <c r="P471" s="26"/>
      <c r="Q471" s="15"/>
      <c r="R471" s="15"/>
      <c r="S471" s="15"/>
      <c r="T471" s="15"/>
      <c r="U471" s="15"/>
      <c r="V471" s="95"/>
      <c r="W471" s="95"/>
      <c r="X471" s="15"/>
      <c r="Y471" s="15"/>
      <c r="Z471" s="15" t="str">
        <f t="shared" si="15"/>
        <v/>
      </c>
      <c r="AA471" s="15"/>
      <c r="AB471" s="15" t="str">
        <f t="shared" si="16"/>
        <v/>
      </c>
      <c r="AC471" s="15"/>
      <c r="AD471" s="15"/>
      <c r="AE471" s="15"/>
      <c r="AF471" s="15"/>
      <c r="AG471" s="15"/>
      <c r="AH471" s="15"/>
      <c r="AI471" s="15"/>
      <c r="AJ471" s="15"/>
      <c r="AK471" s="95"/>
      <c r="AL471" s="95"/>
      <c r="AM471" s="93"/>
      <c r="AN471" s="3"/>
      <c r="AP471" s="28"/>
      <c r="AQ471" s="29"/>
    </row>
    <row r="472" spans="1:43" ht="26.85" customHeight="1" x14ac:dyDescent="0.45">
      <c r="A472" s="15"/>
      <c r="B472" s="15"/>
      <c r="C472" s="15"/>
      <c r="D472" s="95"/>
      <c r="E472" s="95"/>
      <c r="F472" s="15"/>
      <c r="G472" s="95"/>
      <c r="H472" s="15"/>
      <c r="I472" s="15" t="str">
        <f>IF($H472&lt;&gt;"",(VLOOKUP(H472,'Other Lists'!O:P,2,FALSE)),"")</f>
        <v/>
      </c>
      <c r="J472" s="15"/>
      <c r="K472" s="15"/>
      <c r="L472" s="15"/>
      <c r="M472" s="15"/>
      <c r="N472" s="40"/>
      <c r="O472" s="15"/>
      <c r="P472" s="26"/>
      <c r="Q472" s="15"/>
      <c r="R472" s="15"/>
      <c r="S472" s="15"/>
      <c r="T472" s="15"/>
      <c r="U472" s="15"/>
      <c r="V472" s="95"/>
      <c r="W472" s="95"/>
      <c r="X472" s="15"/>
      <c r="Y472" s="15"/>
      <c r="Z472" s="15" t="str">
        <f t="shared" si="15"/>
        <v/>
      </c>
      <c r="AA472" s="15"/>
      <c r="AB472" s="15" t="str">
        <f t="shared" si="16"/>
        <v/>
      </c>
      <c r="AC472" s="15"/>
      <c r="AD472" s="15"/>
      <c r="AE472" s="15"/>
      <c r="AF472" s="15"/>
      <c r="AG472" s="15"/>
      <c r="AH472" s="15"/>
      <c r="AI472" s="15"/>
      <c r="AJ472" s="15"/>
      <c r="AK472" s="95"/>
      <c r="AL472" s="95"/>
      <c r="AM472" s="93"/>
      <c r="AN472" s="3"/>
      <c r="AP472" s="28"/>
      <c r="AQ472" s="29"/>
    </row>
    <row r="473" spans="1:43" ht="26.85" customHeight="1" x14ac:dyDescent="0.45">
      <c r="A473" s="15"/>
      <c r="B473" s="15"/>
      <c r="C473" s="15"/>
      <c r="D473" s="95"/>
      <c r="E473" s="95"/>
      <c r="F473" s="15"/>
      <c r="G473" s="95"/>
      <c r="H473" s="15"/>
      <c r="I473" s="15" t="str">
        <f>IF($H473&lt;&gt;"",(VLOOKUP(H473,'Other Lists'!O:P,2,FALSE)),"")</f>
        <v/>
      </c>
      <c r="J473" s="15"/>
      <c r="K473" s="15"/>
      <c r="L473" s="15"/>
      <c r="M473" s="15"/>
      <c r="N473" s="40"/>
      <c r="O473" s="15"/>
      <c r="P473" s="26"/>
      <c r="Q473" s="15"/>
      <c r="R473" s="15"/>
      <c r="S473" s="15"/>
      <c r="T473" s="15"/>
      <c r="U473" s="15"/>
      <c r="V473" s="95"/>
      <c r="W473" s="95"/>
      <c r="X473" s="15"/>
      <c r="Y473" s="15"/>
      <c r="Z473" s="15" t="str">
        <f t="shared" si="15"/>
        <v/>
      </c>
      <c r="AA473" s="15"/>
      <c r="AB473" s="15" t="str">
        <f t="shared" si="16"/>
        <v/>
      </c>
      <c r="AC473" s="15"/>
      <c r="AD473" s="15"/>
      <c r="AE473" s="15"/>
      <c r="AF473" s="15"/>
      <c r="AG473" s="15"/>
      <c r="AH473" s="15"/>
      <c r="AI473" s="15"/>
      <c r="AJ473" s="15"/>
      <c r="AK473" s="95"/>
      <c r="AL473" s="95"/>
      <c r="AM473" s="93"/>
      <c r="AN473" s="3"/>
      <c r="AP473" s="28"/>
      <c r="AQ473" s="29"/>
    </row>
    <row r="474" spans="1:43" ht="26.85" customHeight="1" x14ac:dyDescent="0.45">
      <c r="A474" s="15"/>
      <c r="B474" s="15"/>
      <c r="C474" s="15"/>
      <c r="D474" s="95"/>
      <c r="E474" s="95"/>
      <c r="F474" s="15"/>
      <c r="G474" s="95"/>
      <c r="H474" s="15"/>
      <c r="I474" s="15" t="str">
        <f>IF($H474&lt;&gt;"",(VLOOKUP(H474,'Other Lists'!O:P,2,FALSE)),"")</f>
        <v/>
      </c>
      <c r="J474" s="15"/>
      <c r="K474" s="15"/>
      <c r="L474" s="15"/>
      <c r="M474" s="15"/>
      <c r="N474" s="40"/>
      <c r="O474" s="15"/>
      <c r="P474" s="26"/>
      <c r="Q474" s="15"/>
      <c r="R474" s="15"/>
      <c r="S474" s="15"/>
      <c r="T474" s="15"/>
      <c r="U474" s="15"/>
      <c r="V474" s="95"/>
      <c r="W474" s="95"/>
      <c r="X474" s="15"/>
      <c r="Y474" s="15"/>
      <c r="Z474" s="15" t="str">
        <f t="shared" si="15"/>
        <v/>
      </c>
      <c r="AA474" s="15"/>
      <c r="AB474" s="15" t="str">
        <f t="shared" si="16"/>
        <v/>
      </c>
      <c r="AC474" s="15"/>
      <c r="AD474" s="15"/>
      <c r="AE474" s="15"/>
      <c r="AF474" s="15"/>
      <c r="AG474" s="15"/>
      <c r="AH474" s="15"/>
      <c r="AI474" s="15"/>
      <c r="AJ474" s="15"/>
      <c r="AK474" s="95"/>
      <c r="AL474" s="95"/>
      <c r="AM474" s="93"/>
      <c r="AN474" s="3"/>
      <c r="AP474" s="28"/>
      <c r="AQ474" s="29"/>
    </row>
    <row r="475" spans="1:43" ht="26.85" customHeight="1" x14ac:dyDescent="0.45">
      <c r="A475" s="15"/>
      <c r="B475" s="15"/>
      <c r="C475" s="15"/>
      <c r="D475" s="95"/>
      <c r="E475" s="95"/>
      <c r="F475" s="15"/>
      <c r="G475" s="95"/>
      <c r="H475" s="15"/>
      <c r="I475" s="15" t="str">
        <f>IF($H475&lt;&gt;"",(VLOOKUP(H475,'Other Lists'!O:P,2,FALSE)),"")</f>
        <v/>
      </c>
      <c r="J475" s="15"/>
      <c r="K475" s="15"/>
      <c r="L475" s="15"/>
      <c r="M475" s="15"/>
      <c r="N475" s="40"/>
      <c r="O475" s="15"/>
      <c r="P475" s="26"/>
      <c r="Q475" s="15"/>
      <c r="R475" s="15"/>
      <c r="S475" s="15"/>
      <c r="T475" s="15"/>
      <c r="U475" s="15"/>
      <c r="V475" s="95"/>
      <c r="W475" s="95"/>
      <c r="X475" s="15"/>
      <c r="Y475" s="15"/>
      <c r="Z475" s="15" t="str">
        <f t="shared" si="15"/>
        <v/>
      </c>
      <c r="AA475" s="15"/>
      <c r="AB475" s="15" t="str">
        <f t="shared" si="16"/>
        <v/>
      </c>
      <c r="AC475" s="15"/>
      <c r="AD475" s="15"/>
      <c r="AE475" s="15"/>
      <c r="AF475" s="15"/>
      <c r="AG475" s="15"/>
      <c r="AH475" s="15"/>
      <c r="AI475" s="15"/>
      <c r="AJ475" s="15"/>
      <c r="AK475" s="95"/>
      <c r="AL475" s="95"/>
      <c r="AM475" s="93"/>
      <c r="AN475" s="3"/>
      <c r="AP475" s="28"/>
      <c r="AQ475" s="29"/>
    </row>
    <row r="476" spans="1:43" ht="26.85" customHeight="1" x14ac:dyDescent="0.45">
      <c r="A476" s="15"/>
      <c r="B476" s="15"/>
      <c r="C476" s="15"/>
      <c r="D476" s="95"/>
      <c r="E476" s="95"/>
      <c r="F476" s="15"/>
      <c r="G476" s="95"/>
      <c r="H476" s="15"/>
      <c r="I476" s="15" t="str">
        <f>IF($H476&lt;&gt;"",(VLOOKUP(H476,'Other Lists'!O:P,2,FALSE)),"")</f>
        <v/>
      </c>
      <c r="J476" s="15"/>
      <c r="K476" s="15"/>
      <c r="L476" s="15"/>
      <c r="M476" s="15"/>
      <c r="N476" s="40"/>
      <c r="O476" s="15"/>
      <c r="P476" s="26"/>
      <c r="Q476" s="15"/>
      <c r="R476" s="15"/>
      <c r="S476" s="15"/>
      <c r="T476" s="15"/>
      <c r="U476" s="15"/>
      <c r="V476" s="95"/>
      <c r="W476" s="95"/>
      <c r="X476" s="15"/>
      <c r="Y476" s="15"/>
      <c r="Z476" s="15" t="str">
        <f t="shared" si="15"/>
        <v/>
      </c>
      <c r="AA476" s="15"/>
      <c r="AB476" s="15" t="str">
        <f t="shared" si="16"/>
        <v/>
      </c>
      <c r="AC476" s="15"/>
      <c r="AD476" s="15"/>
      <c r="AE476" s="15"/>
      <c r="AF476" s="15"/>
      <c r="AG476" s="15"/>
      <c r="AH476" s="15"/>
      <c r="AI476" s="15"/>
      <c r="AJ476" s="15"/>
      <c r="AK476" s="95"/>
      <c r="AL476" s="95"/>
      <c r="AM476" s="93"/>
      <c r="AN476" s="3"/>
      <c r="AP476" s="28"/>
      <c r="AQ476" s="29"/>
    </row>
    <row r="477" spans="1:43" ht="26.85" customHeight="1" x14ac:dyDescent="0.45">
      <c r="A477" s="15"/>
      <c r="B477" s="15"/>
      <c r="C477" s="15"/>
      <c r="D477" s="95"/>
      <c r="E477" s="95"/>
      <c r="F477" s="15"/>
      <c r="G477" s="95"/>
      <c r="H477" s="15"/>
      <c r="I477" s="15" t="str">
        <f>IF($H477&lt;&gt;"",(VLOOKUP(H477,'Other Lists'!O:P,2,FALSE)),"")</f>
        <v/>
      </c>
      <c r="J477" s="15"/>
      <c r="K477" s="15"/>
      <c r="L477" s="15"/>
      <c r="M477" s="15"/>
      <c r="N477" s="40"/>
      <c r="O477" s="15"/>
      <c r="P477" s="26"/>
      <c r="Q477" s="15"/>
      <c r="R477" s="15"/>
      <c r="S477" s="15"/>
      <c r="T477" s="15"/>
      <c r="U477" s="15"/>
      <c r="V477" s="95"/>
      <c r="W477" s="95"/>
      <c r="X477" s="15"/>
      <c r="Y477" s="15"/>
      <c r="Z477" s="15" t="str">
        <f t="shared" si="15"/>
        <v/>
      </c>
      <c r="AA477" s="15"/>
      <c r="AB477" s="15" t="str">
        <f t="shared" si="16"/>
        <v/>
      </c>
      <c r="AC477" s="15"/>
      <c r="AD477" s="15"/>
      <c r="AE477" s="15"/>
      <c r="AF477" s="15"/>
      <c r="AG477" s="15"/>
      <c r="AH477" s="15"/>
      <c r="AI477" s="15"/>
      <c r="AJ477" s="15"/>
      <c r="AK477" s="95"/>
      <c r="AL477" s="95"/>
      <c r="AM477" s="93"/>
      <c r="AN477" s="3"/>
      <c r="AP477" s="28"/>
      <c r="AQ477" s="29"/>
    </row>
    <row r="478" spans="1:43" ht="26.85" customHeight="1" x14ac:dyDescent="0.45">
      <c r="A478" s="15"/>
      <c r="B478" s="15"/>
      <c r="C478" s="15"/>
      <c r="D478" s="95"/>
      <c r="E478" s="95"/>
      <c r="F478" s="15"/>
      <c r="G478" s="95"/>
      <c r="H478" s="15"/>
      <c r="I478" s="15" t="str">
        <f>IF($H478&lt;&gt;"",(VLOOKUP(H478,'Other Lists'!O:P,2,FALSE)),"")</f>
        <v/>
      </c>
      <c r="J478" s="15"/>
      <c r="K478" s="15"/>
      <c r="L478" s="15"/>
      <c r="M478" s="15"/>
      <c r="N478" s="40"/>
      <c r="O478" s="15"/>
      <c r="P478" s="26"/>
      <c r="Q478" s="15"/>
      <c r="R478" s="15"/>
      <c r="S478" s="15"/>
      <c r="T478" s="15"/>
      <c r="U478" s="15"/>
      <c r="V478" s="95"/>
      <c r="W478" s="95"/>
      <c r="X478" s="15"/>
      <c r="Y478" s="15"/>
      <c r="Z478" s="15" t="str">
        <f t="shared" si="15"/>
        <v/>
      </c>
      <c r="AA478" s="15"/>
      <c r="AB478" s="15" t="str">
        <f t="shared" si="16"/>
        <v/>
      </c>
      <c r="AC478" s="15"/>
      <c r="AD478" s="15"/>
      <c r="AE478" s="15"/>
      <c r="AF478" s="15"/>
      <c r="AG478" s="15"/>
      <c r="AH478" s="15"/>
      <c r="AI478" s="15"/>
      <c r="AJ478" s="15"/>
      <c r="AK478" s="95"/>
      <c r="AL478" s="95"/>
      <c r="AM478" s="93"/>
      <c r="AN478" s="3"/>
      <c r="AP478" s="28"/>
      <c r="AQ478" s="29"/>
    </row>
    <row r="479" spans="1:43" ht="26.85" customHeight="1" x14ac:dyDescent="0.45">
      <c r="A479" s="15"/>
      <c r="B479" s="15"/>
      <c r="C479" s="15"/>
      <c r="D479" s="95"/>
      <c r="E479" s="95"/>
      <c r="F479" s="15"/>
      <c r="G479" s="95"/>
      <c r="H479" s="15"/>
      <c r="I479" s="15" t="str">
        <f>IF($H479&lt;&gt;"",(VLOOKUP(H479,'Other Lists'!O:P,2,FALSE)),"")</f>
        <v/>
      </c>
      <c r="J479" s="15"/>
      <c r="K479" s="15"/>
      <c r="L479" s="15"/>
      <c r="M479" s="15"/>
      <c r="N479" s="40"/>
      <c r="O479" s="15"/>
      <c r="P479" s="26"/>
      <c r="Q479" s="15"/>
      <c r="R479" s="15"/>
      <c r="S479" s="15"/>
      <c r="T479" s="15"/>
      <c r="U479" s="15"/>
      <c r="V479" s="95"/>
      <c r="W479" s="95"/>
      <c r="X479" s="15"/>
      <c r="Y479" s="15"/>
      <c r="Z479" s="15" t="str">
        <f t="shared" si="15"/>
        <v/>
      </c>
      <c r="AA479" s="15"/>
      <c r="AB479" s="15" t="str">
        <f t="shared" si="16"/>
        <v/>
      </c>
      <c r="AC479" s="15"/>
      <c r="AD479" s="15"/>
      <c r="AE479" s="15"/>
      <c r="AF479" s="15"/>
      <c r="AG479" s="15"/>
      <c r="AH479" s="15"/>
      <c r="AI479" s="15"/>
      <c r="AJ479" s="15"/>
      <c r="AK479" s="95"/>
      <c r="AL479" s="95"/>
      <c r="AM479" s="93"/>
      <c r="AN479" s="3"/>
      <c r="AP479" s="28"/>
      <c r="AQ479" s="29"/>
    </row>
    <row r="480" spans="1:43" ht="26.85" customHeight="1" x14ac:dyDescent="0.45">
      <c r="A480" s="15"/>
      <c r="B480" s="15"/>
      <c r="C480" s="15"/>
      <c r="D480" s="95"/>
      <c r="E480" s="95"/>
      <c r="F480" s="15"/>
      <c r="G480" s="95"/>
      <c r="H480" s="15"/>
      <c r="I480" s="15" t="str">
        <f>IF($H480&lt;&gt;"",(VLOOKUP(H480,'Other Lists'!O:P,2,FALSE)),"")</f>
        <v/>
      </c>
      <c r="J480" s="15"/>
      <c r="K480" s="15"/>
      <c r="L480" s="15"/>
      <c r="M480" s="15"/>
      <c r="N480" s="40"/>
      <c r="O480" s="15"/>
      <c r="P480" s="26"/>
      <c r="Q480" s="15"/>
      <c r="R480" s="15"/>
      <c r="S480" s="15"/>
      <c r="T480" s="15"/>
      <c r="U480" s="15"/>
      <c r="V480" s="95"/>
      <c r="W480" s="95"/>
      <c r="X480" s="15"/>
      <c r="Y480" s="15"/>
      <c r="Z480" s="15" t="str">
        <f t="shared" si="15"/>
        <v/>
      </c>
      <c r="AA480" s="15"/>
      <c r="AB480" s="15" t="str">
        <f t="shared" si="16"/>
        <v/>
      </c>
      <c r="AC480" s="15"/>
      <c r="AD480" s="15"/>
      <c r="AE480" s="15"/>
      <c r="AF480" s="15"/>
      <c r="AG480" s="15"/>
      <c r="AH480" s="15"/>
      <c r="AI480" s="15"/>
      <c r="AJ480" s="15"/>
      <c r="AK480" s="95"/>
      <c r="AL480" s="95"/>
      <c r="AM480" s="93"/>
      <c r="AN480" s="3"/>
      <c r="AP480" s="28"/>
      <c r="AQ480" s="29"/>
    </row>
    <row r="481" spans="1:43" ht="26.85" customHeight="1" x14ac:dyDescent="0.45">
      <c r="A481" s="15"/>
      <c r="B481" s="15"/>
      <c r="C481" s="15"/>
      <c r="D481" s="95"/>
      <c r="E481" s="95"/>
      <c r="F481" s="15"/>
      <c r="G481" s="95"/>
      <c r="H481" s="15"/>
      <c r="I481" s="15" t="str">
        <f>IF($H481&lt;&gt;"",(VLOOKUP(H481,'Other Lists'!O:P,2,FALSE)),"")</f>
        <v/>
      </c>
      <c r="J481" s="15"/>
      <c r="K481" s="15"/>
      <c r="L481" s="15"/>
      <c r="M481" s="15"/>
      <c r="N481" s="40"/>
      <c r="O481" s="15"/>
      <c r="P481" s="26"/>
      <c r="Q481" s="15"/>
      <c r="R481" s="15"/>
      <c r="S481" s="15"/>
      <c r="T481" s="15"/>
      <c r="U481" s="15"/>
      <c r="V481" s="95"/>
      <c r="W481" s="95"/>
      <c r="X481" s="15"/>
      <c r="Y481" s="15"/>
      <c r="Z481" s="15" t="str">
        <f t="shared" si="15"/>
        <v/>
      </c>
      <c r="AA481" s="15"/>
      <c r="AB481" s="15" t="str">
        <f t="shared" si="16"/>
        <v/>
      </c>
      <c r="AC481" s="15"/>
      <c r="AD481" s="15"/>
      <c r="AE481" s="15"/>
      <c r="AF481" s="15"/>
      <c r="AG481" s="15"/>
      <c r="AH481" s="15"/>
      <c r="AI481" s="15"/>
      <c r="AJ481" s="15"/>
      <c r="AK481" s="95"/>
      <c r="AL481" s="95"/>
      <c r="AM481" s="93"/>
      <c r="AN481" s="3"/>
      <c r="AP481" s="28"/>
      <c r="AQ481" s="29"/>
    </row>
    <row r="482" spans="1:43" ht="26.85" customHeight="1" x14ac:dyDescent="0.45">
      <c r="A482" s="15"/>
      <c r="B482" s="15"/>
      <c r="C482" s="15"/>
      <c r="D482" s="95"/>
      <c r="E482" s="95"/>
      <c r="F482" s="15"/>
      <c r="G482" s="95"/>
      <c r="H482" s="15"/>
      <c r="I482" s="15" t="str">
        <f>IF($H482&lt;&gt;"",(VLOOKUP(H482,'Other Lists'!O:P,2,FALSE)),"")</f>
        <v/>
      </c>
      <c r="J482" s="15"/>
      <c r="K482" s="15"/>
      <c r="L482" s="15"/>
      <c r="M482" s="15"/>
      <c r="N482" s="40"/>
      <c r="O482" s="15"/>
      <c r="P482" s="26"/>
      <c r="Q482" s="15"/>
      <c r="R482" s="15"/>
      <c r="S482" s="15"/>
      <c r="T482" s="15"/>
      <c r="U482" s="15"/>
      <c r="V482" s="95"/>
      <c r="W482" s="95"/>
      <c r="X482" s="15"/>
      <c r="Y482" s="15"/>
      <c r="Z482" s="15" t="str">
        <f t="shared" si="15"/>
        <v/>
      </c>
      <c r="AA482" s="15"/>
      <c r="AB482" s="15" t="str">
        <f t="shared" si="16"/>
        <v/>
      </c>
      <c r="AC482" s="15"/>
      <c r="AD482" s="15"/>
      <c r="AE482" s="15"/>
      <c r="AF482" s="15"/>
      <c r="AG482" s="15"/>
      <c r="AH482" s="15"/>
      <c r="AI482" s="15"/>
      <c r="AJ482" s="15"/>
      <c r="AK482" s="95"/>
      <c r="AL482" s="95"/>
      <c r="AM482" s="93"/>
      <c r="AN482" s="3"/>
      <c r="AP482" s="28"/>
      <c r="AQ482" s="29"/>
    </row>
    <row r="483" spans="1:43" ht="26.85" customHeight="1" x14ac:dyDescent="0.45">
      <c r="A483" s="15"/>
      <c r="B483" s="15"/>
      <c r="C483" s="15"/>
      <c r="D483" s="95"/>
      <c r="E483" s="95"/>
      <c r="F483" s="15"/>
      <c r="G483" s="95"/>
      <c r="H483" s="15"/>
      <c r="I483" s="15" t="str">
        <f>IF($H483&lt;&gt;"",(VLOOKUP(H483,'Other Lists'!O:P,2,FALSE)),"")</f>
        <v/>
      </c>
      <c r="J483" s="15"/>
      <c r="K483" s="15"/>
      <c r="L483" s="15"/>
      <c r="M483" s="15"/>
      <c r="N483" s="40"/>
      <c r="O483" s="15"/>
      <c r="P483" s="26"/>
      <c r="Q483" s="15"/>
      <c r="R483" s="15"/>
      <c r="S483" s="15"/>
      <c r="T483" s="15"/>
      <c r="U483" s="15"/>
      <c r="V483" s="95"/>
      <c r="W483" s="95"/>
      <c r="X483" s="15"/>
      <c r="Y483" s="15"/>
      <c r="Z483" s="15" t="str">
        <f t="shared" si="15"/>
        <v/>
      </c>
      <c r="AA483" s="15"/>
      <c r="AB483" s="15" t="str">
        <f t="shared" si="16"/>
        <v/>
      </c>
      <c r="AC483" s="15"/>
      <c r="AD483" s="15"/>
      <c r="AE483" s="15"/>
      <c r="AF483" s="15"/>
      <c r="AG483" s="15"/>
      <c r="AH483" s="15"/>
      <c r="AI483" s="15"/>
      <c r="AJ483" s="15"/>
      <c r="AK483" s="95"/>
      <c r="AL483" s="95"/>
      <c r="AM483" s="93"/>
      <c r="AN483" s="3"/>
      <c r="AP483" s="28"/>
      <c r="AQ483" s="29"/>
    </row>
    <row r="484" spans="1:43" ht="26.85" customHeight="1" x14ac:dyDescent="0.45">
      <c r="A484" s="15"/>
      <c r="B484" s="15"/>
      <c r="C484" s="15"/>
      <c r="D484" s="95"/>
      <c r="E484" s="95"/>
      <c r="F484" s="15"/>
      <c r="G484" s="95"/>
      <c r="H484" s="15"/>
      <c r="I484" s="15" t="str">
        <f>IF($H484&lt;&gt;"",(VLOOKUP(H484,'Other Lists'!O:P,2,FALSE)),"")</f>
        <v/>
      </c>
      <c r="J484" s="15"/>
      <c r="K484" s="15"/>
      <c r="L484" s="15"/>
      <c r="M484" s="15"/>
      <c r="N484" s="40"/>
      <c r="O484" s="15"/>
      <c r="P484" s="26"/>
      <c r="Q484" s="15"/>
      <c r="R484" s="15"/>
      <c r="S484" s="15"/>
      <c r="T484" s="15"/>
      <c r="U484" s="15"/>
      <c r="V484" s="95"/>
      <c r="W484" s="95"/>
      <c r="X484" s="15"/>
      <c r="Y484" s="15"/>
      <c r="Z484" s="15" t="str">
        <f t="shared" si="15"/>
        <v/>
      </c>
      <c r="AA484" s="15"/>
      <c r="AB484" s="15" t="str">
        <f t="shared" si="16"/>
        <v/>
      </c>
      <c r="AC484" s="15"/>
      <c r="AD484" s="15"/>
      <c r="AE484" s="15"/>
      <c r="AF484" s="15"/>
      <c r="AG484" s="15"/>
      <c r="AH484" s="15"/>
      <c r="AI484" s="15"/>
      <c r="AJ484" s="15"/>
      <c r="AK484" s="95"/>
      <c r="AL484" s="95"/>
      <c r="AM484" s="93"/>
      <c r="AN484" s="3"/>
      <c r="AP484" s="28"/>
      <c r="AQ484" s="29"/>
    </row>
    <row r="485" spans="1:43" ht="26.85" customHeight="1" x14ac:dyDescent="0.45">
      <c r="A485" s="15"/>
      <c r="B485" s="15"/>
      <c r="C485" s="15"/>
      <c r="D485" s="95"/>
      <c r="E485" s="95"/>
      <c r="F485" s="15"/>
      <c r="G485" s="95"/>
      <c r="H485" s="15"/>
      <c r="I485" s="15" t="str">
        <f>IF($H485&lt;&gt;"",(VLOOKUP(H485,'Other Lists'!O:P,2,FALSE)),"")</f>
        <v/>
      </c>
      <c r="J485" s="15" t="str">
        <f t="shared" ref="J485:J492" si="17">IF(G485&lt;&gt;"","Required Field","")</f>
        <v/>
      </c>
      <c r="K485" s="15"/>
      <c r="L485" s="15" t="str">
        <f t="shared" ref="L485:M492" si="18">IF($J485="Leased","",IF($G485&lt;&gt;"","Required Field",""))</f>
        <v/>
      </c>
      <c r="M485" s="15" t="str">
        <f t="shared" si="18"/>
        <v/>
      </c>
      <c r="N485" s="40"/>
      <c r="O485" s="15"/>
      <c r="P485" s="26"/>
      <c r="Q485" s="15"/>
      <c r="R485" s="15"/>
      <c r="S485" s="15"/>
      <c r="T485" s="15" t="str">
        <f t="shared" ref="T485:X492" si="19">IF($J485="Leased","",IF($G485&lt;&gt;"","Required Field",""))</f>
        <v/>
      </c>
      <c r="U485" s="15" t="str">
        <f t="shared" si="19"/>
        <v/>
      </c>
      <c r="V485" s="95" t="str">
        <f t="shared" si="19"/>
        <v/>
      </c>
      <c r="W485" s="95" t="str">
        <f t="shared" si="19"/>
        <v/>
      </c>
      <c r="X485" s="15" t="str">
        <f t="shared" si="19"/>
        <v/>
      </c>
      <c r="Y485" s="15"/>
      <c r="Z485" s="15" t="str">
        <f t="shared" si="15"/>
        <v/>
      </c>
      <c r="AA485" s="15"/>
      <c r="AB485" s="15" t="str">
        <f t="shared" si="16"/>
        <v/>
      </c>
      <c r="AC485" s="15"/>
      <c r="AD485" s="15" t="str">
        <f t="shared" ref="AD485:AD492" si="20">IF($J485="Leased","",IF($G485&lt;&gt;"","Required Field",""))</f>
        <v/>
      </c>
      <c r="AE485" s="15"/>
      <c r="AF485" s="15"/>
      <c r="AG485" s="15" t="str">
        <f t="shared" ref="AG485:AH492" si="21">IF($J485="Leased","",IF($AE485="Negative","",IF($AE485="Assumed Negative","",IF($G485&lt;&gt;"","Required Field",""))))</f>
        <v/>
      </c>
      <c r="AH485" s="15" t="str">
        <f t="shared" si="21"/>
        <v/>
      </c>
      <c r="AI485" s="15"/>
      <c r="AJ485" s="15"/>
      <c r="AK485" s="95"/>
      <c r="AL485" s="95"/>
      <c r="AM485" s="93" t="str">
        <f t="shared" ref="AM485:AM492" si="22">IF($X485="Other","Required Field","")</f>
        <v/>
      </c>
      <c r="AN485" s="3"/>
      <c r="AP485" s="28"/>
      <c r="AQ485" s="29"/>
    </row>
    <row r="486" spans="1:43" ht="26.85" customHeight="1" x14ac:dyDescent="0.45">
      <c r="A486" s="15"/>
      <c r="B486" s="15"/>
      <c r="C486" s="15"/>
      <c r="D486" s="95"/>
      <c r="E486" s="95"/>
      <c r="F486" s="15"/>
      <c r="G486" s="95"/>
      <c r="H486" s="15"/>
      <c r="I486" s="15" t="str">
        <f>IF($H486&lt;&gt;"",(VLOOKUP(H486,'Other Lists'!O:P,2,FALSE)),"")</f>
        <v/>
      </c>
      <c r="J486" s="15" t="str">
        <f t="shared" si="17"/>
        <v/>
      </c>
      <c r="K486" s="15"/>
      <c r="L486" s="15" t="str">
        <f t="shared" si="18"/>
        <v/>
      </c>
      <c r="M486" s="15" t="str">
        <f t="shared" si="18"/>
        <v/>
      </c>
      <c r="N486" s="40"/>
      <c r="O486" s="15"/>
      <c r="P486" s="26"/>
      <c r="Q486" s="15"/>
      <c r="R486" s="15"/>
      <c r="S486" s="15"/>
      <c r="T486" s="15" t="str">
        <f t="shared" si="19"/>
        <v/>
      </c>
      <c r="U486" s="15" t="str">
        <f t="shared" si="19"/>
        <v/>
      </c>
      <c r="V486" s="95" t="str">
        <f t="shared" si="19"/>
        <v/>
      </c>
      <c r="W486" s="95" t="str">
        <f t="shared" si="19"/>
        <v/>
      </c>
      <c r="X486" s="15" t="str">
        <f t="shared" si="19"/>
        <v/>
      </c>
      <c r="Y486" s="15"/>
      <c r="Z486" s="15" t="str">
        <f t="shared" si="15"/>
        <v/>
      </c>
      <c r="AA486" s="15"/>
      <c r="AB486" s="15" t="str">
        <f t="shared" si="16"/>
        <v/>
      </c>
      <c r="AC486" s="15"/>
      <c r="AD486" s="15" t="str">
        <f t="shared" si="20"/>
        <v/>
      </c>
      <c r="AE486" s="15"/>
      <c r="AF486" s="15"/>
      <c r="AG486" s="15" t="str">
        <f t="shared" si="21"/>
        <v/>
      </c>
      <c r="AH486" s="15" t="str">
        <f t="shared" si="21"/>
        <v/>
      </c>
      <c r="AI486" s="15"/>
      <c r="AJ486" s="15"/>
      <c r="AK486" s="95"/>
      <c r="AL486" s="95"/>
      <c r="AM486" s="93" t="str">
        <f t="shared" si="22"/>
        <v/>
      </c>
      <c r="AN486" s="3"/>
      <c r="AP486" s="28"/>
      <c r="AQ486" s="29"/>
    </row>
    <row r="487" spans="1:43" ht="26.85" customHeight="1" x14ac:dyDescent="0.45">
      <c r="A487" s="15"/>
      <c r="B487" s="15"/>
      <c r="C487" s="15"/>
      <c r="D487" s="95"/>
      <c r="E487" s="95"/>
      <c r="F487" s="15"/>
      <c r="G487" s="95"/>
      <c r="H487" s="15"/>
      <c r="I487" s="15" t="str">
        <f>IF($H487&lt;&gt;"",(VLOOKUP(H487,'Other Lists'!O:P,2,FALSE)),"")</f>
        <v/>
      </c>
      <c r="J487" s="15" t="str">
        <f t="shared" si="17"/>
        <v/>
      </c>
      <c r="K487" s="15"/>
      <c r="L487" s="15" t="str">
        <f t="shared" si="18"/>
        <v/>
      </c>
      <c r="M487" s="15" t="str">
        <f t="shared" si="18"/>
        <v/>
      </c>
      <c r="N487" s="40"/>
      <c r="O487" s="15"/>
      <c r="P487" s="26"/>
      <c r="Q487" s="15"/>
      <c r="R487" s="15"/>
      <c r="S487" s="15"/>
      <c r="T487" s="15" t="str">
        <f t="shared" si="19"/>
        <v/>
      </c>
      <c r="U487" s="15" t="str">
        <f t="shared" si="19"/>
        <v/>
      </c>
      <c r="V487" s="95" t="str">
        <f t="shared" si="19"/>
        <v/>
      </c>
      <c r="W487" s="95" t="str">
        <f t="shared" si="19"/>
        <v/>
      </c>
      <c r="X487" s="15" t="str">
        <f t="shared" si="19"/>
        <v/>
      </c>
      <c r="Y487" s="15"/>
      <c r="Z487" s="15" t="str">
        <f t="shared" si="15"/>
        <v/>
      </c>
      <c r="AA487" s="15"/>
      <c r="AB487" s="15" t="str">
        <f t="shared" si="16"/>
        <v/>
      </c>
      <c r="AC487" s="15"/>
      <c r="AD487" s="15" t="str">
        <f t="shared" si="20"/>
        <v/>
      </c>
      <c r="AE487" s="15"/>
      <c r="AF487" s="15"/>
      <c r="AG487" s="15" t="str">
        <f t="shared" si="21"/>
        <v/>
      </c>
      <c r="AH487" s="15" t="str">
        <f t="shared" si="21"/>
        <v/>
      </c>
      <c r="AI487" s="15"/>
      <c r="AJ487" s="15"/>
      <c r="AK487" s="95"/>
      <c r="AL487" s="95"/>
      <c r="AM487" s="93" t="str">
        <f t="shared" si="22"/>
        <v/>
      </c>
      <c r="AN487" s="3"/>
      <c r="AP487" s="28"/>
      <c r="AQ487" s="29"/>
    </row>
    <row r="488" spans="1:43" ht="26.85" customHeight="1" x14ac:dyDescent="0.45">
      <c r="A488" s="15"/>
      <c r="B488" s="15"/>
      <c r="C488" s="15"/>
      <c r="D488" s="95"/>
      <c r="E488" s="95"/>
      <c r="F488" s="15"/>
      <c r="G488" s="95"/>
      <c r="H488" s="15"/>
      <c r="I488" s="15" t="str">
        <f>IF($H488&lt;&gt;"",(VLOOKUP(H488,'Other Lists'!O:P,2,FALSE)),"")</f>
        <v/>
      </c>
      <c r="J488" s="15" t="str">
        <f t="shared" si="17"/>
        <v/>
      </c>
      <c r="K488" s="15"/>
      <c r="L488" s="15" t="str">
        <f t="shared" si="18"/>
        <v/>
      </c>
      <c r="M488" s="15" t="str">
        <f t="shared" si="18"/>
        <v/>
      </c>
      <c r="N488" s="40"/>
      <c r="O488" s="15"/>
      <c r="P488" s="26"/>
      <c r="Q488" s="15"/>
      <c r="R488" s="15"/>
      <c r="S488" s="15"/>
      <c r="T488" s="15" t="str">
        <f t="shared" si="19"/>
        <v/>
      </c>
      <c r="U488" s="15" t="str">
        <f t="shared" si="19"/>
        <v/>
      </c>
      <c r="V488" s="95" t="str">
        <f t="shared" si="19"/>
        <v/>
      </c>
      <c r="W488" s="95" t="str">
        <f t="shared" si="19"/>
        <v/>
      </c>
      <c r="X488" s="15" t="str">
        <f t="shared" si="19"/>
        <v/>
      </c>
      <c r="Y488" s="15"/>
      <c r="Z488" s="15" t="str">
        <f t="shared" si="15"/>
        <v/>
      </c>
      <c r="AA488" s="15"/>
      <c r="AB488" s="15" t="str">
        <f t="shared" si="16"/>
        <v/>
      </c>
      <c r="AC488" s="15"/>
      <c r="AD488" s="15" t="str">
        <f t="shared" si="20"/>
        <v/>
      </c>
      <c r="AE488" s="15"/>
      <c r="AF488" s="15"/>
      <c r="AG488" s="15" t="str">
        <f t="shared" si="21"/>
        <v/>
      </c>
      <c r="AH488" s="15" t="str">
        <f t="shared" si="21"/>
        <v/>
      </c>
      <c r="AI488" s="15"/>
      <c r="AJ488" s="15"/>
      <c r="AK488" s="95"/>
      <c r="AL488" s="95"/>
      <c r="AM488" s="93" t="str">
        <f t="shared" si="22"/>
        <v/>
      </c>
      <c r="AN488" s="3"/>
      <c r="AP488" s="28"/>
      <c r="AQ488" s="29"/>
    </row>
    <row r="489" spans="1:43" ht="26.85" customHeight="1" x14ac:dyDescent="0.45">
      <c r="A489" s="15"/>
      <c r="B489" s="15"/>
      <c r="C489" s="15"/>
      <c r="D489" s="95"/>
      <c r="E489" s="95"/>
      <c r="F489" s="15"/>
      <c r="G489" s="95"/>
      <c r="H489" s="15"/>
      <c r="I489" s="15" t="str">
        <f>IF($H489&lt;&gt;"",(VLOOKUP(H489,'Other Lists'!O:P,2,FALSE)),"")</f>
        <v/>
      </c>
      <c r="J489" s="15" t="str">
        <f t="shared" si="17"/>
        <v/>
      </c>
      <c r="K489" s="15"/>
      <c r="L489" s="15" t="str">
        <f t="shared" si="18"/>
        <v/>
      </c>
      <c r="M489" s="15" t="str">
        <f t="shared" si="18"/>
        <v/>
      </c>
      <c r="N489" s="40"/>
      <c r="O489" s="15"/>
      <c r="P489" s="26"/>
      <c r="Q489" s="15"/>
      <c r="R489" s="15"/>
      <c r="S489" s="15"/>
      <c r="T489" s="15" t="str">
        <f t="shared" si="19"/>
        <v/>
      </c>
      <c r="U489" s="15" t="str">
        <f t="shared" si="19"/>
        <v/>
      </c>
      <c r="V489" s="95" t="str">
        <f t="shared" si="19"/>
        <v/>
      </c>
      <c r="W489" s="95" t="str">
        <f t="shared" si="19"/>
        <v/>
      </c>
      <c r="X489" s="15" t="str">
        <f t="shared" si="19"/>
        <v/>
      </c>
      <c r="Y489" s="15"/>
      <c r="Z489" s="15" t="str">
        <f t="shared" si="15"/>
        <v/>
      </c>
      <c r="AA489" s="15"/>
      <c r="AB489" s="15" t="str">
        <f t="shared" si="16"/>
        <v/>
      </c>
      <c r="AC489" s="15"/>
      <c r="AD489" s="15" t="str">
        <f t="shared" si="20"/>
        <v/>
      </c>
      <c r="AE489" s="15"/>
      <c r="AF489" s="15"/>
      <c r="AG489" s="15" t="str">
        <f t="shared" si="21"/>
        <v/>
      </c>
      <c r="AH489" s="15" t="str">
        <f t="shared" si="21"/>
        <v/>
      </c>
      <c r="AI489" s="15"/>
      <c r="AJ489" s="15"/>
      <c r="AK489" s="95"/>
      <c r="AL489" s="95"/>
      <c r="AM489" s="93" t="str">
        <f t="shared" si="22"/>
        <v/>
      </c>
      <c r="AN489" s="3"/>
      <c r="AP489" s="28"/>
      <c r="AQ489" s="29"/>
    </row>
    <row r="490" spans="1:43" ht="26.85" customHeight="1" x14ac:dyDescent="0.45">
      <c r="A490" s="15"/>
      <c r="B490" s="15"/>
      <c r="C490" s="15"/>
      <c r="D490" s="95"/>
      <c r="E490" s="95"/>
      <c r="F490" s="15"/>
      <c r="G490" s="95"/>
      <c r="H490" s="15"/>
      <c r="I490" s="15" t="str">
        <f>IF($H490&lt;&gt;"",(VLOOKUP(H490,'Other Lists'!O:P,2,FALSE)),"")</f>
        <v/>
      </c>
      <c r="J490" s="15" t="str">
        <f t="shared" si="17"/>
        <v/>
      </c>
      <c r="K490" s="15"/>
      <c r="L490" s="15" t="str">
        <f t="shared" si="18"/>
        <v/>
      </c>
      <c r="M490" s="15" t="str">
        <f t="shared" si="18"/>
        <v/>
      </c>
      <c r="N490" s="40"/>
      <c r="O490" s="15"/>
      <c r="P490" s="26"/>
      <c r="Q490" s="15"/>
      <c r="R490" s="15"/>
      <c r="S490" s="15"/>
      <c r="T490" s="15" t="str">
        <f t="shared" si="19"/>
        <v/>
      </c>
      <c r="U490" s="15" t="str">
        <f t="shared" si="19"/>
        <v/>
      </c>
      <c r="V490" s="95" t="str">
        <f t="shared" si="19"/>
        <v/>
      </c>
      <c r="W490" s="95" t="str">
        <f t="shared" si="19"/>
        <v/>
      </c>
      <c r="X490" s="15" t="str">
        <f t="shared" si="19"/>
        <v/>
      </c>
      <c r="Y490" s="15"/>
      <c r="Z490" s="15" t="str">
        <f t="shared" si="15"/>
        <v/>
      </c>
      <c r="AA490" s="15"/>
      <c r="AB490" s="15" t="str">
        <f t="shared" si="16"/>
        <v/>
      </c>
      <c r="AC490" s="15"/>
      <c r="AD490" s="15" t="str">
        <f t="shared" si="20"/>
        <v/>
      </c>
      <c r="AE490" s="15"/>
      <c r="AF490" s="15"/>
      <c r="AG490" s="15" t="str">
        <f t="shared" si="21"/>
        <v/>
      </c>
      <c r="AH490" s="15" t="str">
        <f t="shared" si="21"/>
        <v/>
      </c>
      <c r="AI490" s="15"/>
      <c r="AJ490" s="15"/>
      <c r="AK490" s="95"/>
      <c r="AL490" s="95"/>
      <c r="AM490" s="93" t="str">
        <f t="shared" si="22"/>
        <v/>
      </c>
      <c r="AN490" s="3"/>
      <c r="AP490" s="28"/>
      <c r="AQ490" s="29"/>
    </row>
    <row r="491" spans="1:43" ht="26.85" customHeight="1" x14ac:dyDescent="0.45">
      <c r="A491" s="15"/>
      <c r="B491" s="15"/>
      <c r="C491" s="15"/>
      <c r="D491" s="95"/>
      <c r="E491" s="95"/>
      <c r="F491" s="15"/>
      <c r="G491" s="95"/>
      <c r="H491" s="15"/>
      <c r="I491" s="15" t="str">
        <f>IF($H491&lt;&gt;"",(VLOOKUP(H491,'Other Lists'!O:P,2,FALSE)),"")</f>
        <v/>
      </c>
      <c r="J491" s="15" t="str">
        <f t="shared" si="17"/>
        <v/>
      </c>
      <c r="K491" s="15"/>
      <c r="L491" s="15" t="str">
        <f t="shared" si="18"/>
        <v/>
      </c>
      <c r="M491" s="15" t="str">
        <f t="shared" si="18"/>
        <v/>
      </c>
      <c r="N491" s="40"/>
      <c r="O491" s="15"/>
      <c r="P491" s="26"/>
      <c r="Q491" s="15"/>
      <c r="R491" s="15"/>
      <c r="S491" s="15"/>
      <c r="T491" s="15" t="str">
        <f t="shared" si="19"/>
        <v/>
      </c>
      <c r="U491" s="15" t="str">
        <f t="shared" si="19"/>
        <v/>
      </c>
      <c r="V491" s="95" t="str">
        <f t="shared" si="19"/>
        <v/>
      </c>
      <c r="W491" s="95" t="str">
        <f t="shared" si="19"/>
        <v/>
      </c>
      <c r="X491" s="15" t="str">
        <f t="shared" si="19"/>
        <v/>
      </c>
      <c r="Y491" s="15"/>
      <c r="Z491" s="15" t="str">
        <f t="shared" si="15"/>
        <v/>
      </c>
      <c r="AA491" s="15"/>
      <c r="AB491" s="15" t="str">
        <f t="shared" si="16"/>
        <v/>
      </c>
      <c r="AC491" s="15"/>
      <c r="AD491" s="15" t="str">
        <f t="shared" si="20"/>
        <v/>
      </c>
      <c r="AE491" s="15"/>
      <c r="AF491" s="15"/>
      <c r="AG491" s="15" t="str">
        <f t="shared" si="21"/>
        <v/>
      </c>
      <c r="AH491" s="15" t="str">
        <f t="shared" si="21"/>
        <v/>
      </c>
      <c r="AI491" s="15"/>
      <c r="AJ491" s="15"/>
      <c r="AK491" s="95"/>
      <c r="AL491" s="95"/>
      <c r="AM491" s="93" t="str">
        <f t="shared" si="22"/>
        <v/>
      </c>
      <c r="AN491" s="3"/>
      <c r="AP491" s="28"/>
      <c r="AQ491" s="29"/>
    </row>
    <row r="492" spans="1:43" ht="26.85" customHeight="1" x14ac:dyDescent="0.45">
      <c r="A492" s="15"/>
      <c r="B492" s="15"/>
      <c r="C492" s="15"/>
      <c r="D492" s="95"/>
      <c r="E492" s="95"/>
      <c r="F492" s="15"/>
      <c r="G492" s="95"/>
      <c r="H492" s="15"/>
      <c r="I492" s="15" t="str">
        <f>IF($H492&lt;&gt;"",(VLOOKUP(H492,'Other Lists'!O:P,2,FALSE)),"")</f>
        <v/>
      </c>
      <c r="J492" s="15" t="str">
        <f t="shared" si="17"/>
        <v/>
      </c>
      <c r="K492" s="15"/>
      <c r="L492" s="15" t="str">
        <f t="shared" si="18"/>
        <v/>
      </c>
      <c r="M492" s="15" t="str">
        <f t="shared" si="18"/>
        <v/>
      </c>
      <c r="N492" s="40"/>
      <c r="O492" s="15"/>
      <c r="P492" s="26"/>
      <c r="Q492" s="15"/>
      <c r="R492" s="15"/>
      <c r="S492" s="15"/>
      <c r="T492" s="15" t="str">
        <f t="shared" si="19"/>
        <v/>
      </c>
      <c r="U492" s="15" t="str">
        <f t="shared" si="19"/>
        <v/>
      </c>
      <c r="V492" s="95" t="str">
        <f t="shared" si="19"/>
        <v/>
      </c>
      <c r="W492" s="95" t="str">
        <f t="shared" si="19"/>
        <v/>
      </c>
      <c r="X492" s="15" t="str">
        <f t="shared" si="19"/>
        <v/>
      </c>
      <c r="Y492" s="15"/>
      <c r="Z492" s="15" t="str">
        <f t="shared" si="15"/>
        <v/>
      </c>
      <c r="AA492" s="15"/>
      <c r="AB492" s="15" t="str">
        <f t="shared" si="16"/>
        <v/>
      </c>
      <c r="AC492" s="15"/>
      <c r="AD492" s="15" t="str">
        <f t="shared" si="20"/>
        <v/>
      </c>
      <c r="AE492" s="15"/>
      <c r="AF492" s="15"/>
      <c r="AG492" s="15" t="str">
        <f t="shared" si="21"/>
        <v/>
      </c>
      <c r="AH492" s="15" t="str">
        <f t="shared" si="21"/>
        <v/>
      </c>
      <c r="AI492" s="15"/>
      <c r="AJ492" s="15"/>
      <c r="AK492" s="95"/>
      <c r="AL492" s="95"/>
      <c r="AM492" s="93" t="str">
        <f t="shared" si="22"/>
        <v/>
      </c>
      <c r="AN492" s="3"/>
      <c r="AP492" s="28"/>
      <c r="AQ492" s="29"/>
    </row>
    <row r="493" spans="1:43" x14ac:dyDescent="0.45">
      <c r="A493" s="15"/>
      <c r="B493" s="15"/>
      <c r="C493" s="15"/>
      <c r="D493" s="95"/>
      <c r="E493" s="95"/>
      <c r="F493" s="15"/>
      <c r="G493" s="95"/>
      <c r="H493" s="15"/>
      <c r="I493" s="15"/>
      <c r="J493" s="15"/>
      <c r="K493" s="15"/>
      <c r="L493" s="15"/>
      <c r="M493" s="15"/>
      <c r="N493" s="15"/>
      <c r="O493" s="15"/>
      <c r="P493" s="26"/>
      <c r="Q493" s="15"/>
      <c r="R493" s="15"/>
      <c r="S493" s="15"/>
      <c r="T493" s="15"/>
      <c r="U493" s="15"/>
      <c r="V493" s="95"/>
      <c r="W493" s="95"/>
      <c r="X493" s="15"/>
      <c r="Y493" s="15"/>
      <c r="Z493" s="15"/>
      <c r="AA493" s="15"/>
      <c r="AB493" s="15" t="str">
        <f t="shared" si="16"/>
        <v/>
      </c>
      <c r="AC493" s="15"/>
      <c r="AD493" s="15"/>
      <c r="AE493" s="15"/>
      <c r="AF493" s="15"/>
      <c r="AG493" s="15"/>
      <c r="AH493" s="15"/>
      <c r="AI493" s="15"/>
      <c r="AK493" s="96"/>
      <c r="AL493" s="96"/>
      <c r="AM493" s="94"/>
    </row>
    <row r="494" spans="1:43" x14ac:dyDescent="0.45">
      <c r="A494" s="15"/>
      <c r="B494" s="15"/>
      <c r="C494" s="15"/>
      <c r="D494" s="95"/>
      <c r="E494" s="95"/>
      <c r="F494" s="15"/>
      <c r="G494" s="95"/>
      <c r="H494" s="15"/>
      <c r="I494" s="15"/>
      <c r="J494" s="15"/>
      <c r="K494" s="15"/>
      <c r="L494" s="15"/>
      <c r="M494" s="15"/>
      <c r="N494" s="15"/>
      <c r="O494" s="15"/>
      <c r="P494" s="26"/>
      <c r="Q494" s="15"/>
      <c r="R494" s="15"/>
      <c r="S494" s="15"/>
      <c r="T494" s="15"/>
      <c r="U494" s="15"/>
      <c r="V494" s="95"/>
      <c r="W494" s="95"/>
      <c r="X494" s="15"/>
      <c r="Y494" s="15"/>
      <c r="Z494" s="15"/>
      <c r="AA494" s="15"/>
      <c r="AB494" s="15"/>
      <c r="AC494" s="15"/>
      <c r="AD494" s="15"/>
      <c r="AE494" s="15"/>
      <c r="AF494" s="15"/>
      <c r="AG494" s="15"/>
      <c r="AH494" s="15"/>
      <c r="AI494" s="15"/>
      <c r="AK494" s="96"/>
      <c r="AL494" s="96"/>
      <c r="AM494" s="94"/>
    </row>
    <row r="495" spans="1:43" x14ac:dyDescent="0.45">
      <c r="A495" s="15"/>
      <c r="B495" s="15"/>
      <c r="C495" s="15"/>
      <c r="D495" s="95"/>
      <c r="E495" s="95"/>
      <c r="F495" s="15"/>
      <c r="G495" s="95"/>
      <c r="H495" s="15"/>
      <c r="I495" s="15"/>
      <c r="J495" s="15"/>
      <c r="K495" s="15"/>
      <c r="L495" s="15"/>
      <c r="M495" s="15"/>
      <c r="N495" s="15"/>
      <c r="O495" s="15"/>
      <c r="P495" s="26"/>
      <c r="Q495" s="15"/>
      <c r="R495" s="15"/>
      <c r="S495" s="15"/>
      <c r="T495" s="15"/>
      <c r="U495" s="15"/>
      <c r="V495" s="95"/>
      <c r="W495" s="95"/>
      <c r="X495" s="15"/>
      <c r="Y495" s="15"/>
      <c r="Z495" s="15"/>
      <c r="AA495" s="15"/>
      <c r="AB495" s="15"/>
      <c r="AC495" s="15"/>
      <c r="AD495" s="15"/>
      <c r="AE495" s="15"/>
      <c r="AF495" s="15"/>
      <c r="AG495" s="15"/>
      <c r="AH495" s="15"/>
      <c r="AI495" s="15"/>
      <c r="AK495" s="96"/>
      <c r="AL495" s="96"/>
      <c r="AM495" s="94"/>
    </row>
    <row r="496" spans="1:43" x14ac:dyDescent="0.45">
      <c r="A496" s="15"/>
      <c r="B496" s="15"/>
      <c r="C496" s="15"/>
      <c r="D496" s="95"/>
      <c r="E496" s="95"/>
      <c r="F496" s="15"/>
      <c r="G496" s="95"/>
      <c r="H496" s="15"/>
      <c r="I496" s="15"/>
      <c r="J496" s="15"/>
      <c r="K496" s="15"/>
      <c r="L496" s="15"/>
      <c r="M496" s="15"/>
      <c r="N496" s="15"/>
      <c r="O496" s="15"/>
      <c r="P496" s="26"/>
      <c r="Q496" s="15"/>
      <c r="R496" s="15"/>
      <c r="S496" s="15"/>
      <c r="T496" s="15"/>
      <c r="U496" s="15"/>
      <c r="V496" s="95"/>
      <c r="W496" s="95"/>
      <c r="X496" s="15"/>
      <c r="Y496" s="15"/>
      <c r="Z496" s="15"/>
      <c r="AA496" s="15"/>
      <c r="AB496" s="15"/>
      <c r="AC496" s="15"/>
      <c r="AD496" s="15"/>
      <c r="AE496" s="15"/>
      <c r="AF496" s="15"/>
      <c r="AG496" s="15"/>
      <c r="AH496" s="15"/>
      <c r="AI496" s="15"/>
      <c r="AK496" s="96"/>
      <c r="AL496" s="96"/>
      <c r="AM496" s="94"/>
    </row>
    <row r="497" spans="1:39" x14ac:dyDescent="0.45">
      <c r="A497" s="15"/>
      <c r="B497" s="15"/>
      <c r="C497" s="15"/>
      <c r="D497" s="95"/>
      <c r="E497" s="95"/>
      <c r="F497" s="15"/>
      <c r="G497" s="95"/>
      <c r="H497" s="15"/>
      <c r="I497" s="15"/>
      <c r="J497" s="15"/>
      <c r="K497" s="15"/>
      <c r="L497" s="15"/>
      <c r="M497" s="15"/>
      <c r="N497" s="15"/>
      <c r="O497" s="15"/>
      <c r="P497" s="26"/>
      <c r="Q497" s="15"/>
      <c r="R497" s="15"/>
      <c r="S497" s="15"/>
      <c r="T497" s="15"/>
      <c r="U497" s="15"/>
      <c r="V497" s="95"/>
      <c r="W497" s="95"/>
      <c r="X497" s="15"/>
      <c r="Y497" s="15"/>
      <c r="Z497" s="15"/>
      <c r="AA497" s="15"/>
      <c r="AB497" s="15"/>
      <c r="AC497" s="15"/>
      <c r="AD497" s="15"/>
      <c r="AE497" s="15"/>
      <c r="AF497" s="15"/>
      <c r="AG497" s="15"/>
      <c r="AH497" s="15"/>
      <c r="AI497" s="15"/>
      <c r="AK497" s="96"/>
      <c r="AL497" s="96"/>
      <c r="AM497" s="94"/>
    </row>
    <row r="498" spans="1:39" x14ac:dyDescent="0.45">
      <c r="A498" s="15"/>
      <c r="B498" s="15"/>
      <c r="C498" s="15"/>
      <c r="D498" s="95"/>
      <c r="E498" s="95"/>
      <c r="F498" s="15"/>
      <c r="G498" s="95"/>
      <c r="H498" s="15"/>
      <c r="I498" s="15"/>
      <c r="J498" s="15"/>
      <c r="K498" s="15"/>
      <c r="L498" s="15"/>
      <c r="M498" s="15"/>
      <c r="N498" s="15"/>
      <c r="O498" s="15"/>
      <c r="P498" s="26"/>
      <c r="Q498" s="15"/>
      <c r="R498" s="15"/>
      <c r="S498" s="15"/>
      <c r="T498" s="15"/>
      <c r="U498" s="15"/>
      <c r="V498" s="95"/>
      <c r="W498" s="95"/>
      <c r="X498" s="15"/>
      <c r="Y498" s="15"/>
      <c r="Z498" s="15"/>
      <c r="AA498" s="15"/>
      <c r="AB498" s="15"/>
      <c r="AC498" s="15"/>
      <c r="AD498" s="15"/>
      <c r="AE498" s="15"/>
      <c r="AF498" s="15"/>
      <c r="AG498" s="15"/>
      <c r="AH498" s="15"/>
      <c r="AI498" s="15"/>
      <c r="AK498" s="96"/>
      <c r="AL498" s="96"/>
      <c r="AM498" s="94"/>
    </row>
    <row r="499" spans="1:39" x14ac:dyDescent="0.45">
      <c r="A499" s="15"/>
      <c r="B499" s="15"/>
      <c r="C499" s="15"/>
      <c r="D499" s="95"/>
      <c r="E499" s="95"/>
      <c r="F499" s="15"/>
      <c r="G499" s="95"/>
      <c r="H499" s="15"/>
      <c r="I499" s="15"/>
      <c r="J499" s="15"/>
      <c r="K499" s="15"/>
      <c r="L499" s="15"/>
      <c r="M499" s="15"/>
      <c r="N499" s="15"/>
      <c r="O499" s="15"/>
      <c r="P499" s="26"/>
      <c r="Q499" s="15"/>
      <c r="R499" s="15"/>
      <c r="S499" s="15"/>
      <c r="T499" s="15"/>
      <c r="U499" s="15"/>
      <c r="V499" s="95"/>
      <c r="W499" s="95"/>
      <c r="X499" s="15"/>
      <c r="Y499" s="15"/>
      <c r="Z499" s="15"/>
      <c r="AA499" s="15"/>
      <c r="AB499" s="15"/>
      <c r="AC499" s="15"/>
      <c r="AD499" s="15"/>
      <c r="AE499" s="15"/>
      <c r="AF499" s="15"/>
      <c r="AG499" s="15"/>
      <c r="AH499" s="15"/>
      <c r="AI499" s="15"/>
      <c r="AK499" s="96"/>
      <c r="AL499" s="96"/>
      <c r="AM499" s="94"/>
    </row>
    <row r="500" spans="1:39" x14ac:dyDescent="0.45">
      <c r="A500" s="15"/>
      <c r="B500" s="15"/>
      <c r="C500" s="15"/>
      <c r="D500" s="95"/>
      <c r="E500" s="95"/>
      <c r="F500" s="15"/>
      <c r="G500" s="95"/>
      <c r="H500" s="15"/>
      <c r="I500" s="15"/>
      <c r="J500" s="15"/>
      <c r="K500" s="15"/>
      <c r="L500" s="15"/>
      <c r="M500" s="15"/>
      <c r="N500" s="15"/>
      <c r="O500" s="15"/>
      <c r="P500" s="26"/>
      <c r="Q500" s="15"/>
      <c r="R500" s="15"/>
      <c r="S500" s="15"/>
      <c r="T500" s="15"/>
      <c r="U500" s="15"/>
      <c r="V500" s="95"/>
      <c r="W500" s="95"/>
      <c r="X500" s="15"/>
      <c r="Y500" s="15"/>
      <c r="Z500" s="15"/>
      <c r="AA500" s="15"/>
      <c r="AB500" s="15"/>
      <c r="AC500" s="15"/>
      <c r="AD500" s="15"/>
      <c r="AE500" s="15"/>
      <c r="AF500" s="15"/>
      <c r="AG500" s="15"/>
      <c r="AH500" s="15"/>
      <c r="AI500" s="15"/>
      <c r="AK500" s="96"/>
      <c r="AL500" s="96"/>
      <c r="AM500" s="94"/>
    </row>
    <row r="501" spans="1:39" x14ac:dyDescent="0.45">
      <c r="C501" s="15"/>
    </row>
    <row r="502" spans="1:39" x14ac:dyDescent="0.45">
      <c r="C502" s="15"/>
    </row>
    <row r="503" spans="1:39" x14ac:dyDescent="0.45">
      <c r="C503" s="15"/>
    </row>
    <row r="504" spans="1:39" x14ac:dyDescent="0.45">
      <c r="C504" s="15"/>
    </row>
    <row r="505" spans="1:39" x14ac:dyDescent="0.45">
      <c r="C505" s="15"/>
    </row>
    <row r="506" spans="1:39" x14ac:dyDescent="0.45">
      <c r="C506" s="15"/>
    </row>
    <row r="507" spans="1:39" x14ac:dyDescent="0.45">
      <c r="C507" s="15"/>
    </row>
    <row r="508" spans="1:39" x14ac:dyDescent="0.45">
      <c r="C508" s="15"/>
    </row>
    <row r="509" spans="1:39" x14ac:dyDescent="0.45">
      <c r="C509" s="15"/>
    </row>
    <row r="510" spans="1:39" x14ac:dyDescent="0.45">
      <c r="C510" s="15"/>
    </row>
    <row r="511" spans="1:39" x14ac:dyDescent="0.45">
      <c r="C511" s="15"/>
    </row>
    <row r="512" spans="1:39" x14ac:dyDescent="0.45">
      <c r="C512" s="15"/>
    </row>
    <row r="513" spans="3:3" x14ac:dyDescent="0.45">
      <c r="C513" s="15"/>
    </row>
    <row r="514" spans="3:3" x14ac:dyDescent="0.45">
      <c r="C514" s="15"/>
    </row>
    <row r="515" spans="3:3" x14ac:dyDescent="0.45">
      <c r="C515" s="15"/>
    </row>
    <row r="516" spans="3:3" x14ac:dyDescent="0.45">
      <c r="C516" s="15"/>
    </row>
    <row r="517" spans="3:3" x14ac:dyDescent="0.45">
      <c r="C517" s="15"/>
    </row>
    <row r="518" spans="3:3" x14ac:dyDescent="0.45">
      <c r="C518" s="15"/>
    </row>
    <row r="519" spans="3:3" x14ac:dyDescent="0.45">
      <c r="C519" s="15"/>
    </row>
    <row r="520" spans="3:3" x14ac:dyDescent="0.45">
      <c r="C520" s="15"/>
    </row>
    <row r="521" spans="3:3" x14ac:dyDescent="0.45">
      <c r="C521" s="15"/>
    </row>
    <row r="522" spans="3:3" x14ac:dyDescent="0.45">
      <c r="C522" s="15"/>
    </row>
    <row r="523" spans="3:3" x14ac:dyDescent="0.45">
      <c r="C523" s="15"/>
    </row>
    <row r="524" spans="3:3" x14ac:dyDescent="0.45">
      <c r="C524" s="15"/>
    </row>
    <row r="525" spans="3:3" x14ac:dyDescent="0.45">
      <c r="C525" s="15"/>
    </row>
    <row r="526" spans="3:3" x14ac:dyDescent="0.45">
      <c r="C526" s="15"/>
    </row>
    <row r="527" spans="3:3" x14ac:dyDescent="0.45">
      <c r="C527" s="15"/>
    </row>
    <row r="528" spans="3:3" x14ac:dyDescent="0.45">
      <c r="C528" s="15"/>
    </row>
    <row r="529" spans="3:3" x14ac:dyDescent="0.45">
      <c r="C529" s="15"/>
    </row>
    <row r="530" spans="3:3" x14ac:dyDescent="0.45">
      <c r="C530" s="15"/>
    </row>
    <row r="531" spans="3:3" x14ac:dyDescent="0.45">
      <c r="C531" s="15"/>
    </row>
    <row r="532" spans="3:3" x14ac:dyDescent="0.45">
      <c r="C532" s="15"/>
    </row>
    <row r="533" spans="3:3" x14ac:dyDescent="0.45">
      <c r="C533" s="15"/>
    </row>
    <row r="534" spans="3:3" x14ac:dyDescent="0.45">
      <c r="C534" s="15"/>
    </row>
    <row r="535" spans="3:3" x14ac:dyDescent="0.45">
      <c r="C535" s="15"/>
    </row>
    <row r="536" spans="3:3" x14ac:dyDescent="0.45">
      <c r="C536" s="15"/>
    </row>
  </sheetData>
  <sheetProtection sheet="1" objects="1" scenarios="1" formatColumns="0" insertRows="0" deleteRows="0"/>
  <autoFilter ref="A3:AU493" xr:uid="{00000000-0009-0000-0000-000002000000}"/>
  <mergeCells count="2">
    <mergeCell ref="A1:B2"/>
    <mergeCell ref="C1:E2"/>
  </mergeCells>
  <conditionalFormatting sqref="J63 J74 J76:J77 J91:J176 J180:J191 J193:J492 J11:J12 J19:J20 J25 J47:J61">
    <cfRule type="expression" dxfId="1721" priority="1830">
      <formula>$J11="Required Field"</formula>
    </cfRule>
  </conditionalFormatting>
  <conditionalFormatting sqref="L63 L74 L76:L77 L91:L176 L179:L492 L11:L12 L19:L20 L25 L47:L61">
    <cfRule type="expression" dxfId="1720" priority="1829">
      <formula>$L11="Required Field"</formula>
    </cfRule>
  </conditionalFormatting>
  <conditionalFormatting sqref="M63:N63 M74:N74 M76:N77 M91:N176 M179:N492 M12:N12 M11 M19:N20 M25:N25 M47:N61">
    <cfRule type="expression" dxfId="1719" priority="1828">
      <formula>$M11="Required Field"</formula>
    </cfRule>
  </conditionalFormatting>
  <conditionalFormatting sqref="T1:T3 T9:T1048576">
    <cfRule type="expression" dxfId="1718" priority="1824">
      <formula>$T1="Required Field"</formula>
    </cfRule>
  </conditionalFormatting>
  <conditionalFormatting sqref="U1:U3 U9:U1048576">
    <cfRule type="expression" dxfId="1717" priority="1823">
      <formula>$U1="Required Field"</formula>
    </cfRule>
  </conditionalFormatting>
  <conditionalFormatting sqref="V37:V56 V58:V155 V1:V3 V157:V1048576 V9:V34">
    <cfRule type="expression" dxfId="1716" priority="1822">
      <formula>$V1="Required Field"</formula>
    </cfRule>
  </conditionalFormatting>
  <conditionalFormatting sqref="W18:W34 W37:W53 W55 W58:W76 W78:W97 W99:W123 W125:W136 W138:W139 W141:W143 W146 W157 W160 W164:W171 W173:W184 W187:W188 W190:W191 W193:W219 W221:W224 W226:W231 W233 W235:W236 W238:W242 W244:W245 W247:W260 W262 W265:W269 W273:W276 W278:W296 W298:W313 W315:W354 W357:W362 W368:W382 W384 W386 W388 W390 W392:W393 W395 W397 W399 W401:W404 W406:W412 W414 W418:W419 W421:W422 W424:W425 W428:W429 W434 W437:W438 W442 W447:W448 W454:W455 W457:W459 W461:W1048576 W9:W16 W1:W5">
    <cfRule type="expression" dxfId="1715" priority="1821">
      <formula>$W1="Required Field"</formula>
    </cfRule>
  </conditionalFormatting>
  <conditionalFormatting sqref="X15:X16 X18:X28 X30:X33 X37:X38 X40:X41 X43:X45 X47:X51 X53 X55 X58:X80 X82:X97 X99:X123 X125:X139 X141 X143 X157 X160 X164:X171 X174:X184 X187:X188 X191 X193:X219 X221:X224 X226:X228 X230 X233 X235:X236 X239:X241 X247:X257 X262 X265:X267 X269 X274:X276 X278:X283 X285:X289 X291 X293:X295 X298:X306 X308:X318 X321:X322 X324:X330 X332:X348 X350 X357:X359 X361:X362 X368:X372 X375 X377:X382 X384 X386 X388 X390 X393 X395 X399 X401 X403:X404 X406:X408 X410:X411 X418:X419 X421:X422 X428 X434 X437:X438 X442 X447:X448 X454:X455 X457:X459 X461:X470 X473:X474 X477 X480:X481 X1:X3 X485:X1048576 X9:X12">
    <cfRule type="expression" dxfId="1714" priority="1820">
      <formula>$X1="Required Field"</formula>
    </cfRule>
  </conditionalFormatting>
  <conditionalFormatting sqref="Y15:Z16 Y18:Z28 Y30:Z33 Y37:Z38 Y40:Z41 Y44:Z45 Y47:Z51 Y53:Z53 Y55:Z55 Y58:Z80 Y82:Z97 Y99:Z123 Y125:Z139 Y141:Z141 Y143:Z143 Y157:Z157 Y160:Z160 Y164:Z171 Y174:Z184 Y187:Z188 Y191:Z191 Y193:Z219 Y221:Z224 Y226:Z228 Y230:Z230 Y233:Z233 Y235:Z236 Y239:Z241 Y247:Z251 Y253:Z257 Y262:Z262 Y265:Z267 Y269:Z269 Y274:Z274 Y276:Z276 Y278:Z281 Y283:Z283 Y285:Z289 Y291:Z291 Y293:Z295 Y299:Z306 Y308:Z318 Y321:Z322 Y324:Z330 Y332:Z348 Y350:Z350 Y352:Z352 Y357:Z359 Y361:Z362 Y369:Z372 Y375:Z375 Y377:Z382 Y384:Z384 Y386:Z386 Y388:Z388 Y390:Z390 Y393:Z393 Y395:Z395 Y399:Z399 Y401:Z401 Y403:Z404 Y406:Z408 Y410:Z411 Y418:Z419 Y422:Z422 Y434:Z434 Y437:Z438 Y447:Z448 Y454:Z455 Y457:Z459 Y461:Z461 Y463:Z470 Y473:Z474 Y477:Z477 Y480:Z481 Y1:Z3 Y485:Z1048576 Y9:Z12">
    <cfRule type="expression" dxfId="1713" priority="1819">
      <formula>$Y1="Required Field"</formula>
    </cfRule>
  </conditionalFormatting>
  <conditionalFormatting sqref="AA15:AB16 AA18:AB28 AA30:AB33 AA38:AB38 AA40:AB41 AA44:AB45 AA47:AB51 AA53:AB53 AA58:AB80 AA82:AB97 AA99:AB123 AA125:AB139 AA141:AB141 AA143:AB143 AA157:AB157 AA160:AB160 AA164:AB171 AA174:AB184 AA187:AB188 AA191:AB191 AA193:AB219 AA221:AB224 AA226:AB228 AA230:AB230 AA233:AB233 AA235:AB236 AA239:AB241 AA247:AB251 AA253:AB257 AA262:AB262 AA265:AB267 AA269:AB269 AA274:AB274 AA276:AB276 AA278:AB281 AA283:AB283 AA285:AB289 AA291:AB291 AA293:AB295 AA299:AB306 AA308:AB318 AA321:AB322 AA324:AB324 AA326:AB326 AA328:AB328 AA330:AB330 AA332:AB332 AA334:AB334 AA336:AB348 AA350:AB350 AA352:AB352 AA357:AB359 AA361:AB362 AA369:AB372 AA375:AB375 AA377:AB382 AA384:AB384 AA386:AB386 AA388:AB388 AA390:AB390 AA393:AB393 AA395:AB395 AA399:AB399 AA401:AB401 AA403:AB404 AA406:AB408 AA410:AB411 AA418:AB419 AA434:AB434 AA437:AB438 AA447:AB448 AA454:AB455 AA457:AB459 AA461:AB461 AA463:AB470 AA473:AB474 AA477:AB477 AA480:AB481 AA1:AB3 AA485:AB1048576 AB9:AB493 AA9:AB12">
    <cfRule type="expression" dxfId="1712" priority="1818">
      <formula>$AA1="Required Field"</formula>
    </cfRule>
  </conditionalFormatting>
  <conditionalFormatting sqref="AC1:AC3 AC9:AC1048576">
    <cfRule type="expression" dxfId="1711" priority="1817">
      <formula>$AC1="Required Field"</formula>
    </cfRule>
  </conditionalFormatting>
  <conditionalFormatting sqref="AE15:AE16 AE18:AE28 AE30:AE33 AE38 AE40:AE41 AE44:AE45 AE47:AE51 AE53 AE58:AE80 AE82:AE97 AE99:AE123 AE125:AE139 AE141 AE143 AE157 AE160 AE164:AE171 AE174:AE184 AE187:AE188 AE191 AE193:AE219 AE221:AE224 AE226:AE228 AE230 AE233 AE235:AE236 AE239:AE241 AE247:AE251 AE253:AE257 AE262 AE265:AE267 AE269 AE274 AE276 AE278:AE281 AE283 AE285:AE289 AE291 AE293:AE295 AE299:AE306 AE308:AE317 AE321:AE322 AE324:AE330 AE332:AE348 AE350 AE352 AE357:AE359 AE361:AE362 AE369:AE372 AE375 AE377:AE382 AE384 AE386 AE388 AE390 AE393 AE395 AE399 AE401 AE403:AE404 AE406:AE408 AE410:AE411 AE418:AE419 AE422 AE434 AE437:AE438 AE447:AE448 AE454:AE455 AE457:AE459 AE461 AE463:AE470 AE473:AE474 AE477 AE480:AE481 AE1:AE3 AE485:AE1048576 AE9:AE12">
    <cfRule type="expression" dxfId="1710" priority="1816">
      <formula>$AE1="Required Field"</formula>
    </cfRule>
  </conditionalFormatting>
  <conditionalFormatting sqref="AG15:AG16 AG18:AG28 AG30:AG33 AG38 AG40:AG41 AG44:AG45 AG47:AG51 AG53 AG58:AG80 AG82:AG97 AG99:AG123 AG125:AG139 AG141 AG143 AG157 AG160 AG164:AG171 AG174:AG184 AG187:AG188 AG191 AG193:AG219 AG221:AG224 AG226:AG228 AG230 AG233 AG235:AG236 AG239:AG241 AG247:AG251 AG253:AG257 AG262 AG265:AG267 AG269 AG274 AG276 AG278:AG281 AG283 AG285:AG289 AG291 AG293:AG295 AG299:AG306 AG308:AG317 AG321:AG322 AG324:AG330 AG332:AG348 AG350 AG352 AG357:AG359 AG361:AG362 AG369:AG372 AG375 AG377:AG382 AG384 AG386 AG388 AG390 AG393 AG395 AG399 AG401 AG403:AG404 AG406:AG408 AG410:AG411 AG418:AG419 AG422 AG434 AG437:AG438 AG447:AG448 AG454:AG455 AG457:AG459 AG461 AG463:AG470 AG473:AG474 AG477 AG480:AG481 AG1:AG3 AG485:AG1048576 AG9:AG12">
    <cfRule type="expression" dxfId="1709" priority="1815">
      <formula>$AG1="Required Field"</formula>
    </cfRule>
  </conditionalFormatting>
  <conditionalFormatting sqref="AH15:AH16 AH18:AH28 AH30:AH33 AH38 AH40:AH41 AH44:AH45 AH47:AH51 AH53 AH58:AH80 AH82:AH97 AH99:AH123 AH125:AH139 AH141 AH143 AH157 AH160 AH164:AH171 AH174:AH184 AH187:AH188 AH191 AH193:AH219 AH221:AH224 AH226:AH228 AH230 AH233 AH235:AH236 AH239:AH241 AH247:AH251 AH253:AH257 AH262 AH265:AH267 AH269 AH274 AH276 AH278:AH281 AH283 AH285:AH289 AH291 AH293:AH295 AH299:AH306 AH308:AH317 AH321:AH322 AH324:AH330 AH332:AH348 AH350 AH352 AH357:AH359 AH361:AH362 AH369:AH372 AH375 AH377:AH382 AH384 AH386 AH388 AH390 AH393 AH395 AH399 AH401 AH403:AH404 AH406:AH408 AH410:AH411 AH418:AH419 AH422 AH434 AH437:AH438 AH447:AH448 AH454:AH455 AH457:AH459 AH461 AH463:AH470 AH473:AH474 AH477 AH480:AH481 AH1:AH3 AH485:AH1048576 AH9:AH12">
    <cfRule type="expression" dxfId="1708" priority="1814">
      <formula>$AH1="Required Field"</formula>
    </cfRule>
  </conditionalFormatting>
  <conditionalFormatting sqref="AM3:AS3 AM1:AN3 AM264:AN1048576 AM9:AN262">
    <cfRule type="expression" dxfId="1707" priority="1813">
      <formula>$AM1="Required Field"</formula>
    </cfRule>
  </conditionalFormatting>
  <conditionalFormatting sqref="AD15:AD16 AD18:AD28 AD30:AD33 AD38 AD40:AD41 AD44:AD45 AD47:AD51 AD53 AD58:AD80 AD82:AD97 AD99:AD123 AD125:AD139 AD141 AD143 AD157 AD160 AD164:AD171 AD174:AD184 AD187:AD188 AD191 AD193:AD219 AD221:AD224 AD226:AD228 AD230 AD233 AD235:AD236 AD239:AD241 AD247:AD251 AD253:AD257 AD262 AD265:AD267 AD269 AD274 AD276 AD278:AD281 AD283 AD285:AD289 AD291 AD293:AD295 AD299:AD306 AD308:AD317 AD321:AD322 AD324:AD330 AD332:AD348 AD350 AD352 AD357:AD359 AD361:AD362 AD369:AD372 AD375 AD377:AD382 AD384 AD386 AD388 AD390 AD393 AD395 AD399 AD401 AD403:AD404 AD406:AD408 AD410:AD411 AD418:AD419 AD422 AD434 AD437:AD438 AD447:AD448 AD454:AD455 AD457:AD459 AD461 AD463:AD470 AD473:AD474 AD477 AD480:AD481 AD1:AD3 AD485:AD1048576 AD9:AD12">
    <cfRule type="expression" dxfId="1706" priority="1811">
      <formula>$AD1="Required Field"</formula>
    </cfRule>
  </conditionalFormatting>
  <conditionalFormatting sqref="X13">
    <cfRule type="expression" dxfId="1705" priority="1730">
      <formula>$X13="Required Field"</formula>
    </cfRule>
  </conditionalFormatting>
  <conditionalFormatting sqref="Y13:Z13">
    <cfRule type="expression" dxfId="1704" priority="1729">
      <formula>$Y13="Required Field"</formula>
    </cfRule>
  </conditionalFormatting>
  <conditionalFormatting sqref="AA13:AB13">
    <cfRule type="expression" dxfId="1703" priority="1728">
      <formula>$AA13="Required Field"</formula>
    </cfRule>
  </conditionalFormatting>
  <conditionalFormatting sqref="AC13">
    <cfRule type="expression" dxfId="1702" priority="1727">
      <formula>$AC13="Required Field"</formula>
    </cfRule>
  </conditionalFormatting>
  <conditionalFormatting sqref="AE13">
    <cfRule type="expression" dxfId="1701" priority="1726">
      <formula>$AE13="Required Field"</formula>
    </cfRule>
  </conditionalFormatting>
  <conditionalFormatting sqref="AG13">
    <cfRule type="expression" dxfId="1700" priority="1725">
      <formula>$AG13="Required Field"</formula>
    </cfRule>
  </conditionalFormatting>
  <conditionalFormatting sqref="AH13">
    <cfRule type="expression" dxfId="1699" priority="1724">
      <formula>$AH13="Required Field"</formula>
    </cfRule>
  </conditionalFormatting>
  <conditionalFormatting sqref="AD13">
    <cfRule type="expression" dxfId="1698" priority="1723">
      <formula>$AD13="Required Field"</formula>
    </cfRule>
  </conditionalFormatting>
  <conditionalFormatting sqref="X14">
    <cfRule type="expression" dxfId="1697" priority="1722">
      <formula>$X14="Required Field"</formula>
    </cfRule>
  </conditionalFormatting>
  <conditionalFormatting sqref="Y14:Z14">
    <cfRule type="expression" dxfId="1696" priority="1721">
      <formula>$Y14="Required Field"</formula>
    </cfRule>
  </conditionalFormatting>
  <conditionalFormatting sqref="AA14:AB14">
    <cfRule type="expression" dxfId="1695" priority="1720">
      <formula>$AA14="Required Field"</formula>
    </cfRule>
  </conditionalFormatting>
  <conditionalFormatting sqref="AC14">
    <cfRule type="expression" dxfId="1694" priority="1719">
      <formula>$AC14="Required Field"</formula>
    </cfRule>
  </conditionalFormatting>
  <conditionalFormatting sqref="AE14">
    <cfRule type="expression" dxfId="1693" priority="1718">
      <formula>$AE14="Required Field"</formula>
    </cfRule>
  </conditionalFormatting>
  <conditionalFormatting sqref="AG14">
    <cfRule type="expression" dxfId="1692" priority="1717">
      <formula>$AG14="Required Field"</formula>
    </cfRule>
  </conditionalFormatting>
  <conditionalFormatting sqref="AH14">
    <cfRule type="expression" dxfId="1691" priority="1716">
      <formula>$AH14="Required Field"</formula>
    </cfRule>
  </conditionalFormatting>
  <conditionalFormatting sqref="AD14">
    <cfRule type="expression" dxfId="1690" priority="1715">
      <formula>$AD14="Required Field"</formula>
    </cfRule>
  </conditionalFormatting>
  <conditionalFormatting sqref="W17">
    <cfRule type="expression" dxfId="1689" priority="1714">
      <formula>$W17="Required Field"</formula>
    </cfRule>
  </conditionalFormatting>
  <conditionalFormatting sqref="X17">
    <cfRule type="expression" dxfId="1688" priority="1713">
      <formula>$X17="Required Field"</formula>
    </cfRule>
  </conditionalFormatting>
  <conditionalFormatting sqref="Y17:Z17">
    <cfRule type="expression" dxfId="1687" priority="1712">
      <formula>$Y17="Required Field"</formula>
    </cfRule>
  </conditionalFormatting>
  <conditionalFormatting sqref="AA17:AB17">
    <cfRule type="expression" dxfId="1686" priority="1711">
      <formula>$AA17="Required Field"</formula>
    </cfRule>
  </conditionalFormatting>
  <conditionalFormatting sqref="AC17">
    <cfRule type="expression" dxfId="1685" priority="1710">
      <formula>$AC17="Required Field"</formula>
    </cfRule>
  </conditionalFormatting>
  <conditionalFormatting sqref="AE17">
    <cfRule type="expression" dxfId="1684" priority="1709">
      <formula>$AE17="Required Field"</formula>
    </cfRule>
  </conditionalFormatting>
  <conditionalFormatting sqref="AG17">
    <cfRule type="expression" dxfId="1683" priority="1708">
      <formula>$AG17="Required Field"</formula>
    </cfRule>
  </conditionalFormatting>
  <conditionalFormatting sqref="AH17">
    <cfRule type="expression" dxfId="1682" priority="1707">
      <formula>$AH17="Required Field"</formula>
    </cfRule>
  </conditionalFormatting>
  <conditionalFormatting sqref="AD17">
    <cfRule type="expression" dxfId="1681" priority="1706">
      <formula>$AD17="Required Field"</formula>
    </cfRule>
  </conditionalFormatting>
  <conditionalFormatting sqref="AC15">
    <cfRule type="expression" dxfId="1680" priority="1705">
      <formula>$AC15="Required Field"</formula>
    </cfRule>
  </conditionalFormatting>
  <conditionalFormatting sqref="AC18">
    <cfRule type="expression" dxfId="1679" priority="1704">
      <formula>$AC18="Required Field"</formula>
    </cfRule>
  </conditionalFormatting>
  <conditionalFormatting sqref="AC19">
    <cfRule type="expression" dxfId="1678" priority="1703">
      <formula>$AC19="Required Field"</formula>
    </cfRule>
  </conditionalFormatting>
  <conditionalFormatting sqref="AC24">
    <cfRule type="expression" dxfId="1677" priority="1702">
      <formula>$AC24="Required Field"</formula>
    </cfRule>
  </conditionalFormatting>
  <conditionalFormatting sqref="AC27">
    <cfRule type="expression" dxfId="1676" priority="1701">
      <formula>$AC27="Required Field"</formula>
    </cfRule>
  </conditionalFormatting>
  <conditionalFormatting sqref="X29">
    <cfRule type="expression" dxfId="1675" priority="1700">
      <formula>$X29="Required Field"</formula>
    </cfRule>
  </conditionalFormatting>
  <conditionalFormatting sqref="Y29:Z29">
    <cfRule type="expression" dxfId="1674" priority="1699">
      <formula>$Y29="Required Field"</formula>
    </cfRule>
  </conditionalFormatting>
  <conditionalFormatting sqref="AA29:AB29">
    <cfRule type="expression" dxfId="1673" priority="1698">
      <formula>$AA29="Required Field"</formula>
    </cfRule>
  </conditionalFormatting>
  <conditionalFormatting sqref="AE29">
    <cfRule type="expression" dxfId="1672" priority="1697">
      <formula>$AE29="Required Field"</formula>
    </cfRule>
  </conditionalFormatting>
  <conditionalFormatting sqref="AG29">
    <cfRule type="expression" dxfId="1671" priority="1696">
      <formula>$AG29="Required Field"</formula>
    </cfRule>
  </conditionalFormatting>
  <conditionalFormatting sqref="AH29">
    <cfRule type="expression" dxfId="1670" priority="1695">
      <formula>$AH29="Required Field"</formula>
    </cfRule>
  </conditionalFormatting>
  <conditionalFormatting sqref="AD29">
    <cfRule type="expression" dxfId="1669" priority="1694">
      <formula>$AD29="Required Field"</formula>
    </cfRule>
  </conditionalFormatting>
  <conditionalFormatting sqref="AC29">
    <cfRule type="expression" dxfId="1668" priority="1693">
      <formula>$AC29="Required Field"</formula>
    </cfRule>
  </conditionalFormatting>
  <conditionalFormatting sqref="AC32">
    <cfRule type="expression" dxfId="1667" priority="1692">
      <formula>$AC32="Required Field"</formula>
    </cfRule>
  </conditionalFormatting>
  <conditionalFormatting sqref="X34">
    <cfRule type="expression" dxfId="1666" priority="1691">
      <formula>$X34="Required Field"</formula>
    </cfRule>
  </conditionalFormatting>
  <conditionalFormatting sqref="Y34:Z34">
    <cfRule type="expression" dxfId="1665" priority="1690">
      <formula>$Y34="Required Field"</formula>
    </cfRule>
  </conditionalFormatting>
  <conditionalFormatting sqref="AA34:AB34">
    <cfRule type="expression" dxfId="1664" priority="1689">
      <formula>$AA34="Required Field"</formula>
    </cfRule>
  </conditionalFormatting>
  <conditionalFormatting sqref="AE34">
    <cfRule type="expression" dxfId="1663" priority="1688">
      <formula>$AE34="Required Field"</formula>
    </cfRule>
  </conditionalFormatting>
  <conditionalFormatting sqref="AG34">
    <cfRule type="expression" dxfId="1662" priority="1687">
      <formula>$AG34="Required Field"</formula>
    </cfRule>
  </conditionalFormatting>
  <conditionalFormatting sqref="AH34">
    <cfRule type="expression" dxfId="1661" priority="1686">
      <formula>$AH34="Required Field"</formula>
    </cfRule>
  </conditionalFormatting>
  <conditionalFormatting sqref="AD34">
    <cfRule type="expression" dxfId="1660" priority="1685">
      <formula>$AD34="Required Field"</formula>
    </cfRule>
  </conditionalFormatting>
  <conditionalFormatting sqref="AC34">
    <cfRule type="expression" dxfId="1659" priority="1684">
      <formula>$AC34="Required Field"</formula>
    </cfRule>
  </conditionalFormatting>
  <conditionalFormatting sqref="V35:V36">
    <cfRule type="expression" dxfId="1658" priority="1683">
      <formula>$V35="Required Field"</formula>
    </cfRule>
  </conditionalFormatting>
  <conditionalFormatting sqref="W35:W36">
    <cfRule type="expression" dxfId="1657" priority="1682">
      <formula>$W35="Required Field"</formula>
    </cfRule>
  </conditionalFormatting>
  <conditionalFormatting sqref="X35:X36">
    <cfRule type="expression" dxfId="1656" priority="1681">
      <formula>$X35="Required Field"</formula>
    </cfRule>
  </conditionalFormatting>
  <conditionalFormatting sqref="Y35:Z36">
    <cfRule type="expression" dxfId="1655" priority="1680">
      <formula>$Y35="Required Field"</formula>
    </cfRule>
  </conditionalFormatting>
  <conditionalFormatting sqref="AA35:AB36">
    <cfRule type="expression" dxfId="1654" priority="1679">
      <formula>$AA35="Required Field"</formula>
    </cfRule>
  </conditionalFormatting>
  <conditionalFormatting sqref="AE35:AE36">
    <cfRule type="expression" dxfId="1653" priority="1678">
      <formula>$AE35="Required Field"</formula>
    </cfRule>
  </conditionalFormatting>
  <conditionalFormatting sqref="AG35:AG36">
    <cfRule type="expression" dxfId="1652" priority="1677">
      <formula>$AG35="Required Field"</formula>
    </cfRule>
  </conditionalFormatting>
  <conditionalFormatting sqref="AH35:AH36">
    <cfRule type="expression" dxfId="1651" priority="1676">
      <formula>$AH35="Required Field"</formula>
    </cfRule>
  </conditionalFormatting>
  <conditionalFormatting sqref="AD35:AD36">
    <cfRule type="expression" dxfId="1650" priority="1675">
      <formula>$AD35="Required Field"</formula>
    </cfRule>
  </conditionalFormatting>
  <conditionalFormatting sqref="AC35:AC36">
    <cfRule type="expression" dxfId="1649" priority="1674">
      <formula>$AC35="Required Field"</formula>
    </cfRule>
  </conditionalFormatting>
  <conditionalFormatting sqref="AA37:AB37">
    <cfRule type="expression" dxfId="1648" priority="1673">
      <formula>$AA37="Required Field"</formula>
    </cfRule>
  </conditionalFormatting>
  <conditionalFormatting sqref="AC37">
    <cfRule type="expression" dxfId="1647" priority="1672">
      <formula>$AC37="Required Field"</formula>
    </cfRule>
  </conditionalFormatting>
  <conditionalFormatting sqref="AE37">
    <cfRule type="expression" dxfId="1646" priority="1671">
      <formula>$AE37="Required Field"</formula>
    </cfRule>
  </conditionalFormatting>
  <conditionalFormatting sqref="AG37">
    <cfRule type="expression" dxfId="1645" priority="1670">
      <formula>$AG37="Required Field"</formula>
    </cfRule>
  </conditionalFormatting>
  <conditionalFormatting sqref="AH37">
    <cfRule type="expression" dxfId="1644" priority="1669">
      <formula>$AH37="Required Field"</formula>
    </cfRule>
  </conditionalFormatting>
  <conditionalFormatting sqref="AD37">
    <cfRule type="expression" dxfId="1643" priority="1668">
      <formula>$AD37="Required Field"</formula>
    </cfRule>
  </conditionalFormatting>
  <conditionalFormatting sqref="X39">
    <cfRule type="expression" dxfId="1642" priority="1667">
      <formula>$X39="Required Field"</formula>
    </cfRule>
  </conditionalFormatting>
  <conditionalFormatting sqref="Y39:Z39">
    <cfRule type="expression" dxfId="1641" priority="1666">
      <formula>$Y39="Required Field"</formula>
    </cfRule>
  </conditionalFormatting>
  <conditionalFormatting sqref="AA39:AB39">
    <cfRule type="expression" dxfId="1640" priority="1665">
      <formula>$AA39="Required Field"</formula>
    </cfRule>
  </conditionalFormatting>
  <conditionalFormatting sqref="AC39">
    <cfRule type="expression" dxfId="1639" priority="1664">
      <formula>$AC39="Required Field"</formula>
    </cfRule>
  </conditionalFormatting>
  <conditionalFormatting sqref="AE39">
    <cfRule type="expression" dxfId="1638" priority="1663">
      <formula>$AE39="Required Field"</formula>
    </cfRule>
  </conditionalFormatting>
  <conditionalFormatting sqref="AG39">
    <cfRule type="expression" dxfId="1637" priority="1662">
      <formula>$AG39="Required Field"</formula>
    </cfRule>
  </conditionalFormatting>
  <conditionalFormatting sqref="AH39">
    <cfRule type="expression" dxfId="1636" priority="1661">
      <formula>$AH39="Required Field"</formula>
    </cfRule>
  </conditionalFormatting>
  <conditionalFormatting sqref="AD39">
    <cfRule type="expression" dxfId="1635" priority="1660">
      <formula>$AD39="Required Field"</formula>
    </cfRule>
  </conditionalFormatting>
  <conditionalFormatting sqref="AC40">
    <cfRule type="expression" dxfId="1634" priority="1659">
      <formula>$AC40="Required Field"</formula>
    </cfRule>
  </conditionalFormatting>
  <conditionalFormatting sqref="X42">
    <cfRule type="expression" dxfId="1633" priority="1658">
      <formula>$X42="Required Field"</formula>
    </cfRule>
  </conditionalFormatting>
  <conditionalFormatting sqref="Y42:Z42">
    <cfRule type="expression" dxfId="1632" priority="1657">
      <formula>$Y42="Required Field"</formula>
    </cfRule>
  </conditionalFormatting>
  <conditionalFormatting sqref="AA42:AB42">
    <cfRule type="expression" dxfId="1631" priority="1656">
      <formula>$AA42="Required Field"</formula>
    </cfRule>
  </conditionalFormatting>
  <conditionalFormatting sqref="AC42">
    <cfRule type="expression" dxfId="1630" priority="1655">
      <formula>$AC42="Required Field"</formula>
    </cfRule>
  </conditionalFormatting>
  <conditionalFormatting sqref="AE42">
    <cfRule type="expression" dxfId="1629" priority="1654">
      <formula>$AE42="Required Field"</formula>
    </cfRule>
  </conditionalFormatting>
  <conditionalFormatting sqref="AG42">
    <cfRule type="expression" dxfId="1628" priority="1653">
      <formula>$AG42="Required Field"</formula>
    </cfRule>
  </conditionalFormatting>
  <conditionalFormatting sqref="AH42">
    <cfRule type="expression" dxfId="1627" priority="1652">
      <formula>$AH42="Required Field"</formula>
    </cfRule>
  </conditionalFormatting>
  <conditionalFormatting sqref="AD42">
    <cfRule type="expression" dxfId="1626" priority="1651">
      <formula>$AD42="Required Field"</formula>
    </cfRule>
  </conditionalFormatting>
  <conditionalFormatting sqref="Y43:Z43">
    <cfRule type="expression" dxfId="1625" priority="1650">
      <formula>$Y43="Required Field"</formula>
    </cfRule>
  </conditionalFormatting>
  <conditionalFormatting sqref="AA43:AB43">
    <cfRule type="expression" dxfId="1624" priority="1649">
      <formula>$AA43="Required Field"</formula>
    </cfRule>
  </conditionalFormatting>
  <conditionalFormatting sqref="AC43">
    <cfRule type="expression" dxfId="1623" priority="1648">
      <formula>$AC43="Required Field"</formula>
    </cfRule>
  </conditionalFormatting>
  <conditionalFormatting sqref="AE43">
    <cfRule type="expression" dxfId="1622" priority="1647">
      <formula>$AE43="Required Field"</formula>
    </cfRule>
  </conditionalFormatting>
  <conditionalFormatting sqref="AG43">
    <cfRule type="expression" dxfId="1621" priority="1646">
      <formula>$AG43="Required Field"</formula>
    </cfRule>
  </conditionalFormatting>
  <conditionalFormatting sqref="AH43">
    <cfRule type="expression" dxfId="1620" priority="1645">
      <formula>$AH43="Required Field"</formula>
    </cfRule>
  </conditionalFormatting>
  <conditionalFormatting sqref="AD43">
    <cfRule type="expression" dxfId="1619" priority="1644">
      <formula>$AD43="Required Field"</formula>
    </cfRule>
  </conditionalFormatting>
  <conditionalFormatting sqref="X46">
    <cfRule type="expression" dxfId="1618" priority="1643">
      <formula>$X46="Required Field"</formula>
    </cfRule>
  </conditionalFormatting>
  <conditionalFormatting sqref="Y46:Z46">
    <cfRule type="expression" dxfId="1617" priority="1642">
      <formula>$Y46="Required Field"</formula>
    </cfRule>
  </conditionalFormatting>
  <conditionalFormatting sqref="AA46:AB46">
    <cfRule type="expression" dxfId="1616" priority="1641">
      <formula>$AA46="Required Field"</formula>
    </cfRule>
  </conditionalFormatting>
  <conditionalFormatting sqref="AC46">
    <cfRule type="expression" dxfId="1615" priority="1640">
      <formula>$AC46="Required Field"</formula>
    </cfRule>
  </conditionalFormatting>
  <conditionalFormatting sqref="AE46">
    <cfRule type="expression" dxfId="1614" priority="1639">
      <formula>$AE46="Required Field"</formula>
    </cfRule>
  </conditionalFormatting>
  <conditionalFormatting sqref="AG46">
    <cfRule type="expression" dxfId="1613" priority="1638">
      <formula>$AG46="Required Field"</formula>
    </cfRule>
  </conditionalFormatting>
  <conditionalFormatting sqref="AH46">
    <cfRule type="expression" dxfId="1612" priority="1637">
      <formula>$AH46="Required Field"</formula>
    </cfRule>
  </conditionalFormatting>
  <conditionalFormatting sqref="AD46">
    <cfRule type="expression" dxfId="1611" priority="1636">
      <formula>$AD46="Required Field"</formula>
    </cfRule>
  </conditionalFormatting>
  <conditionalFormatting sqref="X52">
    <cfRule type="expression" dxfId="1610" priority="1627">
      <formula>$X52="Required Field"</formula>
    </cfRule>
  </conditionalFormatting>
  <conditionalFormatting sqref="Y52:Z52">
    <cfRule type="expression" dxfId="1609" priority="1626">
      <formula>$Y52="Required Field"</formula>
    </cfRule>
  </conditionalFormatting>
  <conditionalFormatting sqref="AA52:AB52">
    <cfRule type="expression" dxfId="1608" priority="1625">
      <formula>$AA52="Required Field"</formula>
    </cfRule>
  </conditionalFormatting>
  <conditionalFormatting sqref="AC52">
    <cfRule type="expression" dxfId="1607" priority="1624">
      <formula>$AC52="Required Field"</formula>
    </cfRule>
  </conditionalFormatting>
  <conditionalFormatting sqref="AE52">
    <cfRule type="expression" dxfId="1606" priority="1623">
      <formula>$AE52="Required Field"</formula>
    </cfRule>
  </conditionalFormatting>
  <conditionalFormatting sqref="AG52">
    <cfRule type="expression" dxfId="1605" priority="1622">
      <formula>$AG52="Required Field"</formula>
    </cfRule>
  </conditionalFormatting>
  <conditionalFormatting sqref="AH52">
    <cfRule type="expression" dxfId="1604" priority="1621">
      <formula>$AH52="Required Field"</formula>
    </cfRule>
  </conditionalFormatting>
  <conditionalFormatting sqref="AD52">
    <cfRule type="expression" dxfId="1603" priority="1620">
      <formula>$AD52="Required Field"</formula>
    </cfRule>
  </conditionalFormatting>
  <conditionalFormatting sqref="W54">
    <cfRule type="expression" dxfId="1602" priority="1619">
      <formula>$W54="Required Field"</formula>
    </cfRule>
  </conditionalFormatting>
  <conditionalFormatting sqref="X54">
    <cfRule type="expression" dxfId="1601" priority="1618">
      <formula>$X54="Required Field"</formula>
    </cfRule>
  </conditionalFormatting>
  <conditionalFormatting sqref="Y54:Z54">
    <cfRule type="expression" dxfId="1600" priority="1617">
      <formula>$Y54="Required Field"</formula>
    </cfRule>
  </conditionalFormatting>
  <conditionalFormatting sqref="AA54:AB54">
    <cfRule type="expression" dxfId="1599" priority="1616">
      <formula>$AA54="Required Field"</formula>
    </cfRule>
  </conditionalFormatting>
  <conditionalFormatting sqref="AC54">
    <cfRule type="expression" dxfId="1598" priority="1615">
      <formula>$AC54="Required Field"</formula>
    </cfRule>
  </conditionalFormatting>
  <conditionalFormatting sqref="AE54">
    <cfRule type="expression" dxfId="1597" priority="1614">
      <formula>$AE54="Required Field"</formula>
    </cfRule>
  </conditionalFormatting>
  <conditionalFormatting sqref="AG54">
    <cfRule type="expression" dxfId="1596" priority="1613">
      <formula>$AG54="Required Field"</formula>
    </cfRule>
  </conditionalFormatting>
  <conditionalFormatting sqref="AH54">
    <cfRule type="expression" dxfId="1595" priority="1612">
      <formula>$AH54="Required Field"</formula>
    </cfRule>
  </conditionalFormatting>
  <conditionalFormatting sqref="AD54">
    <cfRule type="expression" dxfId="1594" priority="1611">
      <formula>$AD54="Required Field"</formula>
    </cfRule>
  </conditionalFormatting>
  <conditionalFormatting sqref="AA55:AB55">
    <cfRule type="expression" dxfId="1593" priority="1610">
      <formula>$AA55="Required Field"</formula>
    </cfRule>
  </conditionalFormatting>
  <conditionalFormatting sqref="AC55">
    <cfRule type="expression" dxfId="1592" priority="1609">
      <formula>$AC55="Required Field"</formula>
    </cfRule>
  </conditionalFormatting>
  <conditionalFormatting sqref="AE55">
    <cfRule type="expression" dxfId="1591" priority="1608">
      <formula>$AE55="Required Field"</formula>
    </cfRule>
  </conditionalFormatting>
  <conditionalFormatting sqref="AG55">
    <cfRule type="expression" dxfId="1590" priority="1607">
      <formula>$AG55="Required Field"</formula>
    </cfRule>
  </conditionalFormatting>
  <conditionalFormatting sqref="AH55">
    <cfRule type="expression" dxfId="1589" priority="1606">
      <formula>$AH55="Required Field"</formula>
    </cfRule>
  </conditionalFormatting>
  <conditionalFormatting sqref="AD55">
    <cfRule type="expression" dxfId="1588" priority="1605">
      <formula>$AD55="Required Field"</formula>
    </cfRule>
  </conditionalFormatting>
  <conditionalFormatting sqref="W56">
    <cfRule type="expression" dxfId="1587" priority="1604">
      <formula>$W56="Required Field"</formula>
    </cfRule>
  </conditionalFormatting>
  <conditionalFormatting sqref="X56">
    <cfRule type="expression" dxfId="1586" priority="1603">
      <formula>$X56="Required Field"</formula>
    </cfRule>
  </conditionalFormatting>
  <conditionalFormatting sqref="Y56:Z56">
    <cfRule type="expression" dxfId="1585" priority="1602">
      <formula>$Y56="Required Field"</formula>
    </cfRule>
  </conditionalFormatting>
  <conditionalFormatting sqref="AA56:AB56">
    <cfRule type="expression" dxfId="1584" priority="1601">
      <formula>$AA56="Required Field"</formula>
    </cfRule>
  </conditionalFormatting>
  <conditionalFormatting sqref="AC56">
    <cfRule type="expression" dxfId="1583" priority="1600">
      <formula>$AC56="Required Field"</formula>
    </cfRule>
  </conditionalFormatting>
  <conditionalFormatting sqref="AE56">
    <cfRule type="expression" dxfId="1582" priority="1599">
      <formula>$AE56="Required Field"</formula>
    </cfRule>
  </conditionalFormatting>
  <conditionalFormatting sqref="AG56">
    <cfRule type="expression" dxfId="1581" priority="1598">
      <formula>$AG56="Required Field"</formula>
    </cfRule>
  </conditionalFormatting>
  <conditionalFormatting sqref="AH56">
    <cfRule type="expression" dxfId="1580" priority="1597">
      <formula>$AH56="Required Field"</formula>
    </cfRule>
  </conditionalFormatting>
  <conditionalFormatting sqref="AD56">
    <cfRule type="expression" dxfId="1579" priority="1596">
      <formula>$AD56="Required Field"</formula>
    </cfRule>
  </conditionalFormatting>
  <conditionalFormatting sqref="V57">
    <cfRule type="expression" dxfId="1578" priority="1595">
      <formula>$V57="Required Field"</formula>
    </cfRule>
  </conditionalFormatting>
  <conditionalFormatting sqref="W57">
    <cfRule type="expression" dxfId="1577" priority="1594">
      <formula>$W57="Required Field"</formula>
    </cfRule>
  </conditionalFormatting>
  <conditionalFormatting sqref="X57">
    <cfRule type="expression" dxfId="1576" priority="1593">
      <formula>$X57="Required Field"</formula>
    </cfRule>
  </conditionalFormatting>
  <conditionalFormatting sqref="Y57:Z57">
    <cfRule type="expression" dxfId="1575" priority="1592">
      <formula>$Y57="Required Field"</formula>
    </cfRule>
  </conditionalFormatting>
  <conditionalFormatting sqref="AA57:AB57">
    <cfRule type="expression" dxfId="1574" priority="1591">
      <formula>$AA57="Required Field"</formula>
    </cfRule>
  </conditionalFormatting>
  <conditionalFormatting sqref="AC57">
    <cfRule type="expression" dxfId="1573" priority="1590">
      <formula>$AC57="Required Field"</formula>
    </cfRule>
  </conditionalFormatting>
  <conditionalFormatting sqref="AE57">
    <cfRule type="expression" dxfId="1572" priority="1589">
      <formula>$AE57="Required Field"</formula>
    </cfRule>
  </conditionalFormatting>
  <conditionalFormatting sqref="AG57">
    <cfRule type="expression" dxfId="1571" priority="1588">
      <formula>$AG57="Required Field"</formula>
    </cfRule>
  </conditionalFormatting>
  <conditionalFormatting sqref="AH57">
    <cfRule type="expression" dxfId="1570" priority="1587">
      <formula>$AH57="Required Field"</formula>
    </cfRule>
  </conditionalFormatting>
  <conditionalFormatting sqref="AD57">
    <cfRule type="expression" dxfId="1569" priority="1586">
      <formula>$AD57="Required Field"</formula>
    </cfRule>
  </conditionalFormatting>
  <conditionalFormatting sqref="J62">
    <cfRule type="expression" dxfId="1568" priority="1583">
      <formula>$J62="Required Field"</formula>
    </cfRule>
  </conditionalFormatting>
  <conditionalFormatting sqref="L62">
    <cfRule type="expression" dxfId="1567" priority="1582">
      <formula>$L62="Required Field"</formula>
    </cfRule>
  </conditionalFormatting>
  <conditionalFormatting sqref="M62:N62">
    <cfRule type="expression" dxfId="1566" priority="1581">
      <formula>$M62="Required Field"</formula>
    </cfRule>
  </conditionalFormatting>
  <conditionalFormatting sqref="J64:J73">
    <cfRule type="expression" dxfId="1565" priority="1575">
      <formula>$J64="Required Field"</formula>
    </cfRule>
  </conditionalFormatting>
  <conditionalFormatting sqref="L64:L73">
    <cfRule type="expression" dxfId="1564" priority="1574">
      <formula>$L64="Required Field"</formula>
    </cfRule>
  </conditionalFormatting>
  <conditionalFormatting sqref="M64:N73">
    <cfRule type="expression" dxfId="1563" priority="1573">
      <formula>$M64="Required Field"</formula>
    </cfRule>
  </conditionalFormatting>
  <conditionalFormatting sqref="J75">
    <cfRule type="expression" dxfId="1562" priority="1568">
      <formula>$J75="Required Field"</formula>
    </cfRule>
  </conditionalFormatting>
  <conditionalFormatting sqref="L75">
    <cfRule type="expression" dxfId="1561" priority="1567">
      <formula>$L75="Required Field"</formula>
    </cfRule>
  </conditionalFormatting>
  <conditionalFormatting sqref="M75:N75">
    <cfRule type="expression" dxfId="1560" priority="1566">
      <formula>$M75="Required Field"</formula>
    </cfRule>
  </conditionalFormatting>
  <conditionalFormatting sqref="W77">
    <cfRule type="expression" dxfId="1559" priority="1563">
      <formula>$V77="Required Field"</formula>
    </cfRule>
  </conditionalFormatting>
  <conditionalFormatting sqref="X81">
    <cfRule type="expression" dxfId="1558" priority="1562">
      <formula>$X81="Required Field"</formula>
    </cfRule>
  </conditionalFormatting>
  <conditionalFormatting sqref="Y81:Z81">
    <cfRule type="expression" dxfId="1557" priority="1561">
      <formula>$Y81="Required Field"</formula>
    </cfRule>
  </conditionalFormatting>
  <conditionalFormatting sqref="AA81:AB81">
    <cfRule type="expression" dxfId="1556" priority="1560">
      <formula>$AA81="Required Field"</formula>
    </cfRule>
  </conditionalFormatting>
  <conditionalFormatting sqref="AC81">
    <cfRule type="expression" dxfId="1555" priority="1559">
      <formula>$AC81="Required Field"</formula>
    </cfRule>
  </conditionalFormatting>
  <conditionalFormatting sqref="AE81">
    <cfRule type="expression" dxfId="1554" priority="1558">
      <formula>$AE81="Required Field"</formula>
    </cfRule>
  </conditionalFormatting>
  <conditionalFormatting sqref="AG81">
    <cfRule type="expression" dxfId="1553" priority="1557">
      <formula>$AG81="Required Field"</formula>
    </cfRule>
  </conditionalFormatting>
  <conditionalFormatting sqref="AH81">
    <cfRule type="expression" dxfId="1552" priority="1556">
      <formula>$AH81="Required Field"</formula>
    </cfRule>
  </conditionalFormatting>
  <conditionalFormatting sqref="AD81">
    <cfRule type="expression" dxfId="1551" priority="1555">
      <formula>$AD81="Required Field"</formula>
    </cfRule>
  </conditionalFormatting>
  <conditionalFormatting sqref="J78:J90">
    <cfRule type="expression" dxfId="1550" priority="1552">
      <formula>$J78="Required Field"</formula>
    </cfRule>
  </conditionalFormatting>
  <conditionalFormatting sqref="L78:L90">
    <cfRule type="expression" dxfId="1549" priority="1551">
      <formula>$L78="Required Field"</formula>
    </cfRule>
  </conditionalFormatting>
  <conditionalFormatting sqref="M78:N90">
    <cfRule type="expression" dxfId="1548" priority="1550">
      <formula>$M78="Required Field"</formula>
    </cfRule>
  </conditionalFormatting>
  <conditionalFormatting sqref="W98">
    <cfRule type="expression" dxfId="1547" priority="1547">
      <formula>$W98="Required Field"</formula>
    </cfRule>
  </conditionalFormatting>
  <conditionalFormatting sqref="X98">
    <cfRule type="expression" dxfId="1546" priority="1546">
      <formula>$X98="Required Field"</formula>
    </cfRule>
  </conditionalFormatting>
  <conditionalFormatting sqref="Y98:Z98">
    <cfRule type="expression" dxfId="1545" priority="1545">
      <formula>$Y98="Required Field"</formula>
    </cfRule>
  </conditionalFormatting>
  <conditionalFormatting sqref="AA98:AB98">
    <cfRule type="expression" dxfId="1544" priority="1544">
      <formula>$AA98="Required Field"</formula>
    </cfRule>
  </conditionalFormatting>
  <conditionalFormatting sqref="AC98">
    <cfRule type="expression" dxfId="1543" priority="1543">
      <formula>$AC98="Required Field"</formula>
    </cfRule>
  </conditionalFormatting>
  <conditionalFormatting sqref="AE98">
    <cfRule type="expression" dxfId="1542" priority="1542">
      <formula>$AE98="Required Field"</formula>
    </cfRule>
  </conditionalFormatting>
  <conditionalFormatting sqref="AG98">
    <cfRule type="expression" dxfId="1541" priority="1541">
      <formula>$AG98="Required Field"</formula>
    </cfRule>
  </conditionalFormatting>
  <conditionalFormatting sqref="AH98">
    <cfRule type="expression" dxfId="1540" priority="1540">
      <formula>$AH98="Required Field"</formula>
    </cfRule>
  </conditionalFormatting>
  <conditionalFormatting sqref="AD98">
    <cfRule type="expression" dxfId="1539" priority="1539">
      <formula>$AD98="Required Field"</formula>
    </cfRule>
  </conditionalFormatting>
  <conditionalFormatting sqref="W124">
    <cfRule type="expression" dxfId="1538" priority="1538">
      <formula>$W124="Required Field"</formula>
    </cfRule>
  </conditionalFormatting>
  <conditionalFormatting sqref="X124">
    <cfRule type="expression" dxfId="1537" priority="1537">
      <formula>$X124="Required Field"</formula>
    </cfRule>
  </conditionalFormatting>
  <conditionalFormatting sqref="Y124:Z124">
    <cfRule type="expression" dxfId="1536" priority="1536">
      <formula>$Y124="Required Field"</formula>
    </cfRule>
  </conditionalFormatting>
  <conditionalFormatting sqref="AA124:AB124">
    <cfRule type="expression" dxfId="1535" priority="1535">
      <formula>$AA124="Required Field"</formula>
    </cfRule>
  </conditionalFormatting>
  <conditionalFormatting sqref="AC124">
    <cfRule type="expression" dxfId="1534" priority="1534">
      <formula>$AC124="Required Field"</formula>
    </cfRule>
  </conditionalFormatting>
  <conditionalFormatting sqref="AE124">
    <cfRule type="expression" dxfId="1533" priority="1533">
      <formula>$AE124="Required Field"</formula>
    </cfRule>
  </conditionalFormatting>
  <conditionalFormatting sqref="AG124">
    <cfRule type="expression" dxfId="1532" priority="1532">
      <formula>$AG124="Required Field"</formula>
    </cfRule>
  </conditionalFormatting>
  <conditionalFormatting sqref="AH124">
    <cfRule type="expression" dxfId="1531" priority="1531">
      <formula>$AH124="Required Field"</formula>
    </cfRule>
  </conditionalFormatting>
  <conditionalFormatting sqref="AD124">
    <cfRule type="expression" dxfId="1530" priority="1530">
      <formula>$AD124="Required Field"</formula>
    </cfRule>
  </conditionalFormatting>
  <conditionalFormatting sqref="W137">
    <cfRule type="expression" dxfId="1529" priority="1529">
      <formula>$V137="Required Field"</formula>
    </cfRule>
  </conditionalFormatting>
  <conditionalFormatting sqref="W140">
    <cfRule type="expression" dxfId="1528" priority="1528">
      <formula>$W140="Required Field"</formula>
    </cfRule>
  </conditionalFormatting>
  <conditionalFormatting sqref="X140">
    <cfRule type="expression" dxfId="1527" priority="1527">
      <formula>$X140="Required Field"</formula>
    </cfRule>
  </conditionalFormatting>
  <conditionalFormatting sqref="Y140:Z140">
    <cfRule type="expression" dxfId="1526" priority="1526">
      <formula>$Y140="Required Field"</formula>
    </cfRule>
  </conditionalFormatting>
  <conditionalFormatting sqref="AA140:AB140">
    <cfRule type="expression" dxfId="1525" priority="1525">
      <formula>$AA140="Required Field"</formula>
    </cfRule>
  </conditionalFormatting>
  <conditionalFormatting sqref="AC140">
    <cfRule type="expression" dxfId="1524" priority="1524">
      <formula>$AC140="Required Field"</formula>
    </cfRule>
  </conditionalFormatting>
  <conditionalFormatting sqref="AE140">
    <cfRule type="expression" dxfId="1523" priority="1523">
      <formula>$AE140="Required Field"</formula>
    </cfRule>
  </conditionalFormatting>
  <conditionalFormatting sqref="AG140">
    <cfRule type="expression" dxfId="1522" priority="1522">
      <formula>$AG140="Required Field"</formula>
    </cfRule>
  </conditionalFormatting>
  <conditionalFormatting sqref="AH140">
    <cfRule type="expression" dxfId="1521" priority="1521">
      <formula>$AH140="Required Field"</formula>
    </cfRule>
  </conditionalFormatting>
  <conditionalFormatting sqref="AD140">
    <cfRule type="expression" dxfId="1520" priority="1520">
      <formula>$AD140="Required Field"</formula>
    </cfRule>
  </conditionalFormatting>
  <conditionalFormatting sqref="X142">
    <cfRule type="expression" dxfId="1519" priority="1519">
      <formula>$X142="Required Field"</formula>
    </cfRule>
  </conditionalFormatting>
  <conditionalFormatting sqref="Y142:Z142">
    <cfRule type="expression" dxfId="1518" priority="1518">
      <formula>$Y142="Required Field"</formula>
    </cfRule>
  </conditionalFormatting>
  <conditionalFormatting sqref="AA142:AB142">
    <cfRule type="expression" dxfId="1517" priority="1517">
      <formula>$AA142="Required Field"</formula>
    </cfRule>
  </conditionalFormatting>
  <conditionalFormatting sqref="AC142">
    <cfRule type="expression" dxfId="1516" priority="1516">
      <formula>$AC142="Required Field"</formula>
    </cfRule>
  </conditionalFormatting>
  <conditionalFormatting sqref="AE142">
    <cfRule type="expression" dxfId="1515" priority="1515">
      <formula>$AE142="Required Field"</formula>
    </cfRule>
  </conditionalFormatting>
  <conditionalFormatting sqref="AG142">
    <cfRule type="expression" dxfId="1514" priority="1514">
      <formula>$AG142="Required Field"</formula>
    </cfRule>
  </conditionalFormatting>
  <conditionalFormatting sqref="AH142">
    <cfRule type="expression" dxfId="1513" priority="1513">
      <formula>$AH142="Required Field"</formula>
    </cfRule>
  </conditionalFormatting>
  <conditionalFormatting sqref="AD142">
    <cfRule type="expression" dxfId="1512" priority="1512">
      <formula>$AD142="Required Field"</formula>
    </cfRule>
  </conditionalFormatting>
  <conditionalFormatting sqref="W144">
    <cfRule type="expression" dxfId="1511" priority="1511">
      <formula>$W144="Required Field"</formula>
    </cfRule>
  </conditionalFormatting>
  <conditionalFormatting sqref="X144">
    <cfRule type="expression" dxfId="1510" priority="1510">
      <formula>$X144="Required Field"</formula>
    </cfRule>
  </conditionalFormatting>
  <conditionalFormatting sqref="Y144:Z144">
    <cfRule type="expression" dxfId="1509" priority="1509">
      <formula>$Y144="Required Field"</formula>
    </cfRule>
  </conditionalFormatting>
  <conditionalFormatting sqref="AA144:AB144">
    <cfRule type="expression" dxfId="1508" priority="1508">
      <formula>$AA144="Required Field"</formula>
    </cfRule>
  </conditionalFormatting>
  <conditionalFormatting sqref="AC144">
    <cfRule type="expression" dxfId="1507" priority="1507">
      <formula>$AC144="Required Field"</formula>
    </cfRule>
  </conditionalFormatting>
  <conditionalFormatting sqref="AE144">
    <cfRule type="expression" dxfId="1506" priority="1506">
      <formula>$AE144="Required Field"</formula>
    </cfRule>
  </conditionalFormatting>
  <conditionalFormatting sqref="AG144">
    <cfRule type="expression" dxfId="1505" priority="1505">
      <formula>$AG144="Required Field"</formula>
    </cfRule>
  </conditionalFormatting>
  <conditionalFormatting sqref="AH144">
    <cfRule type="expression" dxfId="1504" priority="1504">
      <formula>$AH144="Required Field"</formula>
    </cfRule>
  </conditionalFormatting>
  <conditionalFormatting sqref="AD144">
    <cfRule type="expression" dxfId="1503" priority="1503">
      <formula>$AD144="Required Field"</formula>
    </cfRule>
  </conditionalFormatting>
  <conditionalFormatting sqref="W145">
    <cfRule type="expression" dxfId="1502" priority="1502">
      <formula>$W145="Required Field"</formula>
    </cfRule>
  </conditionalFormatting>
  <conditionalFormatting sqref="X145">
    <cfRule type="expression" dxfId="1501" priority="1501">
      <formula>$X145="Required Field"</formula>
    </cfRule>
  </conditionalFormatting>
  <conditionalFormatting sqref="Y145:Z145">
    <cfRule type="expression" dxfId="1500" priority="1500">
      <formula>$Y145="Required Field"</formula>
    </cfRule>
  </conditionalFormatting>
  <conditionalFormatting sqref="AA145:AB145">
    <cfRule type="expression" dxfId="1499" priority="1499">
      <formula>$AA145="Required Field"</formula>
    </cfRule>
  </conditionalFormatting>
  <conditionalFormatting sqref="AC145">
    <cfRule type="expression" dxfId="1498" priority="1498">
      <formula>$AC145="Required Field"</formula>
    </cfRule>
  </conditionalFormatting>
  <conditionalFormatting sqref="AE145">
    <cfRule type="expression" dxfId="1497" priority="1497">
      <formula>$AE145="Required Field"</formula>
    </cfRule>
  </conditionalFormatting>
  <conditionalFormatting sqref="AG145">
    <cfRule type="expression" dxfId="1496" priority="1496">
      <formula>$AG145="Required Field"</formula>
    </cfRule>
  </conditionalFormatting>
  <conditionalFormatting sqref="AH145">
    <cfRule type="expression" dxfId="1495" priority="1495">
      <formula>$AH145="Required Field"</formula>
    </cfRule>
  </conditionalFormatting>
  <conditionalFormatting sqref="AD145">
    <cfRule type="expression" dxfId="1494" priority="1494">
      <formula>$AD145="Required Field"</formula>
    </cfRule>
  </conditionalFormatting>
  <conditionalFormatting sqref="X146">
    <cfRule type="expression" dxfId="1493" priority="1493">
      <formula>$X146="Required Field"</formula>
    </cfRule>
  </conditionalFormatting>
  <conditionalFormatting sqref="Y146:Z146">
    <cfRule type="expression" dxfId="1492" priority="1492">
      <formula>$Y146="Required Field"</formula>
    </cfRule>
  </conditionalFormatting>
  <conditionalFormatting sqref="AA146:AB146">
    <cfRule type="expression" dxfId="1491" priority="1491">
      <formula>$AA146="Required Field"</formula>
    </cfRule>
  </conditionalFormatting>
  <conditionalFormatting sqref="AC146">
    <cfRule type="expression" dxfId="1490" priority="1490">
      <formula>$AC146="Required Field"</formula>
    </cfRule>
  </conditionalFormatting>
  <conditionalFormatting sqref="AE146">
    <cfRule type="expression" dxfId="1489" priority="1489">
      <formula>$AE146="Required Field"</formula>
    </cfRule>
  </conditionalFormatting>
  <conditionalFormatting sqref="AG146">
    <cfRule type="expression" dxfId="1488" priority="1488">
      <formula>$AG146="Required Field"</formula>
    </cfRule>
  </conditionalFormatting>
  <conditionalFormatting sqref="AH146">
    <cfRule type="expression" dxfId="1487" priority="1487">
      <formula>$AH146="Required Field"</formula>
    </cfRule>
  </conditionalFormatting>
  <conditionalFormatting sqref="AD146">
    <cfRule type="expression" dxfId="1486" priority="1486">
      <formula>$AD146="Required Field"</formula>
    </cfRule>
  </conditionalFormatting>
  <conditionalFormatting sqref="W147">
    <cfRule type="expression" dxfId="1485" priority="1485">
      <formula>$W147="Required Field"</formula>
    </cfRule>
  </conditionalFormatting>
  <conditionalFormatting sqref="X147">
    <cfRule type="expression" dxfId="1484" priority="1484">
      <formula>$X147="Required Field"</formula>
    </cfRule>
  </conditionalFormatting>
  <conditionalFormatting sqref="Y147:Z147">
    <cfRule type="expression" dxfId="1483" priority="1483">
      <formula>$Y147="Required Field"</formula>
    </cfRule>
  </conditionalFormatting>
  <conditionalFormatting sqref="AA147:AB147">
    <cfRule type="expression" dxfId="1482" priority="1482">
      <formula>$AA147="Required Field"</formula>
    </cfRule>
  </conditionalFormatting>
  <conditionalFormatting sqref="AC147">
    <cfRule type="expression" dxfId="1481" priority="1481">
      <formula>$AC147="Required Field"</formula>
    </cfRule>
  </conditionalFormatting>
  <conditionalFormatting sqref="AE147">
    <cfRule type="expression" dxfId="1480" priority="1480">
      <formula>$AE147="Required Field"</formula>
    </cfRule>
  </conditionalFormatting>
  <conditionalFormatting sqref="AG147">
    <cfRule type="expression" dxfId="1479" priority="1479">
      <formula>$AG147="Required Field"</formula>
    </cfRule>
  </conditionalFormatting>
  <conditionalFormatting sqref="AH147">
    <cfRule type="expression" dxfId="1478" priority="1478">
      <formula>$AH147="Required Field"</formula>
    </cfRule>
  </conditionalFormatting>
  <conditionalFormatting sqref="AD147">
    <cfRule type="expression" dxfId="1477" priority="1477">
      <formula>$AD147="Required Field"</formula>
    </cfRule>
  </conditionalFormatting>
  <conditionalFormatting sqref="W148">
    <cfRule type="expression" dxfId="1476" priority="1476">
      <formula>$W148="Required Field"</formula>
    </cfRule>
  </conditionalFormatting>
  <conditionalFormatting sqref="X148">
    <cfRule type="expression" dxfId="1475" priority="1475">
      <formula>$X148="Required Field"</formula>
    </cfRule>
  </conditionalFormatting>
  <conditionalFormatting sqref="Y148:Z148">
    <cfRule type="expression" dxfId="1474" priority="1474">
      <formula>$Y148="Required Field"</formula>
    </cfRule>
  </conditionalFormatting>
  <conditionalFormatting sqref="AA148:AB148">
    <cfRule type="expression" dxfId="1473" priority="1473">
      <formula>$AA148="Required Field"</formula>
    </cfRule>
  </conditionalFormatting>
  <conditionalFormatting sqref="AC148">
    <cfRule type="expression" dxfId="1472" priority="1472">
      <formula>$AC148="Required Field"</formula>
    </cfRule>
  </conditionalFormatting>
  <conditionalFormatting sqref="AE148">
    <cfRule type="expression" dxfId="1471" priority="1471">
      <formula>$AE148="Required Field"</formula>
    </cfRule>
  </conditionalFormatting>
  <conditionalFormatting sqref="AG148">
    <cfRule type="expression" dxfId="1470" priority="1470">
      <formula>$AG148="Required Field"</formula>
    </cfRule>
  </conditionalFormatting>
  <conditionalFormatting sqref="AH148">
    <cfRule type="expression" dxfId="1469" priority="1469">
      <formula>$AH148="Required Field"</formula>
    </cfRule>
  </conditionalFormatting>
  <conditionalFormatting sqref="AD148">
    <cfRule type="expression" dxfId="1468" priority="1468">
      <formula>$AD148="Required Field"</formula>
    </cfRule>
  </conditionalFormatting>
  <conditionalFormatting sqref="W149">
    <cfRule type="expression" dxfId="1467" priority="1467">
      <formula>$W149="Required Field"</formula>
    </cfRule>
  </conditionalFormatting>
  <conditionalFormatting sqref="X149">
    <cfRule type="expression" dxfId="1466" priority="1466">
      <formula>$X149="Required Field"</formula>
    </cfRule>
  </conditionalFormatting>
  <conditionalFormatting sqref="Y149:Z149">
    <cfRule type="expression" dxfId="1465" priority="1465">
      <formula>$Y149="Required Field"</formula>
    </cfRule>
  </conditionalFormatting>
  <conditionalFormatting sqref="AA149:AB149">
    <cfRule type="expression" dxfId="1464" priority="1464">
      <formula>$AA149="Required Field"</formula>
    </cfRule>
  </conditionalFormatting>
  <conditionalFormatting sqref="AC149">
    <cfRule type="expression" dxfId="1463" priority="1463">
      <formula>$AC149="Required Field"</formula>
    </cfRule>
  </conditionalFormatting>
  <conditionalFormatting sqref="AE149">
    <cfRule type="expression" dxfId="1462" priority="1462">
      <formula>$AE149="Required Field"</formula>
    </cfRule>
  </conditionalFormatting>
  <conditionalFormatting sqref="AG149">
    <cfRule type="expression" dxfId="1461" priority="1461">
      <formula>$AG149="Required Field"</formula>
    </cfRule>
  </conditionalFormatting>
  <conditionalFormatting sqref="AH149">
    <cfRule type="expression" dxfId="1460" priority="1460">
      <formula>$AH149="Required Field"</formula>
    </cfRule>
  </conditionalFormatting>
  <conditionalFormatting sqref="AD149">
    <cfRule type="expression" dxfId="1459" priority="1459">
      <formula>$AD149="Required Field"</formula>
    </cfRule>
  </conditionalFormatting>
  <conditionalFormatting sqref="W150">
    <cfRule type="expression" dxfId="1458" priority="1458">
      <formula>$W150="Required Field"</formula>
    </cfRule>
  </conditionalFormatting>
  <conditionalFormatting sqref="X150">
    <cfRule type="expression" dxfId="1457" priority="1457">
      <formula>$X150="Required Field"</formula>
    </cfRule>
  </conditionalFormatting>
  <conditionalFormatting sqref="Y150:Z150">
    <cfRule type="expression" dxfId="1456" priority="1456">
      <formula>$Y150="Required Field"</formula>
    </cfRule>
  </conditionalFormatting>
  <conditionalFormatting sqref="AA150:AB150">
    <cfRule type="expression" dxfId="1455" priority="1455">
      <formula>$AA150="Required Field"</formula>
    </cfRule>
  </conditionalFormatting>
  <conditionalFormatting sqref="AC150">
    <cfRule type="expression" dxfId="1454" priority="1454">
      <formula>$AC150="Required Field"</formula>
    </cfRule>
  </conditionalFormatting>
  <conditionalFormatting sqref="AE150">
    <cfRule type="expression" dxfId="1453" priority="1453">
      <formula>$AE150="Required Field"</formula>
    </cfRule>
  </conditionalFormatting>
  <conditionalFormatting sqref="AG150">
    <cfRule type="expression" dxfId="1452" priority="1452">
      <formula>$AG150="Required Field"</formula>
    </cfRule>
  </conditionalFormatting>
  <conditionalFormatting sqref="AH150">
    <cfRule type="expression" dxfId="1451" priority="1451">
      <formula>$AH150="Required Field"</formula>
    </cfRule>
  </conditionalFormatting>
  <conditionalFormatting sqref="AD150">
    <cfRule type="expression" dxfId="1450" priority="1450">
      <formula>$AD150="Required Field"</formula>
    </cfRule>
  </conditionalFormatting>
  <conditionalFormatting sqref="W151">
    <cfRule type="expression" dxfId="1449" priority="1449">
      <formula>$W151="Required Field"</formula>
    </cfRule>
  </conditionalFormatting>
  <conditionalFormatting sqref="X151">
    <cfRule type="expression" dxfId="1448" priority="1448">
      <formula>$X151="Required Field"</formula>
    </cfRule>
  </conditionalFormatting>
  <conditionalFormatting sqref="Y151:Z151">
    <cfRule type="expression" dxfId="1447" priority="1447">
      <formula>$Y151="Required Field"</formula>
    </cfRule>
  </conditionalFormatting>
  <conditionalFormatting sqref="AA151:AB151">
    <cfRule type="expression" dxfId="1446" priority="1446">
      <formula>$AA151="Required Field"</formula>
    </cfRule>
  </conditionalFormatting>
  <conditionalFormatting sqref="AC151">
    <cfRule type="expression" dxfId="1445" priority="1445">
      <formula>$AC151="Required Field"</formula>
    </cfRule>
  </conditionalFormatting>
  <conditionalFormatting sqref="AE151">
    <cfRule type="expression" dxfId="1444" priority="1444">
      <formula>$AE151="Required Field"</formula>
    </cfRule>
  </conditionalFormatting>
  <conditionalFormatting sqref="AG151">
    <cfRule type="expression" dxfId="1443" priority="1443">
      <formula>$AG151="Required Field"</formula>
    </cfRule>
  </conditionalFormatting>
  <conditionalFormatting sqref="AH151">
    <cfRule type="expression" dxfId="1442" priority="1442">
      <formula>$AH151="Required Field"</formula>
    </cfRule>
  </conditionalFormatting>
  <conditionalFormatting sqref="AD151">
    <cfRule type="expression" dxfId="1441" priority="1441">
      <formula>$AD151="Required Field"</formula>
    </cfRule>
  </conditionalFormatting>
  <conditionalFormatting sqref="W152">
    <cfRule type="expression" dxfId="1440" priority="1440">
      <formula>$W152="Required Field"</formula>
    </cfRule>
  </conditionalFormatting>
  <conditionalFormatting sqref="X152">
    <cfRule type="expression" dxfId="1439" priority="1439">
      <formula>$X152="Required Field"</formula>
    </cfRule>
  </conditionalFormatting>
  <conditionalFormatting sqref="Y152:Z152">
    <cfRule type="expression" dxfId="1438" priority="1438">
      <formula>$Y152="Required Field"</formula>
    </cfRule>
  </conditionalFormatting>
  <conditionalFormatting sqref="AA152:AB152">
    <cfRule type="expression" dxfId="1437" priority="1437">
      <formula>$AA152="Required Field"</formula>
    </cfRule>
  </conditionalFormatting>
  <conditionalFormatting sqref="AC152">
    <cfRule type="expression" dxfId="1436" priority="1436">
      <formula>$AC152="Required Field"</formula>
    </cfRule>
  </conditionalFormatting>
  <conditionalFormatting sqref="AE152">
    <cfRule type="expression" dxfId="1435" priority="1435">
      <formula>$AE152="Required Field"</formula>
    </cfRule>
  </conditionalFormatting>
  <conditionalFormatting sqref="AG152">
    <cfRule type="expression" dxfId="1434" priority="1434">
      <formula>$AG152="Required Field"</formula>
    </cfRule>
  </conditionalFormatting>
  <conditionalFormatting sqref="AH152">
    <cfRule type="expression" dxfId="1433" priority="1433">
      <formula>$AH152="Required Field"</formula>
    </cfRule>
  </conditionalFormatting>
  <conditionalFormatting sqref="AD152">
    <cfRule type="expression" dxfId="1432" priority="1432">
      <formula>$AD152="Required Field"</formula>
    </cfRule>
  </conditionalFormatting>
  <conditionalFormatting sqref="W153">
    <cfRule type="expression" dxfId="1431" priority="1431">
      <formula>$W153="Required Field"</formula>
    </cfRule>
  </conditionalFormatting>
  <conditionalFormatting sqref="X153">
    <cfRule type="expression" dxfId="1430" priority="1430">
      <formula>$X153="Required Field"</formula>
    </cfRule>
  </conditionalFormatting>
  <conditionalFormatting sqref="Y153:Z153">
    <cfRule type="expression" dxfId="1429" priority="1429">
      <formula>$Y153="Required Field"</formula>
    </cfRule>
  </conditionalFormatting>
  <conditionalFormatting sqref="AA153:AB153">
    <cfRule type="expression" dxfId="1428" priority="1428">
      <formula>$AA153="Required Field"</formula>
    </cfRule>
  </conditionalFormatting>
  <conditionalFormatting sqref="AC153">
    <cfRule type="expression" dxfId="1427" priority="1427">
      <formula>$AC153="Required Field"</formula>
    </cfRule>
  </conditionalFormatting>
  <conditionalFormatting sqref="AE153">
    <cfRule type="expression" dxfId="1426" priority="1426">
      <formula>$AE153="Required Field"</formula>
    </cfRule>
  </conditionalFormatting>
  <conditionalFormatting sqref="AG153">
    <cfRule type="expression" dxfId="1425" priority="1425">
      <formula>$AG153="Required Field"</formula>
    </cfRule>
  </conditionalFormatting>
  <conditionalFormatting sqref="AH153">
    <cfRule type="expression" dxfId="1424" priority="1424">
      <formula>$AH153="Required Field"</formula>
    </cfRule>
  </conditionalFormatting>
  <conditionalFormatting sqref="AD153">
    <cfRule type="expression" dxfId="1423" priority="1423">
      <formula>$AD153="Required Field"</formula>
    </cfRule>
  </conditionalFormatting>
  <conditionalFormatting sqref="W154">
    <cfRule type="expression" dxfId="1422" priority="1422">
      <formula>$W154="Required Field"</formula>
    </cfRule>
  </conditionalFormatting>
  <conditionalFormatting sqref="X154">
    <cfRule type="expression" dxfId="1421" priority="1421">
      <formula>$X154="Required Field"</formula>
    </cfRule>
  </conditionalFormatting>
  <conditionalFormatting sqref="Y154:Z154">
    <cfRule type="expression" dxfId="1420" priority="1420">
      <formula>$Y154="Required Field"</formula>
    </cfRule>
  </conditionalFormatting>
  <conditionalFormatting sqref="AA154:AB154">
    <cfRule type="expression" dxfId="1419" priority="1419">
      <formula>$AA154="Required Field"</formula>
    </cfRule>
  </conditionalFormatting>
  <conditionalFormatting sqref="AC154">
    <cfRule type="expression" dxfId="1418" priority="1418">
      <formula>$AC154="Required Field"</formula>
    </cfRule>
  </conditionalFormatting>
  <conditionalFormatting sqref="AE154">
    <cfRule type="expression" dxfId="1417" priority="1417">
      <formula>$AE154="Required Field"</formula>
    </cfRule>
  </conditionalFormatting>
  <conditionalFormatting sqref="AG154">
    <cfRule type="expression" dxfId="1416" priority="1416">
      <formula>$AG154="Required Field"</formula>
    </cfRule>
  </conditionalFormatting>
  <conditionalFormatting sqref="AH154">
    <cfRule type="expression" dxfId="1415" priority="1415">
      <formula>$AH154="Required Field"</formula>
    </cfRule>
  </conditionalFormatting>
  <conditionalFormatting sqref="AD154">
    <cfRule type="expression" dxfId="1414" priority="1414">
      <formula>$AD154="Required Field"</formula>
    </cfRule>
  </conditionalFormatting>
  <conditionalFormatting sqref="W155">
    <cfRule type="expression" dxfId="1413" priority="1413">
      <formula>$W155="Required Field"</formula>
    </cfRule>
  </conditionalFormatting>
  <conditionalFormatting sqref="X155">
    <cfRule type="expression" dxfId="1412" priority="1412">
      <formula>$X155="Required Field"</formula>
    </cfRule>
  </conditionalFormatting>
  <conditionalFormatting sqref="Y155:Z155">
    <cfRule type="expression" dxfId="1411" priority="1411">
      <formula>$Y155="Required Field"</formula>
    </cfRule>
  </conditionalFormatting>
  <conditionalFormatting sqref="AA155:AB155">
    <cfRule type="expression" dxfId="1410" priority="1410">
      <formula>$AA155="Required Field"</formula>
    </cfRule>
  </conditionalFormatting>
  <conditionalFormatting sqref="AC155">
    <cfRule type="expression" dxfId="1409" priority="1409">
      <formula>$AC155="Required Field"</formula>
    </cfRule>
  </conditionalFormatting>
  <conditionalFormatting sqref="AE155">
    <cfRule type="expression" dxfId="1408" priority="1408">
      <formula>$AE155="Required Field"</formula>
    </cfRule>
  </conditionalFormatting>
  <conditionalFormatting sqref="AG155">
    <cfRule type="expression" dxfId="1407" priority="1407">
      <formula>$AG155="Required Field"</formula>
    </cfRule>
  </conditionalFormatting>
  <conditionalFormatting sqref="AH155">
    <cfRule type="expression" dxfId="1406" priority="1406">
      <formula>$AH155="Required Field"</formula>
    </cfRule>
  </conditionalFormatting>
  <conditionalFormatting sqref="AD155">
    <cfRule type="expression" dxfId="1405" priority="1405">
      <formula>$AD155="Required Field"</formula>
    </cfRule>
  </conditionalFormatting>
  <conditionalFormatting sqref="V156">
    <cfRule type="expression" dxfId="1404" priority="1404">
      <formula>$V156="Required Field"</formula>
    </cfRule>
  </conditionalFormatting>
  <conditionalFormatting sqref="W156">
    <cfRule type="expression" dxfId="1403" priority="1403">
      <formula>$W156="Required Field"</formula>
    </cfRule>
  </conditionalFormatting>
  <conditionalFormatting sqref="X156">
    <cfRule type="expression" dxfId="1402" priority="1402">
      <formula>$X156="Required Field"</formula>
    </cfRule>
  </conditionalFormatting>
  <conditionalFormatting sqref="Y156:Z156">
    <cfRule type="expression" dxfId="1401" priority="1401">
      <formula>$Y156="Required Field"</formula>
    </cfRule>
  </conditionalFormatting>
  <conditionalFormatting sqref="AA156:AB156">
    <cfRule type="expression" dxfId="1400" priority="1400">
      <formula>$AA156="Required Field"</formula>
    </cfRule>
  </conditionalFormatting>
  <conditionalFormatting sqref="AC156">
    <cfRule type="expression" dxfId="1399" priority="1399">
      <formula>$AC156="Required Field"</formula>
    </cfRule>
  </conditionalFormatting>
  <conditionalFormatting sqref="AE156">
    <cfRule type="expression" dxfId="1398" priority="1398">
      <formula>$AE156="Required Field"</formula>
    </cfRule>
  </conditionalFormatting>
  <conditionalFormatting sqref="AG156">
    <cfRule type="expression" dxfId="1397" priority="1397">
      <formula>$AG156="Required Field"</formula>
    </cfRule>
  </conditionalFormatting>
  <conditionalFormatting sqref="AH156">
    <cfRule type="expression" dxfId="1396" priority="1396">
      <formula>$AH156="Required Field"</formula>
    </cfRule>
  </conditionalFormatting>
  <conditionalFormatting sqref="AD156">
    <cfRule type="expression" dxfId="1395" priority="1395">
      <formula>$AD156="Required Field"</formula>
    </cfRule>
  </conditionalFormatting>
  <conditionalFormatting sqref="W158">
    <cfRule type="expression" dxfId="1394" priority="1394">
      <formula>$W158="Required Field"</formula>
    </cfRule>
  </conditionalFormatting>
  <conditionalFormatting sqref="X158">
    <cfRule type="expression" dxfId="1393" priority="1393">
      <formula>$X158="Required Field"</formula>
    </cfRule>
  </conditionalFormatting>
  <conditionalFormatting sqref="Y158:Z158">
    <cfRule type="expression" dxfId="1392" priority="1392">
      <formula>$Y158="Required Field"</formula>
    </cfRule>
  </conditionalFormatting>
  <conditionalFormatting sqref="AA158:AB158">
    <cfRule type="expression" dxfId="1391" priority="1391">
      <formula>$AA158="Required Field"</formula>
    </cfRule>
  </conditionalFormatting>
  <conditionalFormatting sqref="AC158">
    <cfRule type="expression" dxfId="1390" priority="1390">
      <formula>$AC158="Required Field"</formula>
    </cfRule>
  </conditionalFormatting>
  <conditionalFormatting sqref="AE158">
    <cfRule type="expression" dxfId="1389" priority="1389">
      <formula>$AE158="Required Field"</formula>
    </cfRule>
  </conditionalFormatting>
  <conditionalFormatting sqref="AG158">
    <cfRule type="expression" dxfId="1388" priority="1388">
      <formula>$AG158="Required Field"</formula>
    </cfRule>
  </conditionalFormatting>
  <conditionalFormatting sqref="AH158">
    <cfRule type="expression" dxfId="1387" priority="1387">
      <formula>$AH158="Required Field"</formula>
    </cfRule>
  </conditionalFormatting>
  <conditionalFormatting sqref="AD158">
    <cfRule type="expression" dxfId="1386" priority="1386">
      <formula>$AD158="Required Field"</formula>
    </cfRule>
  </conditionalFormatting>
  <conditionalFormatting sqref="W159">
    <cfRule type="expression" dxfId="1385" priority="1385">
      <formula>$W159="Required Field"</formula>
    </cfRule>
  </conditionalFormatting>
  <conditionalFormatting sqref="X159">
    <cfRule type="expression" dxfId="1384" priority="1384">
      <formula>$X159="Required Field"</formula>
    </cfRule>
  </conditionalFormatting>
  <conditionalFormatting sqref="Y159:Z159">
    <cfRule type="expression" dxfId="1383" priority="1383">
      <formula>$Y159="Required Field"</formula>
    </cfRule>
  </conditionalFormatting>
  <conditionalFormatting sqref="AA159:AB159">
    <cfRule type="expression" dxfId="1382" priority="1382">
      <formula>$AA159="Required Field"</formula>
    </cfRule>
  </conditionalFormatting>
  <conditionalFormatting sqref="AC159">
    <cfRule type="expression" dxfId="1381" priority="1381">
      <formula>$AC159="Required Field"</formula>
    </cfRule>
  </conditionalFormatting>
  <conditionalFormatting sqref="AE159">
    <cfRule type="expression" dxfId="1380" priority="1380">
      <formula>$AE159="Required Field"</formula>
    </cfRule>
  </conditionalFormatting>
  <conditionalFormatting sqref="AG159">
    <cfRule type="expression" dxfId="1379" priority="1379">
      <formula>$AG159="Required Field"</formula>
    </cfRule>
  </conditionalFormatting>
  <conditionalFormatting sqref="AH159">
    <cfRule type="expression" dxfId="1378" priority="1378">
      <formula>$AH159="Required Field"</formula>
    </cfRule>
  </conditionalFormatting>
  <conditionalFormatting sqref="AD159">
    <cfRule type="expression" dxfId="1377" priority="1377">
      <formula>$AD159="Required Field"</formula>
    </cfRule>
  </conditionalFormatting>
  <conditionalFormatting sqref="W161">
    <cfRule type="expression" dxfId="1376" priority="1376">
      <formula>$W161="Required Field"</formula>
    </cfRule>
  </conditionalFormatting>
  <conditionalFormatting sqref="X161">
    <cfRule type="expression" dxfId="1375" priority="1375">
      <formula>$X161="Required Field"</formula>
    </cfRule>
  </conditionalFormatting>
  <conditionalFormatting sqref="Y161:Z161">
    <cfRule type="expression" dxfId="1374" priority="1374">
      <formula>$Y161="Required Field"</formula>
    </cfRule>
  </conditionalFormatting>
  <conditionalFormatting sqref="AA161:AB161">
    <cfRule type="expression" dxfId="1373" priority="1373">
      <formula>$AA161="Required Field"</formula>
    </cfRule>
  </conditionalFormatting>
  <conditionalFormatting sqref="AC161">
    <cfRule type="expression" dxfId="1372" priority="1372">
      <formula>$AC161="Required Field"</formula>
    </cfRule>
  </conditionalFormatting>
  <conditionalFormatting sqref="AE161">
    <cfRule type="expression" dxfId="1371" priority="1371">
      <formula>$AE161="Required Field"</formula>
    </cfRule>
  </conditionalFormatting>
  <conditionalFormatting sqref="AG161">
    <cfRule type="expression" dxfId="1370" priority="1370">
      <formula>$AG161="Required Field"</formula>
    </cfRule>
  </conditionalFormatting>
  <conditionalFormatting sqref="AH161">
    <cfRule type="expression" dxfId="1369" priority="1369">
      <formula>$AH161="Required Field"</formula>
    </cfRule>
  </conditionalFormatting>
  <conditionalFormatting sqref="AD161">
    <cfRule type="expression" dxfId="1368" priority="1368">
      <formula>$AD161="Required Field"</formula>
    </cfRule>
  </conditionalFormatting>
  <conditionalFormatting sqref="W162">
    <cfRule type="expression" dxfId="1367" priority="1367">
      <formula>$W162="Required Field"</formula>
    </cfRule>
  </conditionalFormatting>
  <conditionalFormatting sqref="X162">
    <cfRule type="expression" dxfId="1366" priority="1366">
      <formula>$X162="Required Field"</formula>
    </cfRule>
  </conditionalFormatting>
  <conditionalFormatting sqref="Y162:Z162">
    <cfRule type="expression" dxfId="1365" priority="1365">
      <formula>$Y162="Required Field"</formula>
    </cfRule>
  </conditionalFormatting>
  <conditionalFormatting sqref="AA162:AB162">
    <cfRule type="expression" dxfId="1364" priority="1364">
      <formula>$AA162="Required Field"</formula>
    </cfRule>
  </conditionalFormatting>
  <conditionalFormatting sqref="AC162">
    <cfRule type="expression" dxfId="1363" priority="1363">
      <formula>$AC162="Required Field"</formula>
    </cfRule>
  </conditionalFormatting>
  <conditionalFormatting sqref="AE162">
    <cfRule type="expression" dxfId="1362" priority="1362">
      <formula>$AE162="Required Field"</formula>
    </cfRule>
  </conditionalFormatting>
  <conditionalFormatting sqref="AG162">
    <cfRule type="expression" dxfId="1361" priority="1361">
      <formula>$AG162="Required Field"</formula>
    </cfRule>
  </conditionalFormatting>
  <conditionalFormatting sqref="AH162">
    <cfRule type="expression" dxfId="1360" priority="1360">
      <formula>$AH162="Required Field"</formula>
    </cfRule>
  </conditionalFormatting>
  <conditionalFormatting sqref="AD162">
    <cfRule type="expression" dxfId="1359" priority="1359">
      <formula>$AD162="Required Field"</formula>
    </cfRule>
  </conditionalFormatting>
  <conditionalFormatting sqref="W163">
    <cfRule type="expression" dxfId="1358" priority="1358">
      <formula>$W163="Required Field"</formula>
    </cfRule>
  </conditionalFormatting>
  <conditionalFormatting sqref="X163">
    <cfRule type="expression" dxfId="1357" priority="1357">
      <formula>$X163="Required Field"</formula>
    </cfRule>
  </conditionalFormatting>
  <conditionalFormatting sqref="Y163:Z163">
    <cfRule type="expression" dxfId="1356" priority="1356">
      <formula>$Y163="Required Field"</formula>
    </cfRule>
  </conditionalFormatting>
  <conditionalFormatting sqref="AA163:AB163">
    <cfRule type="expression" dxfId="1355" priority="1355">
      <formula>$AA163="Required Field"</formula>
    </cfRule>
  </conditionalFormatting>
  <conditionalFormatting sqref="AC163">
    <cfRule type="expression" dxfId="1354" priority="1354">
      <formula>$AC163="Required Field"</formula>
    </cfRule>
  </conditionalFormatting>
  <conditionalFormatting sqref="AE163">
    <cfRule type="expression" dxfId="1353" priority="1353">
      <formula>$AE163="Required Field"</formula>
    </cfRule>
  </conditionalFormatting>
  <conditionalFormatting sqref="AG163">
    <cfRule type="expression" dxfId="1352" priority="1352">
      <formula>$AG163="Required Field"</formula>
    </cfRule>
  </conditionalFormatting>
  <conditionalFormatting sqref="AH163">
    <cfRule type="expression" dxfId="1351" priority="1351">
      <formula>$AH163="Required Field"</formula>
    </cfRule>
  </conditionalFormatting>
  <conditionalFormatting sqref="AD163">
    <cfRule type="expression" dxfId="1350" priority="1350">
      <formula>$AD163="Required Field"</formula>
    </cfRule>
  </conditionalFormatting>
  <conditionalFormatting sqref="AC167">
    <cfRule type="expression" dxfId="1349" priority="1349">
      <formula>$AC167="Required Field"</formula>
    </cfRule>
  </conditionalFormatting>
  <conditionalFormatting sqref="W172">
    <cfRule type="expression" dxfId="1348" priority="1348">
      <formula>$W172="Required Field"</formula>
    </cfRule>
  </conditionalFormatting>
  <conditionalFormatting sqref="X172">
    <cfRule type="expression" dxfId="1347" priority="1347">
      <formula>$X172="Required Field"</formula>
    </cfRule>
  </conditionalFormatting>
  <conditionalFormatting sqref="Y172:Z172">
    <cfRule type="expression" dxfId="1346" priority="1346">
      <formula>$Y172="Required Field"</formula>
    </cfRule>
  </conditionalFormatting>
  <conditionalFormatting sqref="AA172:AB172">
    <cfRule type="expression" dxfId="1345" priority="1345">
      <formula>$AA172="Required Field"</formula>
    </cfRule>
  </conditionalFormatting>
  <conditionalFormatting sqref="AC172">
    <cfRule type="expression" dxfId="1344" priority="1344">
      <formula>$AC172="Required Field"</formula>
    </cfRule>
  </conditionalFormatting>
  <conditionalFormatting sqref="AE172">
    <cfRule type="expression" dxfId="1343" priority="1343">
      <formula>$AE172="Required Field"</formula>
    </cfRule>
  </conditionalFormatting>
  <conditionalFormatting sqref="AG172">
    <cfRule type="expression" dxfId="1342" priority="1342">
      <formula>$AG172="Required Field"</formula>
    </cfRule>
  </conditionalFormatting>
  <conditionalFormatting sqref="AH172">
    <cfRule type="expression" dxfId="1341" priority="1341">
      <formula>$AH172="Required Field"</formula>
    </cfRule>
  </conditionalFormatting>
  <conditionalFormatting sqref="AD172">
    <cfRule type="expression" dxfId="1340" priority="1340">
      <formula>$AD172="Required Field"</formula>
    </cfRule>
  </conditionalFormatting>
  <conditionalFormatting sqref="X173">
    <cfRule type="expression" dxfId="1339" priority="1339">
      <formula>$X173="Required Field"</formula>
    </cfRule>
  </conditionalFormatting>
  <conditionalFormatting sqref="Y173:Z173">
    <cfRule type="expression" dxfId="1338" priority="1338">
      <formula>$Y173="Required Field"</formula>
    </cfRule>
  </conditionalFormatting>
  <conditionalFormatting sqref="AA173:AB173">
    <cfRule type="expression" dxfId="1337" priority="1337">
      <formula>$AA173="Required Field"</formula>
    </cfRule>
  </conditionalFormatting>
  <conditionalFormatting sqref="AC173">
    <cfRule type="expression" dxfId="1336" priority="1336">
      <formula>$AC173="Required Field"</formula>
    </cfRule>
  </conditionalFormatting>
  <conditionalFormatting sqref="AE173">
    <cfRule type="expression" dxfId="1335" priority="1335">
      <formula>$AE173="Required Field"</formula>
    </cfRule>
  </conditionalFormatting>
  <conditionalFormatting sqref="AG173">
    <cfRule type="expression" dxfId="1334" priority="1334">
      <formula>$AG173="Required Field"</formula>
    </cfRule>
  </conditionalFormatting>
  <conditionalFormatting sqref="AH173">
    <cfRule type="expression" dxfId="1333" priority="1333">
      <formula>$AH173="Required Field"</formula>
    </cfRule>
  </conditionalFormatting>
  <conditionalFormatting sqref="AD173">
    <cfRule type="expression" dxfId="1332" priority="1332">
      <formula>$AD173="Required Field"</formula>
    </cfRule>
  </conditionalFormatting>
  <conditionalFormatting sqref="J192">
    <cfRule type="expression" dxfId="1331" priority="1330">
      <formula>$J192="Required Field"</formula>
    </cfRule>
  </conditionalFormatting>
  <conditionalFormatting sqref="J177:J178">
    <cfRule type="expression" dxfId="1330" priority="1327">
      <formula>$J177="Required Field"</formula>
    </cfRule>
  </conditionalFormatting>
  <conditionalFormatting sqref="L177:L178">
    <cfRule type="expression" dxfId="1329" priority="1326">
      <formula>$L177="Required Field"</formula>
    </cfRule>
  </conditionalFormatting>
  <conditionalFormatting sqref="M177:N178">
    <cfRule type="expression" dxfId="1328" priority="1325">
      <formula>$M177="Required Field"</formula>
    </cfRule>
  </conditionalFormatting>
  <conditionalFormatting sqref="J179:J201">
    <cfRule type="expression" dxfId="1327" priority="1321">
      <formula>$J179="Required Field"</formula>
    </cfRule>
  </conditionalFormatting>
  <conditionalFormatting sqref="W185">
    <cfRule type="expression" dxfId="1326" priority="1320">
      <formula>$W185="Required Field"</formula>
    </cfRule>
  </conditionalFormatting>
  <conditionalFormatting sqref="X185">
    <cfRule type="expression" dxfId="1325" priority="1319">
      <formula>$X185="Required Field"</formula>
    </cfRule>
  </conditionalFormatting>
  <conditionalFormatting sqref="Y185:Z185">
    <cfRule type="expression" dxfId="1324" priority="1318">
      <formula>$Y185="Required Field"</formula>
    </cfRule>
  </conditionalFormatting>
  <conditionalFormatting sqref="AA185:AB185">
    <cfRule type="expression" dxfId="1323" priority="1317">
      <formula>$AA185="Required Field"</formula>
    </cfRule>
  </conditionalFormatting>
  <conditionalFormatting sqref="AC185">
    <cfRule type="expression" dxfId="1322" priority="1316">
      <formula>$AC185="Required Field"</formula>
    </cfRule>
  </conditionalFormatting>
  <conditionalFormatting sqref="AE185">
    <cfRule type="expression" dxfId="1321" priority="1315">
      <formula>$AE185="Required Field"</formula>
    </cfRule>
  </conditionalFormatting>
  <conditionalFormatting sqref="AG185">
    <cfRule type="expression" dxfId="1320" priority="1314">
      <formula>$AG185="Required Field"</formula>
    </cfRule>
  </conditionalFormatting>
  <conditionalFormatting sqref="AH185">
    <cfRule type="expression" dxfId="1319" priority="1313">
      <formula>$AH185="Required Field"</formula>
    </cfRule>
  </conditionalFormatting>
  <conditionalFormatting sqref="AD185">
    <cfRule type="expression" dxfId="1318" priority="1312">
      <formula>$AD185="Required Field"</formula>
    </cfRule>
  </conditionalFormatting>
  <conditionalFormatting sqref="AC182">
    <cfRule type="expression" dxfId="1317" priority="1311">
      <formula>$AC182="Required Field"</formula>
    </cfRule>
  </conditionalFormatting>
  <conditionalFormatting sqref="W186">
    <cfRule type="expression" dxfId="1316" priority="1310">
      <formula>$W186="Required Field"</formula>
    </cfRule>
  </conditionalFormatting>
  <conditionalFormatting sqref="X186">
    <cfRule type="expression" dxfId="1315" priority="1309">
      <formula>$X186="Required Field"</formula>
    </cfRule>
  </conditionalFormatting>
  <conditionalFormatting sqref="Y186:Z186">
    <cfRule type="expression" dxfId="1314" priority="1308">
      <formula>$Y186="Required Field"</formula>
    </cfRule>
  </conditionalFormatting>
  <conditionalFormatting sqref="AA186:AB186">
    <cfRule type="expression" dxfId="1313" priority="1307">
      <formula>$AA186="Required Field"</formula>
    </cfRule>
  </conditionalFormatting>
  <conditionalFormatting sqref="AC186">
    <cfRule type="expression" dxfId="1312" priority="1306">
      <formula>$AC186="Required Field"</formula>
    </cfRule>
  </conditionalFormatting>
  <conditionalFormatting sqref="AE186">
    <cfRule type="expression" dxfId="1311" priority="1305">
      <formula>$AE186="Required Field"</formula>
    </cfRule>
  </conditionalFormatting>
  <conditionalFormatting sqref="AG186">
    <cfRule type="expression" dxfId="1310" priority="1304">
      <formula>$AG186="Required Field"</formula>
    </cfRule>
  </conditionalFormatting>
  <conditionalFormatting sqref="AH186">
    <cfRule type="expression" dxfId="1309" priority="1303">
      <formula>$AH186="Required Field"</formula>
    </cfRule>
  </conditionalFormatting>
  <conditionalFormatting sqref="AD186">
    <cfRule type="expression" dxfId="1308" priority="1302">
      <formula>$AD186="Required Field"</formula>
    </cfRule>
  </conditionalFormatting>
  <conditionalFormatting sqref="W189">
    <cfRule type="expression" dxfId="1307" priority="1301">
      <formula>$W189="Required Field"</formula>
    </cfRule>
  </conditionalFormatting>
  <conditionalFormatting sqref="X189">
    <cfRule type="expression" dxfId="1306" priority="1300">
      <formula>$X189="Required Field"</formula>
    </cfRule>
  </conditionalFormatting>
  <conditionalFormatting sqref="Y189:Z189">
    <cfRule type="expression" dxfId="1305" priority="1299">
      <formula>$Y189="Required Field"</formula>
    </cfRule>
  </conditionalFormatting>
  <conditionalFormatting sqref="AA189:AB189">
    <cfRule type="expression" dxfId="1304" priority="1298">
      <formula>$AA189="Required Field"</formula>
    </cfRule>
  </conditionalFormatting>
  <conditionalFormatting sqref="AC189">
    <cfRule type="expression" dxfId="1303" priority="1297">
      <formula>$AC189="Required Field"</formula>
    </cfRule>
  </conditionalFormatting>
  <conditionalFormatting sqref="AE189">
    <cfRule type="expression" dxfId="1302" priority="1296">
      <formula>$AE189="Required Field"</formula>
    </cfRule>
  </conditionalFormatting>
  <conditionalFormatting sqref="AG189">
    <cfRule type="expression" dxfId="1301" priority="1295">
      <formula>$AG189="Required Field"</formula>
    </cfRule>
  </conditionalFormatting>
  <conditionalFormatting sqref="AH189">
    <cfRule type="expression" dxfId="1300" priority="1294">
      <formula>$AH189="Required Field"</formula>
    </cfRule>
  </conditionalFormatting>
  <conditionalFormatting sqref="AD189">
    <cfRule type="expression" dxfId="1299" priority="1293">
      <formula>$AD189="Required Field"</formula>
    </cfRule>
  </conditionalFormatting>
  <conditionalFormatting sqref="X190">
    <cfRule type="expression" dxfId="1298" priority="1292">
      <formula>$X190="Required Field"</formula>
    </cfRule>
  </conditionalFormatting>
  <conditionalFormatting sqref="Y190:Z190">
    <cfRule type="expression" dxfId="1297" priority="1291">
      <formula>$Y190="Required Field"</formula>
    </cfRule>
  </conditionalFormatting>
  <conditionalFormatting sqref="AA190:AB190">
    <cfRule type="expression" dxfId="1296" priority="1290">
      <formula>$AA190="Required Field"</formula>
    </cfRule>
  </conditionalFormatting>
  <conditionalFormatting sqref="AC190">
    <cfRule type="expression" dxfId="1295" priority="1289">
      <formula>$AC190="Required Field"</formula>
    </cfRule>
  </conditionalFormatting>
  <conditionalFormatting sqref="AE190">
    <cfRule type="expression" dxfId="1294" priority="1288">
      <formula>$AE190="Required Field"</formula>
    </cfRule>
  </conditionalFormatting>
  <conditionalFormatting sqref="AG190">
    <cfRule type="expression" dxfId="1293" priority="1287">
      <formula>$AG190="Required Field"</formula>
    </cfRule>
  </conditionalFormatting>
  <conditionalFormatting sqref="AH190">
    <cfRule type="expression" dxfId="1292" priority="1286">
      <formula>$AH190="Required Field"</formula>
    </cfRule>
  </conditionalFormatting>
  <conditionalFormatting sqref="AD190">
    <cfRule type="expression" dxfId="1291" priority="1285">
      <formula>$AD190="Required Field"</formula>
    </cfRule>
  </conditionalFormatting>
  <conditionalFormatting sqref="AC191">
    <cfRule type="expression" dxfId="1290" priority="1284">
      <formula>$AC191="Required Field"</formula>
    </cfRule>
  </conditionalFormatting>
  <conditionalFormatting sqref="W192">
    <cfRule type="expression" dxfId="1289" priority="1283">
      <formula>$W192="Required Field"</formula>
    </cfRule>
  </conditionalFormatting>
  <conditionalFormatting sqref="X192">
    <cfRule type="expression" dxfId="1288" priority="1282">
      <formula>$X192="Required Field"</formula>
    </cfRule>
  </conditionalFormatting>
  <conditionalFormatting sqref="Y192:Z192">
    <cfRule type="expression" dxfId="1287" priority="1281">
      <formula>$Y192="Required Field"</formula>
    </cfRule>
  </conditionalFormatting>
  <conditionalFormatting sqref="AA192:AB192">
    <cfRule type="expression" dxfId="1286" priority="1280">
      <formula>$AA192="Required Field"</formula>
    </cfRule>
  </conditionalFormatting>
  <conditionalFormatting sqref="AC192">
    <cfRule type="expression" dxfId="1285" priority="1279">
      <formula>$AC192="Required Field"</formula>
    </cfRule>
  </conditionalFormatting>
  <conditionalFormatting sqref="AE192">
    <cfRule type="expression" dxfId="1284" priority="1278">
      <formula>$AE192="Required Field"</formula>
    </cfRule>
  </conditionalFormatting>
  <conditionalFormatting sqref="AG192">
    <cfRule type="expression" dxfId="1283" priority="1277">
      <formula>$AG192="Required Field"</formula>
    </cfRule>
  </conditionalFormatting>
  <conditionalFormatting sqref="AH192">
    <cfRule type="expression" dxfId="1282" priority="1276">
      <formula>$AH192="Required Field"</formula>
    </cfRule>
  </conditionalFormatting>
  <conditionalFormatting sqref="AD192">
    <cfRule type="expression" dxfId="1281" priority="1275">
      <formula>$AD192="Required Field"</formula>
    </cfRule>
  </conditionalFormatting>
  <conditionalFormatting sqref="AC193">
    <cfRule type="expression" dxfId="1280" priority="1274">
      <formula>$AC193="Required Field"</formula>
    </cfRule>
  </conditionalFormatting>
  <conditionalFormatting sqref="W220">
    <cfRule type="expression" dxfId="1279" priority="1273">
      <formula>$W220="Required Field"</formula>
    </cfRule>
  </conditionalFormatting>
  <conditionalFormatting sqref="X220">
    <cfRule type="expression" dxfId="1278" priority="1272">
      <formula>$X220="Required Field"</formula>
    </cfRule>
  </conditionalFormatting>
  <conditionalFormatting sqref="Y220:Z220">
    <cfRule type="expression" dxfId="1277" priority="1271">
      <formula>$Y220="Required Field"</formula>
    </cfRule>
  </conditionalFormatting>
  <conditionalFormatting sqref="AA220:AB220">
    <cfRule type="expression" dxfId="1276" priority="1270">
      <formula>$AA220="Required Field"</formula>
    </cfRule>
  </conditionalFormatting>
  <conditionalFormatting sqref="AC220">
    <cfRule type="expression" dxfId="1275" priority="1269">
      <formula>$AC220="Required Field"</formula>
    </cfRule>
  </conditionalFormatting>
  <conditionalFormatting sqref="AE220">
    <cfRule type="expression" dxfId="1274" priority="1268">
      <formula>$AE220="Required Field"</formula>
    </cfRule>
  </conditionalFormatting>
  <conditionalFormatting sqref="AG220">
    <cfRule type="expression" dxfId="1273" priority="1267">
      <formula>$AG220="Required Field"</formula>
    </cfRule>
  </conditionalFormatting>
  <conditionalFormatting sqref="AH220">
    <cfRule type="expression" dxfId="1272" priority="1266">
      <formula>$AH220="Required Field"</formula>
    </cfRule>
  </conditionalFormatting>
  <conditionalFormatting sqref="AD220">
    <cfRule type="expression" dxfId="1271" priority="1265">
      <formula>$AD220="Required Field"</formula>
    </cfRule>
  </conditionalFormatting>
  <conditionalFormatting sqref="W225">
    <cfRule type="expression" dxfId="1270" priority="1264">
      <formula>$W225="Required Field"</formula>
    </cfRule>
  </conditionalFormatting>
  <conditionalFormatting sqref="X225">
    <cfRule type="expression" dxfId="1269" priority="1263">
      <formula>$X225="Required Field"</formula>
    </cfRule>
  </conditionalFormatting>
  <conditionalFormatting sqref="Y225:Z225">
    <cfRule type="expression" dxfId="1268" priority="1262">
      <formula>$Y225="Required Field"</formula>
    </cfRule>
  </conditionalFormatting>
  <conditionalFormatting sqref="AA225:AB225">
    <cfRule type="expression" dxfId="1267" priority="1261">
      <formula>$AA225="Required Field"</formula>
    </cfRule>
  </conditionalFormatting>
  <conditionalFormatting sqref="AC225">
    <cfRule type="expression" dxfId="1266" priority="1260">
      <formula>$AC225="Required Field"</formula>
    </cfRule>
  </conditionalFormatting>
  <conditionalFormatting sqref="AE225">
    <cfRule type="expression" dxfId="1265" priority="1259">
      <formula>$AE225="Required Field"</formula>
    </cfRule>
  </conditionalFormatting>
  <conditionalFormatting sqref="AG225">
    <cfRule type="expression" dxfId="1264" priority="1258">
      <formula>$AG225="Required Field"</formula>
    </cfRule>
  </conditionalFormatting>
  <conditionalFormatting sqref="AH225">
    <cfRule type="expression" dxfId="1263" priority="1257">
      <formula>$AH225="Required Field"</formula>
    </cfRule>
  </conditionalFormatting>
  <conditionalFormatting sqref="AD225">
    <cfRule type="expression" dxfId="1262" priority="1256">
      <formula>$AD225="Required Field"</formula>
    </cfRule>
  </conditionalFormatting>
  <conditionalFormatting sqref="X229">
    <cfRule type="expression" dxfId="1261" priority="1255">
      <formula>$X229="Required Field"</formula>
    </cfRule>
  </conditionalFormatting>
  <conditionalFormatting sqref="Y229:Z229">
    <cfRule type="expression" dxfId="1260" priority="1254">
      <formula>$Y229="Required Field"</formula>
    </cfRule>
  </conditionalFormatting>
  <conditionalFormatting sqref="AA229:AB229">
    <cfRule type="expression" dxfId="1259" priority="1253">
      <formula>$AA229="Required Field"</formula>
    </cfRule>
  </conditionalFormatting>
  <conditionalFormatting sqref="AC229">
    <cfRule type="expression" dxfId="1258" priority="1252">
      <formula>$AC229="Required Field"</formula>
    </cfRule>
  </conditionalFormatting>
  <conditionalFormatting sqref="AE229">
    <cfRule type="expression" dxfId="1257" priority="1251">
      <formula>$AE229="Required Field"</formula>
    </cfRule>
  </conditionalFormatting>
  <conditionalFormatting sqref="AG229">
    <cfRule type="expression" dxfId="1256" priority="1250">
      <formula>$AG229="Required Field"</formula>
    </cfRule>
  </conditionalFormatting>
  <conditionalFormatting sqref="AH229">
    <cfRule type="expression" dxfId="1255" priority="1249">
      <formula>$AH229="Required Field"</formula>
    </cfRule>
  </conditionalFormatting>
  <conditionalFormatting sqref="AD229">
    <cfRule type="expression" dxfId="1254" priority="1248">
      <formula>$AD229="Required Field"</formula>
    </cfRule>
  </conditionalFormatting>
  <conditionalFormatting sqref="X231">
    <cfRule type="expression" dxfId="1253" priority="1247">
      <formula>$X231="Required Field"</formula>
    </cfRule>
  </conditionalFormatting>
  <conditionalFormatting sqref="Y231:Z231">
    <cfRule type="expression" dxfId="1252" priority="1246">
      <formula>$Y231="Required Field"</formula>
    </cfRule>
  </conditionalFormatting>
  <conditionalFormatting sqref="AA231:AB231">
    <cfRule type="expression" dxfId="1251" priority="1245">
      <formula>$AA231="Required Field"</formula>
    </cfRule>
  </conditionalFormatting>
  <conditionalFormatting sqref="AC231">
    <cfRule type="expression" dxfId="1250" priority="1244">
      <formula>$AC231="Required Field"</formula>
    </cfRule>
  </conditionalFormatting>
  <conditionalFormatting sqref="AE231">
    <cfRule type="expression" dxfId="1249" priority="1243">
      <formula>$AE231="Required Field"</formula>
    </cfRule>
  </conditionalFormatting>
  <conditionalFormatting sqref="AG231">
    <cfRule type="expression" dxfId="1248" priority="1242">
      <formula>$AG231="Required Field"</formula>
    </cfRule>
  </conditionalFormatting>
  <conditionalFormatting sqref="AH231">
    <cfRule type="expression" dxfId="1247" priority="1241">
      <formula>$AH231="Required Field"</formula>
    </cfRule>
  </conditionalFormatting>
  <conditionalFormatting sqref="AD231">
    <cfRule type="expression" dxfId="1246" priority="1240">
      <formula>$AD231="Required Field"</formula>
    </cfRule>
  </conditionalFormatting>
  <conditionalFormatting sqref="W232">
    <cfRule type="expression" dxfId="1245" priority="1239">
      <formula>$W232="Required Field"</formula>
    </cfRule>
  </conditionalFormatting>
  <conditionalFormatting sqref="X232">
    <cfRule type="expression" dxfId="1244" priority="1238">
      <formula>$X232="Required Field"</formula>
    </cfRule>
  </conditionalFormatting>
  <conditionalFormatting sqref="Y232:Z232">
    <cfRule type="expression" dxfId="1243" priority="1237">
      <formula>$Y232="Required Field"</formula>
    </cfRule>
  </conditionalFormatting>
  <conditionalFormatting sqref="AA232:AB232">
    <cfRule type="expression" dxfId="1242" priority="1236">
      <formula>$AA232="Required Field"</formula>
    </cfRule>
  </conditionalFormatting>
  <conditionalFormatting sqref="AC232">
    <cfRule type="expression" dxfId="1241" priority="1235">
      <formula>$AC232="Required Field"</formula>
    </cfRule>
  </conditionalFormatting>
  <conditionalFormatting sqref="AE232">
    <cfRule type="expression" dxfId="1240" priority="1234">
      <formula>$AE232="Required Field"</formula>
    </cfRule>
  </conditionalFormatting>
  <conditionalFormatting sqref="AG232">
    <cfRule type="expression" dxfId="1239" priority="1233">
      <formula>$AG232="Required Field"</formula>
    </cfRule>
  </conditionalFormatting>
  <conditionalFormatting sqref="AH232">
    <cfRule type="expression" dxfId="1238" priority="1232">
      <formula>$AH232="Required Field"</formula>
    </cfRule>
  </conditionalFormatting>
  <conditionalFormatting sqref="AD232">
    <cfRule type="expression" dxfId="1237" priority="1231">
      <formula>$AD232="Required Field"</formula>
    </cfRule>
  </conditionalFormatting>
  <conditionalFormatting sqref="W234">
    <cfRule type="expression" dxfId="1236" priority="1230">
      <formula>$W234="Required Field"</formula>
    </cfRule>
  </conditionalFormatting>
  <conditionalFormatting sqref="X234">
    <cfRule type="expression" dxfId="1235" priority="1229">
      <formula>$X234="Required Field"</formula>
    </cfRule>
  </conditionalFormatting>
  <conditionalFormatting sqref="Y234:Z234">
    <cfRule type="expression" dxfId="1234" priority="1228">
      <formula>$Y234="Required Field"</formula>
    </cfRule>
  </conditionalFormatting>
  <conditionalFormatting sqref="AA234:AB234">
    <cfRule type="expression" dxfId="1233" priority="1227">
      <formula>$AA234="Required Field"</formula>
    </cfRule>
  </conditionalFormatting>
  <conditionalFormatting sqref="AC234">
    <cfRule type="expression" dxfId="1232" priority="1226">
      <formula>$AC234="Required Field"</formula>
    </cfRule>
  </conditionalFormatting>
  <conditionalFormatting sqref="AE234">
    <cfRule type="expression" dxfId="1231" priority="1225">
      <formula>$AE234="Required Field"</formula>
    </cfRule>
  </conditionalFormatting>
  <conditionalFormatting sqref="AG234">
    <cfRule type="expression" dxfId="1230" priority="1224">
      <formula>$AG234="Required Field"</formula>
    </cfRule>
  </conditionalFormatting>
  <conditionalFormatting sqref="AH234">
    <cfRule type="expression" dxfId="1229" priority="1223">
      <formula>$AH234="Required Field"</formula>
    </cfRule>
  </conditionalFormatting>
  <conditionalFormatting sqref="AD234">
    <cfRule type="expression" dxfId="1228" priority="1222">
      <formula>$AD234="Required Field"</formula>
    </cfRule>
  </conditionalFormatting>
  <conditionalFormatting sqref="W237">
    <cfRule type="expression" dxfId="1227" priority="1221">
      <formula>$W237="Required Field"</formula>
    </cfRule>
  </conditionalFormatting>
  <conditionalFormatting sqref="X237">
    <cfRule type="expression" dxfId="1226" priority="1220">
      <formula>$X237="Required Field"</formula>
    </cfRule>
  </conditionalFormatting>
  <conditionalFormatting sqref="Y237:Z237">
    <cfRule type="expression" dxfId="1225" priority="1219">
      <formula>$Y237="Required Field"</formula>
    </cfRule>
  </conditionalFormatting>
  <conditionalFormatting sqref="AA237:AB237">
    <cfRule type="expression" dxfId="1224" priority="1218">
      <formula>$AA237="Required Field"</formula>
    </cfRule>
  </conditionalFormatting>
  <conditionalFormatting sqref="AC237">
    <cfRule type="expression" dxfId="1223" priority="1217">
      <formula>$AC237="Required Field"</formula>
    </cfRule>
  </conditionalFormatting>
  <conditionalFormatting sqref="AE237">
    <cfRule type="expression" dxfId="1222" priority="1216">
      <formula>$AE237="Required Field"</formula>
    </cfRule>
  </conditionalFormatting>
  <conditionalFormatting sqref="AG237">
    <cfRule type="expression" dxfId="1221" priority="1215">
      <formula>$AG237="Required Field"</formula>
    </cfRule>
  </conditionalFormatting>
  <conditionalFormatting sqref="AH237">
    <cfRule type="expression" dxfId="1220" priority="1214">
      <formula>$AH237="Required Field"</formula>
    </cfRule>
  </conditionalFormatting>
  <conditionalFormatting sqref="AD237">
    <cfRule type="expression" dxfId="1219" priority="1213">
      <formula>$AD237="Required Field"</formula>
    </cfRule>
  </conditionalFormatting>
  <conditionalFormatting sqref="X238">
    <cfRule type="expression" dxfId="1218" priority="1212">
      <formula>$X238="Required Field"</formula>
    </cfRule>
  </conditionalFormatting>
  <conditionalFormatting sqref="Y238:Z238">
    <cfRule type="expression" dxfId="1217" priority="1211">
      <formula>$Y238="Required Field"</formula>
    </cfRule>
  </conditionalFormatting>
  <conditionalFormatting sqref="AA238:AB238">
    <cfRule type="expression" dxfId="1216" priority="1210">
      <formula>$AA238="Required Field"</formula>
    </cfRule>
  </conditionalFormatting>
  <conditionalFormatting sqref="AC238">
    <cfRule type="expression" dxfId="1215" priority="1209">
      <formula>$AC238="Required Field"</formula>
    </cfRule>
  </conditionalFormatting>
  <conditionalFormatting sqref="AE238">
    <cfRule type="expression" dxfId="1214" priority="1208">
      <formula>$AE238="Required Field"</formula>
    </cfRule>
  </conditionalFormatting>
  <conditionalFormatting sqref="AG238">
    <cfRule type="expression" dxfId="1213" priority="1207">
      <formula>$AG238="Required Field"</formula>
    </cfRule>
  </conditionalFormatting>
  <conditionalFormatting sqref="AH238">
    <cfRule type="expression" dxfId="1212" priority="1206">
      <formula>$AH238="Required Field"</formula>
    </cfRule>
  </conditionalFormatting>
  <conditionalFormatting sqref="AD238">
    <cfRule type="expression" dxfId="1211" priority="1205">
      <formula>$AD238="Required Field"</formula>
    </cfRule>
  </conditionalFormatting>
  <conditionalFormatting sqref="X242">
    <cfRule type="expression" dxfId="1210" priority="1204">
      <formula>$X242="Required Field"</formula>
    </cfRule>
  </conditionalFormatting>
  <conditionalFormatting sqref="Y242:Z242">
    <cfRule type="expression" dxfId="1209" priority="1203">
      <formula>$Y242="Required Field"</formula>
    </cfRule>
  </conditionalFormatting>
  <conditionalFormatting sqref="AA242:AB242">
    <cfRule type="expression" dxfId="1208" priority="1202">
      <formula>$AA242="Required Field"</formula>
    </cfRule>
  </conditionalFormatting>
  <conditionalFormatting sqref="AC242">
    <cfRule type="expression" dxfId="1207" priority="1201">
      <formula>$AC242="Required Field"</formula>
    </cfRule>
  </conditionalFormatting>
  <conditionalFormatting sqref="AE242">
    <cfRule type="expression" dxfId="1206" priority="1200">
      <formula>$AE242="Required Field"</formula>
    </cfRule>
  </conditionalFormatting>
  <conditionalFormatting sqref="AG242">
    <cfRule type="expression" dxfId="1205" priority="1199">
      <formula>$AG242="Required Field"</formula>
    </cfRule>
  </conditionalFormatting>
  <conditionalFormatting sqref="AH242">
    <cfRule type="expression" dxfId="1204" priority="1198">
      <formula>$AH242="Required Field"</formula>
    </cfRule>
  </conditionalFormatting>
  <conditionalFormatting sqref="AD242">
    <cfRule type="expression" dxfId="1203" priority="1197">
      <formula>$AD242="Required Field"</formula>
    </cfRule>
  </conditionalFormatting>
  <conditionalFormatting sqref="W243">
    <cfRule type="expression" dxfId="1202" priority="1196">
      <formula>$W243="Required Field"</formula>
    </cfRule>
  </conditionalFormatting>
  <conditionalFormatting sqref="X243">
    <cfRule type="expression" dxfId="1201" priority="1195">
      <formula>$X243="Required Field"</formula>
    </cfRule>
  </conditionalFormatting>
  <conditionalFormatting sqref="Y243:Z243">
    <cfRule type="expression" dxfId="1200" priority="1194">
      <formula>$Y243="Required Field"</formula>
    </cfRule>
  </conditionalFormatting>
  <conditionalFormatting sqref="AA243:AB243">
    <cfRule type="expression" dxfId="1199" priority="1193">
      <formula>$AA243="Required Field"</formula>
    </cfRule>
  </conditionalFormatting>
  <conditionalFormatting sqref="AC243">
    <cfRule type="expression" dxfId="1198" priority="1192">
      <formula>$AC243="Required Field"</formula>
    </cfRule>
  </conditionalFormatting>
  <conditionalFormatting sqref="AE243">
    <cfRule type="expression" dxfId="1197" priority="1191">
      <formula>$AE243="Required Field"</formula>
    </cfRule>
  </conditionalFormatting>
  <conditionalFormatting sqref="AG243">
    <cfRule type="expression" dxfId="1196" priority="1190">
      <formula>$AG243="Required Field"</formula>
    </cfRule>
  </conditionalFormatting>
  <conditionalFormatting sqref="AH243">
    <cfRule type="expression" dxfId="1195" priority="1189">
      <formula>$AH243="Required Field"</formula>
    </cfRule>
  </conditionalFormatting>
  <conditionalFormatting sqref="AD243">
    <cfRule type="expression" dxfId="1194" priority="1188">
      <formula>$AD243="Required Field"</formula>
    </cfRule>
  </conditionalFormatting>
  <conditionalFormatting sqref="X244">
    <cfRule type="expression" dxfId="1193" priority="1187">
      <formula>$X244="Required Field"</formula>
    </cfRule>
  </conditionalFormatting>
  <conditionalFormatting sqref="Y244:Z244">
    <cfRule type="expression" dxfId="1192" priority="1186">
      <formula>$Y244="Required Field"</formula>
    </cfRule>
  </conditionalFormatting>
  <conditionalFormatting sqref="AA244:AB244">
    <cfRule type="expression" dxfId="1191" priority="1185">
      <formula>$AA244="Required Field"</formula>
    </cfRule>
  </conditionalFormatting>
  <conditionalFormatting sqref="AC244">
    <cfRule type="expression" dxfId="1190" priority="1184">
      <formula>$AC244="Required Field"</formula>
    </cfRule>
  </conditionalFormatting>
  <conditionalFormatting sqref="AE244">
    <cfRule type="expression" dxfId="1189" priority="1183">
      <formula>$AE244="Required Field"</formula>
    </cfRule>
  </conditionalFormatting>
  <conditionalFormatting sqref="AG244">
    <cfRule type="expression" dxfId="1188" priority="1182">
      <formula>$AG244="Required Field"</formula>
    </cfRule>
  </conditionalFormatting>
  <conditionalFormatting sqref="AH244">
    <cfRule type="expression" dxfId="1187" priority="1181">
      <formula>$AH244="Required Field"</formula>
    </cfRule>
  </conditionalFormatting>
  <conditionalFormatting sqref="AD244">
    <cfRule type="expression" dxfId="1186" priority="1180">
      <formula>$AD244="Required Field"</formula>
    </cfRule>
  </conditionalFormatting>
  <conditionalFormatting sqref="X245">
    <cfRule type="expression" dxfId="1185" priority="1179">
      <formula>$X245="Required Field"</formula>
    </cfRule>
  </conditionalFormatting>
  <conditionalFormatting sqref="Y245:Z245">
    <cfRule type="expression" dxfId="1184" priority="1178">
      <formula>$Y245="Required Field"</formula>
    </cfRule>
  </conditionalFormatting>
  <conditionalFormatting sqref="AA245:AB245">
    <cfRule type="expression" dxfId="1183" priority="1177">
      <formula>$AA245="Required Field"</formula>
    </cfRule>
  </conditionalFormatting>
  <conditionalFormatting sqref="AC245">
    <cfRule type="expression" dxfId="1182" priority="1176">
      <formula>$AC245="Required Field"</formula>
    </cfRule>
  </conditionalFormatting>
  <conditionalFormatting sqref="AE245">
    <cfRule type="expression" dxfId="1181" priority="1175">
      <formula>$AE245="Required Field"</formula>
    </cfRule>
  </conditionalFormatting>
  <conditionalFormatting sqref="AG245">
    <cfRule type="expression" dxfId="1180" priority="1174">
      <formula>$AG245="Required Field"</formula>
    </cfRule>
  </conditionalFormatting>
  <conditionalFormatting sqref="AH245">
    <cfRule type="expression" dxfId="1179" priority="1173">
      <formula>$AH245="Required Field"</formula>
    </cfRule>
  </conditionalFormatting>
  <conditionalFormatting sqref="AD245">
    <cfRule type="expression" dxfId="1178" priority="1172">
      <formula>$AD245="Required Field"</formula>
    </cfRule>
  </conditionalFormatting>
  <conditionalFormatting sqref="W246">
    <cfRule type="expression" dxfId="1177" priority="1171">
      <formula>$W246="Required Field"</formula>
    </cfRule>
  </conditionalFormatting>
  <conditionalFormatting sqref="X246">
    <cfRule type="expression" dxfId="1176" priority="1170">
      <formula>$X246="Required Field"</formula>
    </cfRule>
  </conditionalFormatting>
  <conditionalFormatting sqref="Y246:Z246">
    <cfRule type="expression" dxfId="1175" priority="1169">
      <formula>$Y246="Required Field"</formula>
    </cfRule>
  </conditionalFormatting>
  <conditionalFormatting sqref="AA246:AB246">
    <cfRule type="expression" dxfId="1174" priority="1168">
      <formula>$AA246="Required Field"</formula>
    </cfRule>
  </conditionalFormatting>
  <conditionalFormatting sqref="AC246">
    <cfRule type="expression" dxfId="1173" priority="1167">
      <formula>$AC246="Required Field"</formula>
    </cfRule>
  </conditionalFormatting>
  <conditionalFormatting sqref="AE246">
    <cfRule type="expression" dxfId="1172" priority="1166">
      <formula>$AE246="Required Field"</formula>
    </cfRule>
  </conditionalFormatting>
  <conditionalFormatting sqref="AG246">
    <cfRule type="expression" dxfId="1171" priority="1165">
      <formula>$AG246="Required Field"</formula>
    </cfRule>
  </conditionalFormatting>
  <conditionalFormatting sqref="AH246">
    <cfRule type="expression" dxfId="1170" priority="1164">
      <formula>$AH246="Required Field"</formula>
    </cfRule>
  </conditionalFormatting>
  <conditionalFormatting sqref="AD246">
    <cfRule type="expression" dxfId="1169" priority="1163">
      <formula>$AD246="Required Field"</formula>
    </cfRule>
  </conditionalFormatting>
  <conditionalFormatting sqref="Y252:Z252">
    <cfRule type="expression" dxfId="1168" priority="1162">
      <formula>$Y252="Required Field"</formula>
    </cfRule>
  </conditionalFormatting>
  <conditionalFormatting sqref="AA252:AB252">
    <cfRule type="expression" dxfId="1167" priority="1161">
      <formula>$AA252="Required Field"</formula>
    </cfRule>
  </conditionalFormatting>
  <conditionalFormatting sqref="AC252">
    <cfRule type="expression" dxfId="1166" priority="1160">
      <formula>$AC252="Required Field"</formula>
    </cfRule>
  </conditionalFormatting>
  <conditionalFormatting sqref="AE252">
    <cfRule type="expression" dxfId="1165" priority="1159">
      <formula>$AE252="Required Field"</formula>
    </cfRule>
  </conditionalFormatting>
  <conditionalFormatting sqref="AG252">
    <cfRule type="expression" dxfId="1164" priority="1158">
      <formula>$AG252="Required Field"</formula>
    </cfRule>
  </conditionalFormatting>
  <conditionalFormatting sqref="AH252">
    <cfRule type="expression" dxfId="1163" priority="1157">
      <formula>$AH252="Required Field"</formula>
    </cfRule>
  </conditionalFormatting>
  <conditionalFormatting sqref="AD252">
    <cfRule type="expression" dxfId="1162" priority="1156">
      <formula>$AD252="Required Field"</formula>
    </cfRule>
  </conditionalFormatting>
  <conditionalFormatting sqref="X258">
    <cfRule type="expression" dxfId="1161" priority="1155">
      <formula>$X258="Required Field"</formula>
    </cfRule>
  </conditionalFormatting>
  <conditionalFormatting sqref="Y258:Z258">
    <cfRule type="expression" dxfId="1160" priority="1154">
      <formula>$Y258="Required Field"</formula>
    </cfRule>
  </conditionalFormatting>
  <conditionalFormatting sqref="AA258:AB258">
    <cfRule type="expression" dxfId="1159" priority="1153">
      <formula>$AA258="Required Field"</formula>
    </cfRule>
  </conditionalFormatting>
  <conditionalFormatting sqref="AC258">
    <cfRule type="expression" dxfId="1158" priority="1152">
      <formula>$AC258="Required Field"</formula>
    </cfRule>
  </conditionalFormatting>
  <conditionalFormatting sqref="AE258">
    <cfRule type="expression" dxfId="1157" priority="1151">
      <formula>$AE258="Required Field"</formula>
    </cfRule>
  </conditionalFormatting>
  <conditionalFormatting sqref="AG258">
    <cfRule type="expression" dxfId="1156" priority="1150">
      <formula>$AG258="Required Field"</formula>
    </cfRule>
  </conditionalFormatting>
  <conditionalFormatting sqref="AH258">
    <cfRule type="expression" dxfId="1155" priority="1149">
      <formula>$AH258="Required Field"</formula>
    </cfRule>
  </conditionalFormatting>
  <conditionalFormatting sqref="AD258">
    <cfRule type="expression" dxfId="1154" priority="1148">
      <formula>$AD258="Required Field"</formula>
    </cfRule>
  </conditionalFormatting>
  <conditionalFormatting sqref="X259">
    <cfRule type="expression" dxfId="1153" priority="1147">
      <formula>$X259="Required Field"</formula>
    </cfRule>
  </conditionalFormatting>
  <conditionalFormatting sqref="Y259:Z259">
    <cfRule type="expression" dxfId="1152" priority="1146">
      <formula>$Y259="Required Field"</formula>
    </cfRule>
  </conditionalFormatting>
  <conditionalFormatting sqref="AA259:AB259">
    <cfRule type="expression" dxfId="1151" priority="1145">
      <formula>$AA259="Required Field"</formula>
    </cfRule>
  </conditionalFormatting>
  <conditionalFormatting sqref="AC259">
    <cfRule type="expression" dxfId="1150" priority="1144">
      <formula>$AC259="Required Field"</formula>
    </cfRule>
  </conditionalFormatting>
  <conditionalFormatting sqref="AE259">
    <cfRule type="expression" dxfId="1149" priority="1143">
      <formula>$AE259="Required Field"</formula>
    </cfRule>
  </conditionalFormatting>
  <conditionalFormatting sqref="AG259">
    <cfRule type="expression" dxfId="1148" priority="1142">
      <formula>$AG259="Required Field"</formula>
    </cfRule>
  </conditionalFormatting>
  <conditionalFormatting sqref="AH259">
    <cfRule type="expression" dxfId="1147" priority="1141">
      <formula>$AH259="Required Field"</formula>
    </cfRule>
  </conditionalFormatting>
  <conditionalFormatting sqref="AD259">
    <cfRule type="expression" dxfId="1146" priority="1140">
      <formula>$AD259="Required Field"</formula>
    </cfRule>
  </conditionalFormatting>
  <conditionalFormatting sqref="X260">
    <cfRule type="expression" dxfId="1145" priority="1139">
      <formula>$X260="Required Field"</formula>
    </cfRule>
  </conditionalFormatting>
  <conditionalFormatting sqref="Y260:Z260">
    <cfRule type="expression" dxfId="1144" priority="1138">
      <formula>$Y260="Required Field"</formula>
    </cfRule>
  </conditionalFormatting>
  <conditionalFormatting sqref="AA260:AB260">
    <cfRule type="expression" dxfId="1143" priority="1137">
      <formula>$AA260="Required Field"</formula>
    </cfRule>
  </conditionalFormatting>
  <conditionalFormatting sqref="AC260">
    <cfRule type="expression" dxfId="1142" priority="1136">
      <formula>$AC260="Required Field"</formula>
    </cfRule>
  </conditionalFormatting>
  <conditionalFormatting sqref="AE260">
    <cfRule type="expression" dxfId="1141" priority="1135">
      <formula>$AE260="Required Field"</formula>
    </cfRule>
  </conditionalFormatting>
  <conditionalFormatting sqref="AG260">
    <cfRule type="expression" dxfId="1140" priority="1134">
      <formula>$AG260="Required Field"</formula>
    </cfRule>
  </conditionalFormatting>
  <conditionalFormatting sqref="AH260">
    <cfRule type="expression" dxfId="1139" priority="1133">
      <formula>$AH260="Required Field"</formula>
    </cfRule>
  </conditionalFormatting>
  <conditionalFormatting sqref="AD260">
    <cfRule type="expression" dxfId="1138" priority="1132">
      <formula>$AD260="Required Field"</formula>
    </cfRule>
  </conditionalFormatting>
  <conditionalFormatting sqref="W261">
    <cfRule type="expression" dxfId="1137" priority="1131">
      <formula>$W261="Required Field"</formula>
    </cfRule>
  </conditionalFormatting>
  <conditionalFormatting sqref="X261">
    <cfRule type="expression" dxfId="1136" priority="1130">
      <formula>$X261="Required Field"</formula>
    </cfRule>
  </conditionalFormatting>
  <conditionalFormatting sqref="Y261:Z261">
    <cfRule type="expression" dxfId="1135" priority="1129">
      <formula>$Y261="Required Field"</formula>
    </cfRule>
  </conditionalFormatting>
  <conditionalFormatting sqref="AA261:AB261">
    <cfRule type="expression" dxfId="1134" priority="1128">
      <formula>$AA261="Required Field"</formula>
    </cfRule>
  </conditionalFormatting>
  <conditionalFormatting sqref="AC261">
    <cfRule type="expression" dxfId="1133" priority="1127">
      <formula>$AC261="Required Field"</formula>
    </cfRule>
  </conditionalFormatting>
  <conditionalFormatting sqref="AE261">
    <cfRule type="expression" dxfId="1132" priority="1126">
      <formula>$AE261="Required Field"</formula>
    </cfRule>
  </conditionalFormatting>
  <conditionalFormatting sqref="AG261">
    <cfRule type="expression" dxfId="1131" priority="1125">
      <formula>$AG261="Required Field"</formula>
    </cfRule>
  </conditionalFormatting>
  <conditionalFormatting sqref="AH261">
    <cfRule type="expression" dxfId="1130" priority="1124">
      <formula>$AH261="Required Field"</formula>
    </cfRule>
  </conditionalFormatting>
  <conditionalFormatting sqref="AD261">
    <cfRule type="expression" dxfId="1129" priority="1123">
      <formula>$AD261="Required Field"</formula>
    </cfRule>
  </conditionalFormatting>
  <conditionalFormatting sqref="AM263:AN263">
    <cfRule type="expression" dxfId="1128" priority="1121">
      <formula>$AM263="Required Field"</formula>
    </cfRule>
  </conditionalFormatting>
  <conditionalFormatting sqref="W263">
    <cfRule type="expression" dxfId="1127" priority="1120">
      <formula>$W263="Required Field"</formula>
    </cfRule>
  </conditionalFormatting>
  <conditionalFormatting sqref="X263">
    <cfRule type="expression" dxfId="1126" priority="1119">
      <formula>$X263="Required Field"</formula>
    </cfRule>
  </conditionalFormatting>
  <conditionalFormatting sqref="Y263:Z263">
    <cfRule type="expression" dxfId="1125" priority="1118">
      <formula>$Y263="Required Field"</formula>
    </cfRule>
  </conditionalFormatting>
  <conditionalFormatting sqref="AA263:AB263">
    <cfRule type="expression" dxfId="1124" priority="1117">
      <formula>$AA263="Required Field"</formula>
    </cfRule>
  </conditionalFormatting>
  <conditionalFormatting sqref="AC263">
    <cfRule type="expression" dxfId="1123" priority="1116">
      <formula>$AC263="Required Field"</formula>
    </cfRule>
  </conditionalFormatting>
  <conditionalFormatting sqref="AE263">
    <cfRule type="expression" dxfId="1122" priority="1115">
      <formula>$AE263="Required Field"</formula>
    </cfRule>
  </conditionalFormatting>
  <conditionalFormatting sqref="AG263">
    <cfRule type="expression" dxfId="1121" priority="1114">
      <formula>$AG263="Required Field"</formula>
    </cfRule>
  </conditionalFormatting>
  <conditionalFormatting sqref="AH263">
    <cfRule type="expression" dxfId="1120" priority="1113">
      <formula>$AH263="Required Field"</formula>
    </cfRule>
  </conditionalFormatting>
  <conditionalFormatting sqref="AD263">
    <cfRule type="expression" dxfId="1119" priority="1112">
      <formula>$AD263="Required Field"</formula>
    </cfRule>
  </conditionalFormatting>
  <conditionalFormatting sqref="W264">
    <cfRule type="expression" dxfId="1118" priority="1111">
      <formula>$W264="Required Field"</formula>
    </cfRule>
  </conditionalFormatting>
  <conditionalFormatting sqref="X264">
    <cfRule type="expression" dxfId="1117" priority="1110">
      <formula>$X264="Required Field"</formula>
    </cfRule>
  </conditionalFormatting>
  <conditionalFormatting sqref="Y264:Z264">
    <cfRule type="expression" dxfId="1116" priority="1109">
      <formula>$Y264="Required Field"</formula>
    </cfRule>
  </conditionalFormatting>
  <conditionalFormatting sqref="AA264:AB264">
    <cfRule type="expression" dxfId="1115" priority="1108">
      <formula>$AA264="Required Field"</formula>
    </cfRule>
  </conditionalFormatting>
  <conditionalFormatting sqref="AC264">
    <cfRule type="expression" dxfId="1114" priority="1107">
      <formula>$AC264="Required Field"</formula>
    </cfRule>
  </conditionalFormatting>
  <conditionalFormatting sqref="AE264">
    <cfRule type="expression" dxfId="1113" priority="1106">
      <formula>$AE264="Required Field"</formula>
    </cfRule>
  </conditionalFormatting>
  <conditionalFormatting sqref="AG264">
    <cfRule type="expression" dxfId="1112" priority="1105">
      <formula>$AG264="Required Field"</formula>
    </cfRule>
  </conditionalFormatting>
  <conditionalFormatting sqref="AH264">
    <cfRule type="expression" dxfId="1111" priority="1104">
      <formula>$AH264="Required Field"</formula>
    </cfRule>
  </conditionalFormatting>
  <conditionalFormatting sqref="AD264">
    <cfRule type="expression" dxfId="1110" priority="1103">
      <formula>$AD264="Required Field"</formula>
    </cfRule>
  </conditionalFormatting>
  <conditionalFormatting sqref="X268">
    <cfRule type="expression" dxfId="1109" priority="1102">
      <formula>$X268="Required Field"</formula>
    </cfRule>
  </conditionalFormatting>
  <conditionalFormatting sqref="Y268:Z268">
    <cfRule type="expression" dxfId="1108" priority="1101">
      <formula>$Y268="Required Field"</formula>
    </cfRule>
  </conditionalFormatting>
  <conditionalFormatting sqref="AA268:AB268">
    <cfRule type="expression" dxfId="1107" priority="1100">
      <formula>$AA268="Required Field"</formula>
    </cfRule>
  </conditionalFormatting>
  <conditionalFormatting sqref="AC268">
    <cfRule type="expression" dxfId="1106" priority="1099">
      <formula>$AC268="Required Field"</formula>
    </cfRule>
  </conditionalFormatting>
  <conditionalFormatting sqref="AE268">
    <cfRule type="expression" dxfId="1105" priority="1098">
      <formula>$AE268="Required Field"</formula>
    </cfRule>
  </conditionalFormatting>
  <conditionalFormatting sqref="AG268">
    <cfRule type="expression" dxfId="1104" priority="1097">
      <formula>$AG268="Required Field"</formula>
    </cfRule>
  </conditionalFormatting>
  <conditionalFormatting sqref="AH268">
    <cfRule type="expression" dxfId="1103" priority="1096">
      <formula>$AH268="Required Field"</formula>
    </cfRule>
  </conditionalFormatting>
  <conditionalFormatting sqref="AD268">
    <cfRule type="expression" dxfId="1102" priority="1095">
      <formula>$AD268="Required Field"</formula>
    </cfRule>
  </conditionalFormatting>
  <conditionalFormatting sqref="W270">
    <cfRule type="expression" dxfId="1101" priority="1094">
      <formula>$W270="Required Field"</formula>
    </cfRule>
  </conditionalFormatting>
  <conditionalFormatting sqref="X270">
    <cfRule type="expression" dxfId="1100" priority="1093">
      <formula>$X270="Required Field"</formula>
    </cfRule>
  </conditionalFormatting>
  <conditionalFormatting sqref="Y270:Z270">
    <cfRule type="expression" dxfId="1099" priority="1092">
      <formula>$Y270="Required Field"</formula>
    </cfRule>
  </conditionalFormatting>
  <conditionalFormatting sqref="AA270:AB270">
    <cfRule type="expression" dxfId="1098" priority="1091">
      <formula>$AA270="Required Field"</formula>
    </cfRule>
  </conditionalFormatting>
  <conditionalFormatting sqref="AC270">
    <cfRule type="expression" dxfId="1097" priority="1090">
      <formula>$AC270="Required Field"</formula>
    </cfRule>
  </conditionalFormatting>
  <conditionalFormatting sqref="AE270">
    <cfRule type="expression" dxfId="1096" priority="1089">
      <formula>$AE270="Required Field"</formula>
    </cfRule>
  </conditionalFormatting>
  <conditionalFormatting sqref="AG270">
    <cfRule type="expression" dxfId="1095" priority="1088">
      <formula>$AG270="Required Field"</formula>
    </cfRule>
  </conditionalFormatting>
  <conditionalFormatting sqref="AH270">
    <cfRule type="expression" dxfId="1094" priority="1087">
      <formula>$AH270="Required Field"</formula>
    </cfRule>
  </conditionalFormatting>
  <conditionalFormatting sqref="AD270">
    <cfRule type="expression" dxfId="1093" priority="1086">
      <formula>$AD270="Required Field"</formula>
    </cfRule>
  </conditionalFormatting>
  <conditionalFormatting sqref="W271">
    <cfRule type="expression" dxfId="1092" priority="1085">
      <formula>$W271="Required Field"</formula>
    </cfRule>
  </conditionalFormatting>
  <conditionalFormatting sqref="X271">
    <cfRule type="expression" dxfId="1091" priority="1084">
      <formula>$X271="Required Field"</formula>
    </cfRule>
  </conditionalFormatting>
  <conditionalFormatting sqref="Y271:Z271">
    <cfRule type="expression" dxfId="1090" priority="1083">
      <formula>$Y271="Required Field"</formula>
    </cfRule>
  </conditionalFormatting>
  <conditionalFormatting sqref="AA271:AB271">
    <cfRule type="expression" dxfId="1089" priority="1082">
      <formula>$AA271="Required Field"</formula>
    </cfRule>
  </conditionalFormatting>
  <conditionalFormatting sqref="AC271">
    <cfRule type="expression" dxfId="1088" priority="1081">
      <formula>$AC271="Required Field"</formula>
    </cfRule>
  </conditionalFormatting>
  <conditionalFormatting sqref="AE271">
    <cfRule type="expression" dxfId="1087" priority="1080">
      <formula>$AE271="Required Field"</formula>
    </cfRule>
  </conditionalFormatting>
  <conditionalFormatting sqref="AG271">
    <cfRule type="expression" dxfId="1086" priority="1079">
      <formula>$AG271="Required Field"</formula>
    </cfRule>
  </conditionalFormatting>
  <conditionalFormatting sqref="AH271">
    <cfRule type="expression" dxfId="1085" priority="1078">
      <formula>$AH271="Required Field"</formula>
    </cfRule>
  </conditionalFormatting>
  <conditionalFormatting sqref="AD271">
    <cfRule type="expression" dxfId="1084" priority="1077">
      <formula>$AD271="Required Field"</formula>
    </cfRule>
  </conditionalFormatting>
  <conditionalFormatting sqref="W272">
    <cfRule type="expression" dxfId="1083" priority="1076">
      <formula>$W272="Required Field"</formula>
    </cfRule>
  </conditionalFormatting>
  <conditionalFormatting sqref="X272">
    <cfRule type="expression" dxfId="1082" priority="1075">
      <formula>$X272="Required Field"</formula>
    </cfRule>
  </conditionalFormatting>
  <conditionalFormatting sqref="Y272:Z272">
    <cfRule type="expression" dxfId="1081" priority="1074">
      <formula>$Y272="Required Field"</formula>
    </cfRule>
  </conditionalFormatting>
  <conditionalFormatting sqref="AA272:AB272">
    <cfRule type="expression" dxfId="1080" priority="1073">
      <formula>$AA272="Required Field"</formula>
    </cfRule>
  </conditionalFormatting>
  <conditionalFormatting sqref="AC272">
    <cfRule type="expression" dxfId="1079" priority="1072">
      <formula>$AC272="Required Field"</formula>
    </cfRule>
  </conditionalFormatting>
  <conditionalFormatting sqref="AE272">
    <cfRule type="expression" dxfId="1078" priority="1071">
      <formula>$AE272="Required Field"</formula>
    </cfRule>
  </conditionalFormatting>
  <conditionalFormatting sqref="AG272">
    <cfRule type="expression" dxfId="1077" priority="1070">
      <formula>$AG272="Required Field"</formula>
    </cfRule>
  </conditionalFormatting>
  <conditionalFormatting sqref="AH272">
    <cfRule type="expression" dxfId="1076" priority="1069">
      <formula>$AH272="Required Field"</formula>
    </cfRule>
  </conditionalFormatting>
  <conditionalFormatting sqref="AD272">
    <cfRule type="expression" dxfId="1075" priority="1068">
      <formula>$AD272="Required Field"</formula>
    </cfRule>
  </conditionalFormatting>
  <conditionalFormatting sqref="X273">
    <cfRule type="expression" dxfId="1074" priority="1067">
      <formula>$X273="Required Field"</formula>
    </cfRule>
  </conditionalFormatting>
  <conditionalFormatting sqref="Y273:Z273">
    <cfRule type="expression" dxfId="1073" priority="1066">
      <formula>$Y273="Required Field"</formula>
    </cfRule>
  </conditionalFormatting>
  <conditionalFormatting sqref="AA273:AB273">
    <cfRule type="expression" dxfId="1072" priority="1065">
      <formula>$AA273="Required Field"</formula>
    </cfRule>
  </conditionalFormatting>
  <conditionalFormatting sqref="AC273">
    <cfRule type="expression" dxfId="1071" priority="1064">
      <formula>$AC273="Required Field"</formula>
    </cfRule>
  </conditionalFormatting>
  <conditionalFormatting sqref="AE273">
    <cfRule type="expression" dxfId="1070" priority="1063">
      <formula>$AE273="Required Field"</formula>
    </cfRule>
  </conditionalFormatting>
  <conditionalFormatting sqref="AG273">
    <cfRule type="expression" dxfId="1069" priority="1062">
      <formula>$AG273="Required Field"</formula>
    </cfRule>
  </conditionalFormatting>
  <conditionalFormatting sqref="AH273">
    <cfRule type="expression" dxfId="1068" priority="1061">
      <formula>$AH273="Required Field"</formula>
    </cfRule>
  </conditionalFormatting>
  <conditionalFormatting sqref="AD273">
    <cfRule type="expression" dxfId="1067" priority="1060">
      <formula>$AD273="Required Field"</formula>
    </cfRule>
  </conditionalFormatting>
  <conditionalFormatting sqref="Y275:Z275">
    <cfRule type="expression" dxfId="1066" priority="1059">
      <formula>$Y275="Required Field"</formula>
    </cfRule>
  </conditionalFormatting>
  <conditionalFormatting sqref="AA275:AB275">
    <cfRule type="expression" dxfId="1065" priority="1058">
      <formula>$AA275="Required Field"</formula>
    </cfRule>
  </conditionalFormatting>
  <conditionalFormatting sqref="AC275">
    <cfRule type="expression" dxfId="1064" priority="1057">
      <formula>$AC275="Required Field"</formula>
    </cfRule>
  </conditionalFormatting>
  <conditionalFormatting sqref="AE275">
    <cfRule type="expression" dxfId="1063" priority="1056">
      <formula>$AE275="Required Field"</formula>
    </cfRule>
  </conditionalFormatting>
  <conditionalFormatting sqref="AG275">
    <cfRule type="expression" dxfId="1062" priority="1055">
      <formula>$AG275="Required Field"</formula>
    </cfRule>
  </conditionalFormatting>
  <conditionalFormatting sqref="AH275">
    <cfRule type="expression" dxfId="1061" priority="1054">
      <formula>$AH275="Required Field"</formula>
    </cfRule>
  </conditionalFormatting>
  <conditionalFormatting sqref="AD275">
    <cfRule type="expression" dxfId="1060" priority="1053">
      <formula>$AD275="Required Field"</formula>
    </cfRule>
  </conditionalFormatting>
  <conditionalFormatting sqref="W277">
    <cfRule type="expression" dxfId="1059" priority="1052">
      <formula>$W277="Required Field"</formula>
    </cfRule>
  </conditionalFormatting>
  <conditionalFormatting sqref="X277">
    <cfRule type="expression" dxfId="1058" priority="1051">
      <formula>$X277="Required Field"</formula>
    </cfRule>
  </conditionalFormatting>
  <conditionalFormatting sqref="Y277:Z277">
    <cfRule type="expression" dxfId="1057" priority="1050">
      <formula>$Y277="Required Field"</formula>
    </cfRule>
  </conditionalFormatting>
  <conditionalFormatting sqref="AA277:AB277">
    <cfRule type="expression" dxfId="1056" priority="1049">
      <formula>$AA277="Required Field"</formula>
    </cfRule>
  </conditionalFormatting>
  <conditionalFormatting sqref="AC277">
    <cfRule type="expression" dxfId="1055" priority="1048">
      <formula>$AC277="Required Field"</formula>
    </cfRule>
  </conditionalFormatting>
  <conditionalFormatting sqref="AE277">
    <cfRule type="expression" dxfId="1054" priority="1047">
      <formula>$AE277="Required Field"</formula>
    </cfRule>
  </conditionalFormatting>
  <conditionalFormatting sqref="AG277">
    <cfRule type="expression" dxfId="1053" priority="1046">
      <formula>$AG277="Required Field"</formula>
    </cfRule>
  </conditionalFormatting>
  <conditionalFormatting sqref="AH277">
    <cfRule type="expression" dxfId="1052" priority="1045">
      <formula>$AH277="Required Field"</formula>
    </cfRule>
  </conditionalFormatting>
  <conditionalFormatting sqref="AD277">
    <cfRule type="expression" dxfId="1051" priority="1044">
      <formula>$AD277="Required Field"</formula>
    </cfRule>
  </conditionalFormatting>
  <conditionalFormatting sqref="AC279">
    <cfRule type="expression" dxfId="1050" priority="1043">
      <formula>$AC279="Required Field"</formula>
    </cfRule>
  </conditionalFormatting>
  <conditionalFormatting sqref="Y282:Z282">
    <cfRule type="expression" dxfId="1049" priority="1042">
      <formula>$Y282="Required Field"</formula>
    </cfRule>
  </conditionalFormatting>
  <conditionalFormatting sqref="AA282:AB282">
    <cfRule type="expression" dxfId="1048" priority="1041">
      <formula>$AA282="Required Field"</formula>
    </cfRule>
  </conditionalFormatting>
  <conditionalFormatting sqref="AC282">
    <cfRule type="expression" dxfId="1047" priority="1040">
      <formula>$AC282="Required Field"</formula>
    </cfRule>
  </conditionalFormatting>
  <conditionalFormatting sqref="AE282">
    <cfRule type="expression" dxfId="1046" priority="1039">
      <formula>$AE282="Required Field"</formula>
    </cfRule>
  </conditionalFormatting>
  <conditionalFormatting sqref="AG282">
    <cfRule type="expression" dxfId="1045" priority="1038">
      <formula>$AG282="Required Field"</formula>
    </cfRule>
  </conditionalFormatting>
  <conditionalFormatting sqref="AH282">
    <cfRule type="expression" dxfId="1044" priority="1037">
      <formula>$AH282="Required Field"</formula>
    </cfRule>
  </conditionalFormatting>
  <conditionalFormatting sqref="AD282">
    <cfRule type="expression" dxfId="1043" priority="1036">
      <formula>$AD282="Required Field"</formula>
    </cfRule>
  </conditionalFormatting>
  <conditionalFormatting sqref="X284">
    <cfRule type="expression" dxfId="1042" priority="1035">
      <formula>$X284="Required Field"</formula>
    </cfRule>
  </conditionalFormatting>
  <conditionalFormatting sqref="Y284:Z284">
    <cfRule type="expression" dxfId="1041" priority="1034">
      <formula>$Y284="Required Field"</formula>
    </cfRule>
  </conditionalFormatting>
  <conditionalFormatting sqref="AA284:AB284">
    <cfRule type="expression" dxfId="1040" priority="1033">
      <formula>$AA284="Required Field"</formula>
    </cfRule>
  </conditionalFormatting>
  <conditionalFormatting sqref="AC284">
    <cfRule type="expression" dxfId="1039" priority="1032">
      <formula>$AC284="Required Field"</formula>
    </cfRule>
  </conditionalFormatting>
  <conditionalFormatting sqref="AE284">
    <cfRule type="expression" dxfId="1038" priority="1031">
      <formula>$AE284="Required Field"</formula>
    </cfRule>
  </conditionalFormatting>
  <conditionalFormatting sqref="AG284">
    <cfRule type="expression" dxfId="1037" priority="1030">
      <formula>$AG284="Required Field"</formula>
    </cfRule>
  </conditionalFormatting>
  <conditionalFormatting sqref="AH284">
    <cfRule type="expression" dxfId="1036" priority="1029">
      <formula>$AH284="Required Field"</formula>
    </cfRule>
  </conditionalFormatting>
  <conditionalFormatting sqref="AD284">
    <cfRule type="expression" dxfId="1035" priority="1028">
      <formula>$AD284="Required Field"</formula>
    </cfRule>
  </conditionalFormatting>
  <conditionalFormatting sqref="AC289">
    <cfRule type="expression" dxfId="1034" priority="1027">
      <formula>$AC289="Required Field"</formula>
    </cfRule>
  </conditionalFormatting>
  <conditionalFormatting sqref="X290">
    <cfRule type="expression" dxfId="1033" priority="1026">
      <formula>$X290="Required Field"</formula>
    </cfRule>
  </conditionalFormatting>
  <conditionalFormatting sqref="Y290:Z290">
    <cfRule type="expression" dxfId="1032" priority="1025">
      <formula>$Y290="Required Field"</formula>
    </cfRule>
  </conditionalFormatting>
  <conditionalFormatting sqref="AA290:AB290">
    <cfRule type="expression" dxfId="1031" priority="1024">
      <formula>$AA290="Required Field"</formula>
    </cfRule>
  </conditionalFormatting>
  <conditionalFormatting sqref="AC290">
    <cfRule type="expression" dxfId="1030" priority="1023">
      <formula>$AC290="Required Field"</formula>
    </cfRule>
  </conditionalFormatting>
  <conditionalFormatting sqref="AE290">
    <cfRule type="expression" dxfId="1029" priority="1022">
      <formula>$AE290="Required Field"</formula>
    </cfRule>
  </conditionalFormatting>
  <conditionalFormatting sqref="AG290">
    <cfRule type="expression" dxfId="1028" priority="1021">
      <formula>$AG290="Required Field"</formula>
    </cfRule>
  </conditionalFormatting>
  <conditionalFormatting sqref="AH290">
    <cfRule type="expression" dxfId="1027" priority="1020">
      <formula>$AH290="Required Field"</formula>
    </cfRule>
  </conditionalFormatting>
  <conditionalFormatting sqref="AD290">
    <cfRule type="expression" dxfId="1026" priority="1019">
      <formula>$AD290="Required Field"</formula>
    </cfRule>
  </conditionalFormatting>
  <conditionalFormatting sqref="X292">
    <cfRule type="expression" dxfId="1025" priority="1018">
      <formula>$X292="Required Field"</formula>
    </cfRule>
  </conditionalFormatting>
  <conditionalFormatting sqref="Y292:Z292">
    <cfRule type="expression" dxfId="1024" priority="1017">
      <formula>$Y292="Required Field"</formula>
    </cfRule>
  </conditionalFormatting>
  <conditionalFormatting sqref="AA292:AB292">
    <cfRule type="expression" dxfId="1023" priority="1016">
      <formula>$AA292="Required Field"</formula>
    </cfRule>
  </conditionalFormatting>
  <conditionalFormatting sqref="AC292">
    <cfRule type="expression" dxfId="1022" priority="1015">
      <formula>$AC292="Required Field"</formula>
    </cfRule>
  </conditionalFormatting>
  <conditionalFormatting sqref="AE292">
    <cfRule type="expression" dxfId="1021" priority="1014">
      <formula>$AE292="Required Field"</formula>
    </cfRule>
  </conditionalFormatting>
  <conditionalFormatting sqref="AG292">
    <cfRule type="expression" dxfId="1020" priority="1013">
      <formula>$AG292="Required Field"</formula>
    </cfRule>
  </conditionalFormatting>
  <conditionalFormatting sqref="AH292">
    <cfRule type="expression" dxfId="1019" priority="1012">
      <formula>$AH292="Required Field"</formula>
    </cfRule>
  </conditionalFormatting>
  <conditionalFormatting sqref="AD292">
    <cfRule type="expression" dxfId="1018" priority="1011">
      <formula>$AD292="Required Field"</formula>
    </cfRule>
  </conditionalFormatting>
  <conditionalFormatting sqref="X296">
    <cfRule type="expression" dxfId="1017" priority="1010">
      <formula>$X296="Required Field"</formula>
    </cfRule>
  </conditionalFormatting>
  <conditionalFormatting sqref="Y296:Z296">
    <cfRule type="expression" dxfId="1016" priority="1009">
      <formula>$Y296="Required Field"</formula>
    </cfRule>
  </conditionalFormatting>
  <conditionalFormatting sqref="AA296:AB296">
    <cfRule type="expression" dxfId="1015" priority="1008">
      <formula>$AA296="Required Field"</formula>
    </cfRule>
  </conditionalFormatting>
  <conditionalFormatting sqref="AC296">
    <cfRule type="expression" dxfId="1014" priority="1007">
      <formula>$AC296="Required Field"</formula>
    </cfRule>
  </conditionalFormatting>
  <conditionalFormatting sqref="AE296">
    <cfRule type="expression" dxfId="1013" priority="1006">
      <formula>$AE296="Required Field"</formula>
    </cfRule>
  </conditionalFormatting>
  <conditionalFormatting sqref="AG296">
    <cfRule type="expression" dxfId="1012" priority="1005">
      <formula>$AG296="Required Field"</formula>
    </cfRule>
  </conditionalFormatting>
  <conditionalFormatting sqref="AH296">
    <cfRule type="expression" dxfId="1011" priority="1004">
      <formula>$AH296="Required Field"</formula>
    </cfRule>
  </conditionalFormatting>
  <conditionalFormatting sqref="AD296">
    <cfRule type="expression" dxfId="1010" priority="1003">
      <formula>$AD296="Required Field"</formula>
    </cfRule>
  </conditionalFormatting>
  <conditionalFormatting sqref="W297">
    <cfRule type="expression" dxfId="1009" priority="1002">
      <formula>$W297="Required Field"</formula>
    </cfRule>
  </conditionalFormatting>
  <conditionalFormatting sqref="X297">
    <cfRule type="expression" dxfId="1008" priority="1001">
      <formula>$X297="Required Field"</formula>
    </cfRule>
  </conditionalFormatting>
  <conditionalFormatting sqref="Y297:Z297">
    <cfRule type="expression" dxfId="1007" priority="1000">
      <formula>$Y297="Required Field"</formula>
    </cfRule>
  </conditionalFormatting>
  <conditionalFormatting sqref="AA297:AB297">
    <cfRule type="expression" dxfId="1006" priority="999">
      <formula>$AA297="Required Field"</formula>
    </cfRule>
  </conditionalFormatting>
  <conditionalFormatting sqref="AC297">
    <cfRule type="expression" dxfId="1005" priority="998">
      <formula>$AC297="Required Field"</formula>
    </cfRule>
  </conditionalFormatting>
  <conditionalFormatting sqref="AE297">
    <cfRule type="expression" dxfId="1004" priority="997">
      <formula>$AE297="Required Field"</formula>
    </cfRule>
  </conditionalFormatting>
  <conditionalFormatting sqref="AG297">
    <cfRule type="expression" dxfId="1003" priority="996">
      <formula>$AG297="Required Field"</formula>
    </cfRule>
  </conditionalFormatting>
  <conditionalFormatting sqref="AH297">
    <cfRule type="expression" dxfId="1002" priority="995">
      <formula>$AH297="Required Field"</formula>
    </cfRule>
  </conditionalFormatting>
  <conditionalFormatting sqref="AD297">
    <cfRule type="expression" dxfId="1001" priority="994">
      <formula>$AD297="Required Field"</formula>
    </cfRule>
  </conditionalFormatting>
  <conditionalFormatting sqref="Y298:Z298">
    <cfRule type="expression" dxfId="1000" priority="993">
      <formula>$Y298="Required Field"</formula>
    </cfRule>
  </conditionalFormatting>
  <conditionalFormatting sqref="AA298:AB298">
    <cfRule type="expression" dxfId="999" priority="992">
      <formula>$AA298="Required Field"</formula>
    </cfRule>
  </conditionalFormatting>
  <conditionalFormatting sqref="AC298">
    <cfRule type="expression" dxfId="998" priority="991">
      <formula>$AC298="Required Field"</formula>
    </cfRule>
  </conditionalFormatting>
  <conditionalFormatting sqref="AE298">
    <cfRule type="expression" dxfId="997" priority="990">
      <formula>$AE298="Required Field"</formula>
    </cfRule>
  </conditionalFormatting>
  <conditionalFormatting sqref="AG298">
    <cfRule type="expression" dxfId="996" priority="989">
      <formula>$AG298="Required Field"</formula>
    </cfRule>
  </conditionalFormatting>
  <conditionalFormatting sqref="AH298">
    <cfRule type="expression" dxfId="995" priority="988">
      <formula>$AH298="Required Field"</formula>
    </cfRule>
  </conditionalFormatting>
  <conditionalFormatting sqref="AD298">
    <cfRule type="expression" dxfId="994" priority="987">
      <formula>$AD298="Required Field"</formula>
    </cfRule>
  </conditionalFormatting>
  <conditionalFormatting sqref="X307">
    <cfRule type="expression" dxfId="993" priority="986">
      <formula>$X307="Required Field"</formula>
    </cfRule>
  </conditionalFormatting>
  <conditionalFormatting sqref="Y307:Z307">
    <cfRule type="expression" dxfId="992" priority="985">
      <formula>$Y307="Required Field"</formula>
    </cfRule>
  </conditionalFormatting>
  <conditionalFormatting sqref="AA307:AB307">
    <cfRule type="expression" dxfId="991" priority="984">
      <formula>$AA307="Required Field"</formula>
    </cfRule>
  </conditionalFormatting>
  <conditionalFormatting sqref="AC307">
    <cfRule type="expression" dxfId="990" priority="983">
      <formula>$AC307="Required Field"</formula>
    </cfRule>
  </conditionalFormatting>
  <conditionalFormatting sqref="AE307">
    <cfRule type="expression" dxfId="989" priority="982">
      <formula>$AE307="Required Field"</formula>
    </cfRule>
  </conditionalFormatting>
  <conditionalFormatting sqref="AG307">
    <cfRule type="expression" dxfId="988" priority="981">
      <formula>$AG307="Required Field"</formula>
    </cfRule>
  </conditionalFormatting>
  <conditionalFormatting sqref="AH307">
    <cfRule type="expression" dxfId="987" priority="980">
      <formula>$AH307="Required Field"</formula>
    </cfRule>
  </conditionalFormatting>
  <conditionalFormatting sqref="AD307">
    <cfRule type="expression" dxfId="986" priority="979">
      <formula>$AD307="Required Field"</formula>
    </cfRule>
  </conditionalFormatting>
  <conditionalFormatting sqref="W314">
    <cfRule type="expression" dxfId="985" priority="978">
      <formula>$V314="Required Field"</formula>
    </cfRule>
  </conditionalFormatting>
  <conditionalFormatting sqref="AC318">
    <cfRule type="expression" dxfId="984" priority="977">
      <formula>$AC318="Required Field"</formula>
    </cfRule>
  </conditionalFormatting>
  <conditionalFormatting sqref="AE318">
    <cfRule type="expression" dxfId="983" priority="976">
      <formula>$AE318="Required Field"</formula>
    </cfRule>
  </conditionalFormatting>
  <conditionalFormatting sqref="AG318">
    <cfRule type="expression" dxfId="982" priority="975">
      <formula>$AG318="Required Field"</formula>
    </cfRule>
  </conditionalFormatting>
  <conditionalFormatting sqref="AH318">
    <cfRule type="expression" dxfId="981" priority="974">
      <formula>$AH318="Required Field"</formula>
    </cfRule>
  </conditionalFormatting>
  <conditionalFormatting sqref="AD318">
    <cfRule type="expression" dxfId="980" priority="973">
      <formula>$AD318="Required Field"</formula>
    </cfRule>
  </conditionalFormatting>
  <conditionalFormatting sqref="X319">
    <cfRule type="expression" dxfId="979" priority="972">
      <formula>$X319="Required Field"</formula>
    </cfRule>
  </conditionalFormatting>
  <conditionalFormatting sqref="Y319:Z319">
    <cfRule type="expression" dxfId="978" priority="971">
      <formula>$Y319="Required Field"</formula>
    </cfRule>
  </conditionalFormatting>
  <conditionalFormatting sqref="AA319:AB319">
    <cfRule type="expression" dxfId="977" priority="970">
      <formula>$AA319="Required Field"</formula>
    </cfRule>
  </conditionalFormatting>
  <conditionalFormatting sqref="AC319">
    <cfRule type="expression" dxfId="976" priority="969">
      <formula>$AC319="Required Field"</formula>
    </cfRule>
  </conditionalFormatting>
  <conditionalFormatting sqref="AE319">
    <cfRule type="expression" dxfId="975" priority="968">
      <formula>$AE319="Required Field"</formula>
    </cfRule>
  </conditionalFormatting>
  <conditionalFormatting sqref="AG319">
    <cfRule type="expression" dxfId="974" priority="967">
      <formula>$AG319="Required Field"</formula>
    </cfRule>
  </conditionalFormatting>
  <conditionalFormatting sqref="AH319">
    <cfRule type="expression" dxfId="973" priority="966">
      <formula>$AH319="Required Field"</formula>
    </cfRule>
  </conditionalFormatting>
  <conditionalFormatting sqref="AD319">
    <cfRule type="expression" dxfId="972" priority="965">
      <formula>$AD319="Required Field"</formula>
    </cfRule>
  </conditionalFormatting>
  <conditionalFormatting sqref="X320">
    <cfRule type="expression" dxfId="971" priority="964">
      <formula>$X320="Required Field"</formula>
    </cfRule>
  </conditionalFormatting>
  <conditionalFormatting sqref="Y320:Z320">
    <cfRule type="expression" dxfId="970" priority="963">
      <formula>$Y320="Required Field"</formula>
    </cfRule>
  </conditionalFormatting>
  <conditionalFormatting sqref="AA320:AB320">
    <cfRule type="expression" dxfId="969" priority="962">
      <formula>$AA320="Required Field"</formula>
    </cfRule>
  </conditionalFormatting>
  <conditionalFormatting sqref="AC320">
    <cfRule type="expression" dxfId="968" priority="961">
      <formula>$AC320="Required Field"</formula>
    </cfRule>
  </conditionalFormatting>
  <conditionalFormatting sqref="AE320">
    <cfRule type="expression" dxfId="967" priority="960">
      <formula>$AE320="Required Field"</formula>
    </cfRule>
  </conditionalFormatting>
  <conditionalFormatting sqref="AG320">
    <cfRule type="expression" dxfId="966" priority="959">
      <formula>$AG320="Required Field"</formula>
    </cfRule>
  </conditionalFormatting>
  <conditionalFormatting sqref="AH320">
    <cfRule type="expression" dxfId="965" priority="958">
      <formula>$AH320="Required Field"</formula>
    </cfRule>
  </conditionalFormatting>
  <conditionalFormatting sqref="AD320">
    <cfRule type="expression" dxfId="964" priority="957">
      <formula>$AD320="Required Field"</formula>
    </cfRule>
  </conditionalFormatting>
  <conditionalFormatting sqref="X323">
    <cfRule type="expression" dxfId="963" priority="956">
      <formula>$X323="Required Field"</formula>
    </cfRule>
  </conditionalFormatting>
  <conditionalFormatting sqref="Y323:Z323">
    <cfRule type="expression" dxfId="962" priority="955">
      <formula>$Y323="Required Field"</formula>
    </cfRule>
  </conditionalFormatting>
  <conditionalFormatting sqref="AA323:AB323">
    <cfRule type="expression" dxfId="961" priority="954">
      <formula>$AA323="Required Field"</formula>
    </cfRule>
  </conditionalFormatting>
  <conditionalFormatting sqref="AC323">
    <cfRule type="expression" dxfId="960" priority="953">
      <formula>$AC323="Required Field"</formula>
    </cfRule>
  </conditionalFormatting>
  <conditionalFormatting sqref="AE323">
    <cfRule type="expression" dxfId="959" priority="952">
      <formula>$AE323="Required Field"</formula>
    </cfRule>
  </conditionalFormatting>
  <conditionalFormatting sqref="AG323">
    <cfRule type="expression" dxfId="958" priority="951">
      <formula>$AG323="Required Field"</formula>
    </cfRule>
  </conditionalFormatting>
  <conditionalFormatting sqref="AH323">
    <cfRule type="expression" dxfId="957" priority="950">
      <formula>$AH323="Required Field"</formula>
    </cfRule>
  </conditionalFormatting>
  <conditionalFormatting sqref="AD323">
    <cfRule type="expression" dxfId="956" priority="949">
      <formula>$AD323="Required Field"</formula>
    </cfRule>
  </conditionalFormatting>
  <conditionalFormatting sqref="AA325:AB325">
    <cfRule type="expression" dxfId="955" priority="948">
      <formula>$AA325="Required Field"</formula>
    </cfRule>
  </conditionalFormatting>
  <conditionalFormatting sqref="AC325">
    <cfRule type="expression" dxfId="954" priority="947">
      <formula>$AC325="Required Field"</formula>
    </cfRule>
  </conditionalFormatting>
  <conditionalFormatting sqref="AC326">
    <cfRule type="expression" dxfId="953" priority="945">
      <formula>$AC326="Required Field"</formula>
    </cfRule>
  </conditionalFormatting>
  <conditionalFormatting sqref="AA327">
    <cfRule type="expression" dxfId="952" priority="944">
      <formula>$AA327="Required Field"</formula>
    </cfRule>
  </conditionalFormatting>
  <conditionalFormatting sqref="AC327">
    <cfRule type="expression" dxfId="951" priority="943">
      <formula>$AC327="Required Field"</formula>
    </cfRule>
  </conditionalFormatting>
  <conditionalFormatting sqref="AA329">
    <cfRule type="expression" dxfId="950" priority="942">
      <formula>$AA329="Required Field"</formula>
    </cfRule>
  </conditionalFormatting>
  <conditionalFormatting sqref="AC329">
    <cfRule type="expression" dxfId="949" priority="941">
      <formula>$AC329="Required Field"</formula>
    </cfRule>
  </conditionalFormatting>
  <conditionalFormatting sqref="X331">
    <cfRule type="expression" dxfId="948" priority="940">
      <formula>$X331="Required Field"</formula>
    </cfRule>
  </conditionalFormatting>
  <conditionalFormatting sqref="Y331:Z331">
    <cfRule type="expression" dxfId="947" priority="939">
      <formula>$Y331="Required Field"</formula>
    </cfRule>
  </conditionalFormatting>
  <conditionalFormatting sqref="AA331:AB331">
    <cfRule type="expression" dxfId="946" priority="938">
      <formula>$AA331="Required Field"</formula>
    </cfRule>
  </conditionalFormatting>
  <conditionalFormatting sqref="AC331">
    <cfRule type="expression" dxfId="945" priority="937">
      <formula>$AC331="Required Field"</formula>
    </cfRule>
  </conditionalFormatting>
  <conditionalFormatting sqref="AE331">
    <cfRule type="expression" dxfId="944" priority="936">
      <formula>$AE331="Required Field"</formula>
    </cfRule>
  </conditionalFormatting>
  <conditionalFormatting sqref="AG331">
    <cfRule type="expression" dxfId="943" priority="935">
      <formula>$AG331="Required Field"</formula>
    </cfRule>
  </conditionalFormatting>
  <conditionalFormatting sqref="AH331">
    <cfRule type="expression" dxfId="942" priority="934">
      <formula>$AH331="Required Field"</formula>
    </cfRule>
  </conditionalFormatting>
  <conditionalFormatting sqref="AD331">
    <cfRule type="expression" dxfId="941" priority="933">
      <formula>$AD331="Required Field"</formula>
    </cfRule>
  </conditionalFormatting>
  <conditionalFormatting sqref="AA333:AB333">
    <cfRule type="expression" dxfId="940" priority="932">
      <formula>$AA333="Required Field"</formula>
    </cfRule>
  </conditionalFormatting>
  <conditionalFormatting sqref="AC333">
    <cfRule type="expression" dxfId="939" priority="931">
      <formula>$AC333="Required Field"</formula>
    </cfRule>
  </conditionalFormatting>
  <conditionalFormatting sqref="AA335">
    <cfRule type="expression" dxfId="938" priority="930">
      <formula>$AA335="Required Field"</formula>
    </cfRule>
  </conditionalFormatting>
  <conditionalFormatting sqref="AC335">
    <cfRule type="expression" dxfId="937" priority="929">
      <formula>$AC335="Required Field"</formula>
    </cfRule>
  </conditionalFormatting>
  <conditionalFormatting sqref="AC336">
    <cfRule type="expression" dxfId="936" priority="928">
      <formula>$AC336="Required Field"</formula>
    </cfRule>
  </conditionalFormatting>
  <conditionalFormatting sqref="AC342">
    <cfRule type="expression" dxfId="935" priority="927">
      <formula>$AC342="Required Field"</formula>
    </cfRule>
  </conditionalFormatting>
  <conditionalFormatting sqref="AC345">
    <cfRule type="expression" dxfId="934" priority="926">
      <formula>$AC345="Required Field"</formula>
    </cfRule>
  </conditionalFormatting>
  <conditionalFormatting sqref="X349">
    <cfRule type="expression" dxfId="933" priority="925">
      <formula>$X349="Required Field"</formula>
    </cfRule>
  </conditionalFormatting>
  <conditionalFormatting sqref="Y349:Z349">
    <cfRule type="expression" dxfId="932" priority="924">
      <formula>$Y349="Required Field"</formula>
    </cfRule>
  </conditionalFormatting>
  <conditionalFormatting sqref="AA349:AB349">
    <cfRule type="expression" dxfId="931" priority="923">
      <formula>$AA349="Required Field"</formula>
    </cfRule>
  </conditionalFormatting>
  <conditionalFormatting sqref="AC349">
    <cfRule type="expression" dxfId="930" priority="922">
      <formula>$AC349="Required Field"</formula>
    </cfRule>
  </conditionalFormatting>
  <conditionalFormatting sqref="AE349">
    <cfRule type="expression" dxfId="929" priority="921">
      <formula>$AE349="Required Field"</formula>
    </cfRule>
  </conditionalFormatting>
  <conditionalFormatting sqref="AG349">
    <cfRule type="expression" dxfId="928" priority="920">
      <formula>$AG349="Required Field"</formula>
    </cfRule>
  </conditionalFormatting>
  <conditionalFormatting sqref="AH349">
    <cfRule type="expression" dxfId="927" priority="919">
      <formula>$AH349="Required Field"</formula>
    </cfRule>
  </conditionalFormatting>
  <conditionalFormatting sqref="AD349">
    <cfRule type="expression" dxfId="926" priority="918">
      <formula>$AD349="Required Field"</formula>
    </cfRule>
  </conditionalFormatting>
  <conditionalFormatting sqref="X351">
    <cfRule type="expression" dxfId="925" priority="917">
      <formula>$X351="Required Field"</formula>
    </cfRule>
  </conditionalFormatting>
  <conditionalFormatting sqref="Y351:Z351">
    <cfRule type="expression" dxfId="924" priority="916">
      <formula>$Y351="Required Field"</formula>
    </cfRule>
  </conditionalFormatting>
  <conditionalFormatting sqref="AA351:AB351">
    <cfRule type="expression" dxfId="923" priority="915">
      <formula>$AA351="Required Field"</formula>
    </cfRule>
  </conditionalFormatting>
  <conditionalFormatting sqref="AE351">
    <cfRule type="expression" dxfId="922" priority="914">
      <formula>$AE351="Required Field"</formula>
    </cfRule>
  </conditionalFormatting>
  <conditionalFormatting sqref="AG351">
    <cfRule type="expression" dxfId="921" priority="913">
      <formula>$AG351="Required Field"</formula>
    </cfRule>
  </conditionalFormatting>
  <conditionalFormatting sqref="AH351">
    <cfRule type="expression" dxfId="920" priority="912">
      <formula>$AH351="Required Field"</formula>
    </cfRule>
  </conditionalFormatting>
  <conditionalFormatting sqref="AD351">
    <cfRule type="expression" dxfId="919" priority="911">
      <formula>$AD351="Required Field"</formula>
    </cfRule>
  </conditionalFormatting>
  <conditionalFormatting sqref="AC351">
    <cfRule type="expression" dxfId="918" priority="910">
      <formula>$AC351="Required Field"</formula>
    </cfRule>
  </conditionalFormatting>
  <conditionalFormatting sqref="X353:X354">
    <cfRule type="expression" dxfId="917" priority="909">
      <formula>$X353="Required Field"</formula>
    </cfRule>
  </conditionalFormatting>
  <conditionalFormatting sqref="Y353:Z354">
    <cfRule type="expression" dxfId="916" priority="908">
      <formula>$Y353="Required Field"</formula>
    </cfRule>
  </conditionalFormatting>
  <conditionalFormatting sqref="AA353:AB354">
    <cfRule type="expression" dxfId="915" priority="907">
      <formula>$AA353="Required Field"</formula>
    </cfRule>
  </conditionalFormatting>
  <conditionalFormatting sqref="AC353:AC354">
    <cfRule type="expression" dxfId="914" priority="906">
      <formula>$AC353="Required Field"</formula>
    </cfRule>
  </conditionalFormatting>
  <conditionalFormatting sqref="AE353:AE354">
    <cfRule type="expression" dxfId="913" priority="905">
      <formula>$AE353="Required Field"</formula>
    </cfRule>
  </conditionalFormatting>
  <conditionalFormatting sqref="AG353:AG354">
    <cfRule type="expression" dxfId="912" priority="904">
      <formula>$AG353="Required Field"</formula>
    </cfRule>
  </conditionalFormatting>
  <conditionalFormatting sqref="AH353:AH354">
    <cfRule type="expression" dxfId="911" priority="903">
      <formula>$AH353="Required Field"</formula>
    </cfRule>
  </conditionalFormatting>
  <conditionalFormatting sqref="AD353:AD354">
    <cfRule type="expression" dxfId="910" priority="902">
      <formula>$AD353="Required Field"</formula>
    </cfRule>
  </conditionalFormatting>
  <conditionalFormatting sqref="W355">
    <cfRule type="expression" dxfId="909" priority="901">
      <formula>$W355="Required Field"</formula>
    </cfRule>
  </conditionalFormatting>
  <conditionalFormatting sqref="X355">
    <cfRule type="expression" dxfId="908" priority="900">
      <formula>$X355="Required Field"</formula>
    </cfRule>
  </conditionalFormatting>
  <conditionalFormatting sqref="Y355:Z355">
    <cfRule type="expression" dxfId="907" priority="899">
      <formula>$Y355="Required Field"</formula>
    </cfRule>
  </conditionalFormatting>
  <conditionalFormatting sqref="AA355:AB355">
    <cfRule type="expression" dxfId="906" priority="898">
      <formula>$AA355="Required Field"</formula>
    </cfRule>
  </conditionalFormatting>
  <conditionalFormatting sqref="AC355">
    <cfRule type="expression" dxfId="905" priority="897">
      <formula>$AC355="Required Field"</formula>
    </cfRule>
  </conditionalFormatting>
  <conditionalFormatting sqref="AE355">
    <cfRule type="expression" dxfId="904" priority="896">
      <formula>$AE355="Required Field"</formula>
    </cfRule>
  </conditionalFormatting>
  <conditionalFormatting sqref="AG355">
    <cfRule type="expression" dxfId="903" priority="895">
      <formula>$AG355="Required Field"</formula>
    </cfRule>
  </conditionalFormatting>
  <conditionalFormatting sqref="AH355">
    <cfRule type="expression" dxfId="902" priority="894">
      <formula>$AH355="Required Field"</formula>
    </cfRule>
  </conditionalFormatting>
  <conditionalFormatting sqref="AD355">
    <cfRule type="expression" dxfId="901" priority="893">
      <formula>$AD355="Required Field"</formula>
    </cfRule>
  </conditionalFormatting>
  <conditionalFormatting sqref="W356">
    <cfRule type="expression" dxfId="900" priority="892">
      <formula>$W356="Required Field"</formula>
    </cfRule>
  </conditionalFormatting>
  <conditionalFormatting sqref="Y356:Z356">
    <cfRule type="expression" dxfId="899" priority="890">
      <formula>$Y356="Required Field"</formula>
    </cfRule>
  </conditionalFormatting>
  <conditionalFormatting sqref="AA356:AB356">
    <cfRule type="expression" dxfId="898" priority="889">
      <formula>$AA356="Required Field"</formula>
    </cfRule>
  </conditionalFormatting>
  <conditionalFormatting sqref="AC356">
    <cfRule type="expression" dxfId="897" priority="888">
      <formula>$AC356="Required Field"</formula>
    </cfRule>
  </conditionalFormatting>
  <conditionalFormatting sqref="AE356">
    <cfRule type="expression" dxfId="896" priority="887">
      <formula>$AE356="Required Field"</formula>
    </cfRule>
  </conditionalFormatting>
  <conditionalFormatting sqref="AG356">
    <cfRule type="expression" dxfId="895" priority="886">
      <formula>$AG356="Required Field"</formula>
    </cfRule>
  </conditionalFormatting>
  <conditionalFormatting sqref="AH356">
    <cfRule type="expression" dxfId="894" priority="885">
      <formula>$AH356="Required Field"</formula>
    </cfRule>
  </conditionalFormatting>
  <conditionalFormatting sqref="AD356">
    <cfRule type="expression" dxfId="893" priority="884">
      <formula>$AD356="Required Field"</formula>
    </cfRule>
  </conditionalFormatting>
  <conditionalFormatting sqref="X360">
    <cfRule type="expression" dxfId="892" priority="883">
      <formula>$X360="Required Field"</formula>
    </cfRule>
  </conditionalFormatting>
  <conditionalFormatting sqref="Y360:Z360">
    <cfRule type="expression" dxfId="891" priority="882">
      <formula>$Y360="Required Field"</formula>
    </cfRule>
  </conditionalFormatting>
  <conditionalFormatting sqref="AA360:AB360">
    <cfRule type="expression" dxfId="890" priority="881">
      <formula>$AA360="Required Field"</formula>
    </cfRule>
  </conditionalFormatting>
  <conditionalFormatting sqref="AC360">
    <cfRule type="expression" dxfId="889" priority="880">
      <formula>$AC360="Required Field"</formula>
    </cfRule>
  </conditionalFormatting>
  <conditionalFormatting sqref="AE360">
    <cfRule type="expression" dxfId="888" priority="879">
      <formula>$AE360="Required Field"</formula>
    </cfRule>
  </conditionalFormatting>
  <conditionalFormatting sqref="AG360">
    <cfRule type="expression" dxfId="887" priority="878">
      <formula>$AG360="Required Field"</formula>
    </cfRule>
  </conditionalFormatting>
  <conditionalFormatting sqref="AH360">
    <cfRule type="expression" dxfId="886" priority="877">
      <formula>$AH360="Required Field"</formula>
    </cfRule>
  </conditionalFormatting>
  <conditionalFormatting sqref="AD360">
    <cfRule type="expression" dxfId="885" priority="876">
      <formula>$AD360="Required Field"</formula>
    </cfRule>
  </conditionalFormatting>
  <conditionalFormatting sqref="W363">
    <cfRule type="expression" dxfId="884" priority="875">
      <formula>$W363="Required Field"</formula>
    </cfRule>
  </conditionalFormatting>
  <conditionalFormatting sqref="Y363:Z363">
    <cfRule type="expression" dxfId="883" priority="873">
      <formula>$Y363="Required Field"</formula>
    </cfRule>
  </conditionalFormatting>
  <conditionalFormatting sqref="AA363:AB363">
    <cfRule type="expression" dxfId="882" priority="872">
      <formula>$AA363="Required Field"</formula>
    </cfRule>
  </conditionalFormatting>
  <conditionalFormatting sqref="AC363">
    <cfRule type="expression" dxfId="881" priority="871">
      <formula>$AC363="Required Field"</formula>
    </cfRule>
  </conditionalFormatting>
  <conditionalFormatting sqref="AE363">
    <cfRule type="expression" dxfId="880" priority="870">
      <formula>$AE363="Required Field"</formula>
    </cfRule>
  </conditionalFormatting>
  <conditionalFormatting sqref="AG363">
    <cfRule type="expression" dxfId="879" priority="869">
      <formula>$AG363="Required Field"</formula>
    </cfRule>
  </conditionalFormatting>
  <conditionalFormatting sqref="AH363">
    <cfRule type="expression" dxfId="878" priority="868">
      <formula>$AH363="Required Field"</formula>
    </cfRule>
  </conditionalFormatting>
  <conditionalFormatting sqref="AD363">
    <cfRule type="expression" dxfId="877" priority="867">
      <formula>$AD363="Required Field"</formula>
    </cfRule>
  </conditionalFormatting>
  <conditionalFormatting sqref="W364">
    <cfRule type="expression" dxfId="876" priority="866">
      <formula>$W364="Required Field"</formula>
    </cfRule>
  </conditionalFormatting>
  <conditionalFormatting sqref="Y364:Z364">
    <cfRule type="expression" dxfId="875" priority="864">
      <formula>$Y364="Required Field"</formula>
    </cfRule>
  </conditionalFormatting>
  <conditionalFormatting sqref="AA364:AB364">
    <cfRule type="expression" dxfId="874" priority="863">
      <formula>$AA364="Required Field"</formula>
    </cfRule>
  </conditionalFormatting>
  <conditionalFormatting sqref="AC364">
    <cfRule type="expression" dxfId="873" priority="862">
      <formula>$AC364="Required Field"</formula>
    </cfRule>
  </conditionalFormatting>
  <conditionalFormatting sqref="AE364">
    <cfRule type="expression" dxfId="872" priority="861">
      <formula>$AE364="Required Field"</formula>
    </cfRule>
  </conditionalFormatting>
  <conditionalFormatting sqref="AG364">
    <cfRule type="expression" dxfId="871" priority="860">
      <formula>$AG364="Required Field"</formula>
    </cfRule>
  </conditionalFormatting>
  <conditionalFormatting sqref="AH364">
    <cfRule type="expression" dxfId="870" priority="859">
      <formula>$AH364="Required Field"</formula>
    </cfRule>
  </conditionalFormatting>
  <conditionalFormatting sqref="AD364">
    <cfRule type="expression" dxfId="869" priority="858">
      <formula>$AD364="Required Field"</formula>
    </cfRule>
  </conditionalFormatting>
  <conditionalFormatting sqref="W365">
    <cfRule type="expression" dxfId="868" priority="857">
      <formula>$W365="Required Field"</formula>
    </cfRule>
  </conditionalFormatting>
  <conditionalFormatting sqref="X365">
    <cfRule type="expression" dxfId="867" priority="856">
      <formula>$X365="Required Field"</formula>
    </cfRule>
  </conditionalFormatting>
  <conditionalFormatting sqref="Y365:Z365">
    <cfRule type="expression" dxfId="866" priority="855">
      <formula>$Y365="Required Field"</formula>
    </cfRule>
  </conditionalFormatting>
  <conditionalFormatting sqref="AA365:AB365">
    <cfRule type="expression" dxfId="865" priority="854">
      <formula>$AA365="Required Field"</formula>
    </cfRule>
  </conditionalFormatting>
  <conditionalFormatting sqref="AC365">
    <cfRule type="expression" dxfId="864" priority="853">
      <formula>$AC365="Required Field"</formula>
    </cfRule>
  </conditionalFormatting>
  <conditionalFormatting sqref="AE365">
    <cfRule type="expression" dxfId="863" priority="852">
      <formula>$AE365="Required Field"</formula>
    </cfRule>
  </conditionalFormatting>
  <conditionalFormatting sqref="AG365">
    <cfRule type="expression" dxfId="862" priority="851">
      <formula>$AG365="Required Field"</formula>
    </cfRule>
  </conditionalFormatting>
  <conditionalFormatting sqref="AH365">
    <cfRule type="expression" dxfId="861" priority="850">
      <formula>$AH365="Required Field"</formula>
    </cfRule>
  </conditionalFormatting>
  <conditionalFormatting sqref="AD365">
    <cfRule type="expression" dxfId="860" priority="849">
      <formula>$AD365="Required Field"</formula>
    </cfRule>
  </conditionalFormatting>
  <conditionalFormatting sqref="X364">
    <cfRule type="expression" dxfId="859" priority="848">
      <formula>$X364="Required Field"</formula>
    </cfRule>
  </conditionalFormatting>
  <conditionalFormatting sqref="X363">
    <cfRule type="expression" dxfId="858" priority="847">
      <formula>$X363="Required Field"</formula>
    </cfRule>
  </conditionalFormatting>
  <conditionalFormatting sqref="X356">
    <cfRule type="expression" dxfId="857" priority="846">
      <formula>$X356="Required Field"</formula>
    </cfRule>
  </conditionalFormatting>
  <conditionalFormatting sqref="X352">
    <cfRule type="expression" dxfId="856" priority="845">
      <formula>$X352="Required Field"</formula>
    </cfRule>
  </conditionalFormatting>
  <conditionalFormatting sqref="W366">
    <cfRule type="expression" dxfId="855" priority="844">
      <formula>$W366="Required Field"</formula>
    </cfRule>
  </conditionalFormatting>
  <conditionalFormatting sqref="X366">
    <cfRule type="expression" dxfId="854" priority="843">
      <formula>$X366="Required Field"</formula>
    </cfRule>
  </conditionalFormatting>
  <conditionalFormatting sqref="Y366:Z366">
    <cfRule type="expression" dxfId="853" priority="842">
      <formula>$Y366="Required Field"</formula>
    </cfRule>
  </conditionalFormatting>
  <conditionalFormatting sqref="AA366:AB366">
    <cfRule type="expression" dxfId="852" priority="841">
      <formula>$AA366="Required Field"</formula>
    </cfRule>
  </conditionalFormatting>
  <conditionalFormatting sqref="AC366">
    <cfRule type="expression" dxfId="851" priority="840">
      <formula>$AC366="Required Field"</formula>
    </cfRule>
  </conditionalFormatting>
  <conditionalFormatting sqref="AE366">
    <cfRule type="expression" dxfId="850" priority="839">
      <formula>$AE366="Required Field"</formula>
    </cfRule>
  </conditionalFormatting>
  <conditionalFormatting sqref="AG366">
    <cfRule type="expression" dxfId="849" priority="838">
      <formula>$AG366="Required Field"</formula>
    </cfRule>
  </conditionalFormatting>
  <conditionalFormatting sqref="AH366">
    <cfRule type="expression" dxfId="848" priority="837">
      <formula>$AH366="Required Field"</formula>
    </cfRule>
  </conditionalFormatting>
  <conditionalFormatting sqref="AD366">
    <cfRule type="expression" dxfId="847" priority="836">
      <formula>$AD366="Required Field"</formula>
    </cfRule>
  </conditionalFormatting>
  <conditionalFormatting sqref="W367">
    <cfRule type="expression" dxfId="846" priority="835">
      <formula>$W367="Required Field"</formula>
    </cfRule>
  </conditionalFormatting>
  <conditionalFormatting sqref="X367">
    <cfRule type="expression" dxfId="845" priority="834">
      <formula>$X367="Required Field"</formula>
    </cfRule>
  </conditionalFormatting>
  <conditionalFormatting sqref="Y367:Z367">
    <cfRule type="expression" dxfId="844" priority="833">
      <formula>$Y367="Required Field"</formula>
    </cfRule>
  </conditionalFormatting>
  <conditionalFormatting sqref="AA367:AB367">
    <cfRule type="expression" dxfId="843" priority="832">
      <formula>$AA367="Required Field"</formula>
    </cfRule>
  </conditionalFormatting>
  <conditionalFormatting sqref="AC367">
    <cfRule type="expression" dxfId="842" priority="831">
      <formula>$AC367="Required Field"</formula>
    </cfRule>
  </conditionalFormatting>
  <conditionalFormatting sqref="AE367">
    <cfRule type="expression" dxfId="841" priority="830">
      <formula>$AE367="Required Field"</formula>
    </cfRule>
  </conditionalFormatting>
  <conditionalFormatting sqref="AG367">
    <cfRule type="expression" dxfId="840" priority="829">
      <formula>$AG367="Required Field"</formula>
    </cfRule>
  </conditionalFormatting>
  <conditionalFormatting sqref="AH367">
    <cfRule type="expression" dxfId="839" priority="828">
      <formula>$AH367="Required Field"</formula>
    </cfRule>
  </conditionalFormatting>
  <conditionalFormatting sqref="AD367">
    <cfRule type="expression" dxfId="838" priority="827">
      <formula>$AD367="Required Field"</formula>
    </cfRule>
  </conditionalFormatting>
  <conditionalFormatting sqref="Y368:Z368">
    <cfRule type="expression" dxfId="837" priority="826">
      <formula>$Y368="Required Field"</formula>
    </cfRule>
  </conditionalFormatting>
  <conditionalFormatting sqref="AA368:AB368">
    <cfRule type="expression" dxfId="836" priority="825">
      <formula>$AA368="Required Field"</formula>
    </cfRule>
  </conditionalFormatting>
  <conditionalFormatting sqref="AC368">
    <cfRule type="expression" dxfId="835" priority="824">
      <formula>$AC368="Required Field"</formula>
    </cfRule>
  </conditionalFormatting>
  <conditionalFormatting sqref="AE368">
    <cfRule type="expression" dxfId="834" priority="823">
      <formula>$AE368="Required Field"</formula>
    </cfRule>
  </conditionalFormatting>
  <conditionalFormatting sqref="AG368">
    <cfRule type="expression" dxfId="833" priority="822">
      <formula>$AG368="Required Field"</formula>
    </cfRule>
  </conditionalFormatting>
  <conditionalFormatting sqref="AH368">
    <cfRule type="expression" dxfId="832" priority="821">
      <formula>$AH368="Required Field"</formula>
    </cfRule>
  </conditionalFormatting>
  <conditionalFormatting sqref="AD368">
    <cfRule type="expression" dxfId="831" priority="820">
      <formula>$AD368="Required Field"</formula>
    </cfRule>
  </conditionalFormatting>
  <conditionalFormatting sqref="X373">
    <cfRule type="expression" dxfId="830" priority="819">
      <formula>$X373="Required Field"</formula>
    </cfRule>
  </conditionalFormatting>
  <conditionalFormatting sqref="Y373:Z373">
    <cfRule type="expression" dxfId="829" priority="818">
      <formula>$Y373="Required Field"</formula>
    </cfRule>
  </conditionalFormatting>
  <conditionalFormatting sqref="AA373:AB373">
    <cfRule type="expression" dxfId="828" priority="817">
      <formula>$AA373="Required Field"</formula>
    </cfRule>
  </conditionalFormatting>
  <conditionalFormatting sqref="AC373">
    <cfRule type="expression" dxfId="827" priority="816">
      <formula>$AC373="Required Field"</formula>
    </cfRule>
  </conditionalFormatting>
  <conditionalFormatting sqref="AE373">
    <cfRule type="expression" dxfId="826" priority="815">
      <formula>$AE373="Required Field"</formula>
    </cfRule>
  </conditionalFormatting>
  <conditionalFormatting sqref="AG373">
    <cfRule type="expression" dxfId="825" priority="814">
      <formula>$AG373="Required Field"</formula>
    </cfRule>
  </conditionalFormatting>
  <conditionalFormatting sqref="AH373">
    <cfRule type="expression" dxfId="824" priority="813">
      <formula>$AH373="Required Field"</formula>
    </cfRule>
  </conditionalFormatting>
  <conditionalFormatting sqref="AD373">
    <cfRule type="expression" dxfId="823" priority="812">
      <formula>$AD373="Required Field"</formula>
    </cfRule>
  </conditionalFormatting>
  <conditionalFormatting sqref="X374">
    <cfRule type="expression" dxfId="822" priority="811">
      <formula>$X374="Required Field"</formula>
    </cfRule>
  </conditionalFormatting>
  <conditionalFormatting sqref="Y374:Z374">
    <cfRule type="expression" dxfId="821" priority="810">
      <formula>$Y374="Required Field"</formula>
    </cfRule>
  </conditionalFormatting>
  <conditionalFormatting sqref="AA374:AB374">
    <cfRule type="expression" dxfId="820" priority="809">
      <formula>$AA374="Required Field"</formula>
    </cfRule>
  </conditionalFormatting>
  <conditionalFormatting sqref="AC374">
    <cfRule type="expression" dxfId="819" priority="808">
      <formula>$AC374="Required Field"</formula>
    </cfRule>
  </conditionalFormatting>
  <conditionalFormatting sqref="AE374">
    <cfRule type="expression" dxfId="818" priority="807">
      <formula>$AE374="Required Field"</formula>
    </cfRule>
  </conditionalFormatting>
  <conditionalFormatting sqref="AG374">
    <cfRule type="expression" dxfId="817" priority="806">
      <formula>$AG374="Required Field"</formula>
    </cfRule>
  </conditionalFormatting>
  <conditionalFormatting sqref="AH374">
    <cfRule type="expression" dxfId="816" priority="805">
      <formula>$AH374="Required Field"</formula>
    </cfRule>
  </conditionalFormatting>
  <conditionalFormatting sqref="AD374">
    <cfRule type="expression" dxfId="815" priority="804">
      <formula>$AD374="Required Field"</formula>
    </cfRule>
  </conditionalFormatting>
  <conditionalFormatting sqref="X376">
    <cfRule type="expression" dxfId="814" priority="803">
      <formula>$X376="Required Field"</formula>
    </cfRule>
  </conditionalFormatting>
  <conditionalFormatting sqref="Y376:Z376">
    <cfRule type="expression" dxfId="813" priority="802">
      <formula>$Y376="Required Field"</formula>
    </cfRule>
  </conditionalFormatting>
  <conditionalFormatting sqref="AA376:AB376">
    <cfRule type="expression" dxfId="812" priority="801">
      <formula>$AA376="Required Field"</formula>
    </cfRule>
  </conditionalFormatting>
  <conditionalFormatting sqref="AC376">
    <cfRule type="expression" dxfId="811" priority="800">
      <formula>$AC376="Required Field"</formula>
    </cfRule>
  </conditionalFormatting>
  <conditionalFormatting sqref="AE376">
    <cfRule type="expression" dxfId="810" priority="799">
      <formula>$AE376="Required Field"</formula>
    </cfRule>
  </conditionalFormatting>
  <conditionalFormatting sqref="AG376">
    <cfRule type="expression" dxfId="809" priority="798">
      <formula>$AG376="Required Field"</formula>
    </cfRule>
  </conditionalFormatting>
  <conditionalFormatting sqref="AH376">
    <cfRule type="expression" dxfId="808" priority="797">
      <formula>$AH376="Required Field"</formula>
    </cfRule>
  </conditionalFormatting>
  <conditionalFormatting sqref="AD376">
    <cfRule type="expression" dxfId="807" priority="796">
      <formula>$AD376="Required Field"</formula>
    </cfRule>
  </conditionalFormatting>
  <conditionalFormatting sqref="W383">
    <cfRule type="expression" dxfId="806" priority="795">
      <formula>$W383="Required Field"</formula>
    </cfRule>
  </conditionalFormatting>
  <conditionalFormatting sqref="X383">
    <cfRule type="expression" dxfId="805" priority="794">
      <formula>$X383="Required Field"</formula>
    </cfRule>
  </conditionalFormatting>
  <conditionalFormatting sqref="Y383:Z383">
    <cfRule type="expression" dxfId="804" priority="793">
      <formula>$Y383="Required Field"</formula>
    </cfRule>
  </conditionalFormatting>
  <conditionalFormatting sqref="AA383:AB383">
    <cfRule type="expression" dxfId="803" priority="792">
      <formula>$AA383="Required Field"</formula>
    </cfRule>
  </conditionalFormatting>
  <conditionalFormatting sqref="AC383">
    <cfRule type="expression" dxfId="802" priority="791">
      <formula>$AC383="Required Field"</formula>
    </cfRule>
  </conditionalFormatting>
  <conditionalFormatting sqref="AE383">
    <cfRule type="expression" dxfId="801" priority="790">
      <formula>$AE383="Required Field"</formula>
    </cfRule>
  </conditionalFormatting>
  <conditionalFormatting sqref="AG383">
    <cfRule type="expression" dxfId="800" priority="789">
      <formula>$AG383="Required Field"</formula>
    </cfRule>
  </conditionalFormatting>
  <conditionalFormatting sqref="AH383">
    <cfRule type="expression" dxfId="799" priority="788">
      <formula>$AH383="Required Field"</formula>
    </cfRule>
  </conditionalFormatting>
  <conditionalFormatting sqref="AD383">
    <cfRule type="expression" dxfId="798" priority="787">
      <formula>$AD383="Required Field"</formula>
    </cfRule>
  </conditionalFormatting>
  <conditionalFormatting sqref="W385">
    <cfRule type="expression" dxfId="797" priority="786">
      <formula>$W385="Required Field"</formula>
    </cfRule>
  </conditionalFormatting>
  <conditionalFormatting sqref="X385">
    <cfRule type="expression" dxfId="796" priority="785">
      <formula>$X385="Required Field"</formula>
    </cfRule>
  </conditionalFormatting>
  <conditionalFormatting sqref="Y385:Z385">
    <cfRule type="expression" dxfId="795" priority="784">
      <formula>$Y385="Required Field"</formula>
    </cfRule>
  </conditionalFormatting>
  <conditionalFormatting sqref="AA385:AB385">
    <cfRule type="expression" dxfId="794" priority="783">
      <formula>$AA385="Required Field"</formula>
    </cfRule>
  </conditionalFormatting>
  <conditionalFormatting sqref="AC385">
    <cfRule type="expression" dxfId="793" priority="782">
      <formula>$AC385="Required Field"</formula>
    </cfRule>
  </conditionalFormatting>
  <conditionalFormatting sqref="AE385">
    <cfRule type="expression" dxfId="792" priority="781">
      <formula>$AE385="Required Field"</formula>
    </cfRule>
  </conditionalFormatting>
  <conditionalFormatting sqref="AG385">
    <cfRule type="expression" dxfId="791" priority="780">
      <formula>$AG385="Required Field"</formula>
    </cfRule>
  </conditionalFormatting>
  <conditionalFormatting sqref="AH385">
    <cfRule type="expression" dxfId="790" priority="779">
      <formula>$AH385="Required Field"</formula>
    </cfRule>
  </conditionalFormatting>
  <conditionalFormatting sqref="AD385">
    <cfRule type="expression" dxfId="789" priority="778">
      <formula>$AD385="Required Field"</formula>
    </cfRule>
  </conditionalFormatting>
  <conditionalFormatting sqref="W387">
    <cfRule type="expression" dxfId="788" priority="777">
      <formula>$W387="Required Field"</formula>
    </cfRule>
  </conditionalFormatting>
  <conditionalFormatting sqref="X387">
    <cfRule type="expression" dxfId="787" priority="776">
      <formula>$X387="Required Field"</formula>
    </cfRule>
  </conditionalFormatting>
  <conditionalFormatting sqref="Y387:Z387">
    <cfRule type="expression" dxfId="786" priority="775">
      <formula>$Y387="Required Field"</formula>
    </cfRule>
  </conditionalFormatting>
  <conditionalFormatting sqref="AA387:AB387">
    <cfRule type="expression" dxfId="785" priority="774">
      <formula>$AA387="Required Field"</formula>
    </cfRule>
  </conditionalFormatting>
  <conditionalFormatting sqref="AC387">
    <cfRule type="expression" dxfId="784" priority="773">
      <formula>$AC387="Required Field"</formula>
    </cfRule>
  </conditionalFormatting>
  <conditionalFormatting sqref="AE387">
    <cfRule type="expression" dxfId="783" priority="772">
      <formula>$AE387="Required Field"</formula>
    </cfRule>
  </conditionalFormatting>
  <conditionalFormatting sqref="AG387">
    <cfRule type="expression" dxfId="782" priority="771">
      <formula>$AG387="Required Field"</formula>
    </cfRule>
  </conditionalFormatting>
  <conditionalFormatting sqref="AH387">
    <cfRule type="expression" dxfId="781" priority="770">
      <formula>$AH387="Required Field"</formula>
    </cfRule>
  </conditionalFormatting>
  <conditionalFormatting sqref="AD387">
    <cfRule type="expression" dxfId="780" priority="769">
      <formula>$AD387="Required Field"</formula>
    </cfRule>
  </conditionalFormatting>
  <conditionalFormatting sqref="W389">
    <cfRule type="expression" dxfId="779" priority="768">
      <formula>$W389="Required Field"</formula>
    </cfRule>
  </conditionalFormatting>
  <conditionalFormatting sqref="X389">
    <cfRule type="expression" dxfId="778" priority="767">
      <formula>$X389="Required Field"</formula>
    </cfRule>
  </conditionalFormatting>
  <conditionalFormatting sqref="Y389:Z389">
    <cfRule type="expression" dxfId="777" priority="766">
      <formula>$Y389="Required Field"</formula>
    </cfRule>
  </conditionalFormatting>
  <conditionalFormatting sqref="AA389:AB389">
    <cfRule type="expression" dxfId="776" priority="765">
      <formula>$AA389="Required Field"</formula>
    </cfRule>
  </conditionalFormatting>
  <conditionalFormatting sqref="AC389">
    <cfRule type="expression" dxfId="775" priority="764">
      <formula>$AC389="Required Field"</formula>
    </cfRule>
  </conditionalFormatting>
  <conditionalFormatting sqref="AE389">
    <cfRule type="expression" dxfId="774" priority="763">
      <formula>$AE389="Required Field"</formula>
    </cfRule>
  </conditionalFormatting>
  <conditionalFormatting sqref="AG389">
    <cfRule type="expression" dxfId="773" priority="762">
      <formula>$AG389="Required Field"</formula>
    </cfRule>
  </conditionalFormatting>
  <conditionalFormatting sqref="AH389">
    <cfRule type="expression" dxfId="772" priority="761">
      <formula>$AH389="Required Field"</formula>
    </cfRule>
  </conditionalFormatting>
  <conditionalFormatting sqref="AD389">
    <cfRule type="expression" dxfId="771" priority="760">
      <formula>$AD389="Required Field"</formula>
    </cfRule>
  </conditionalFormatting>
  <conditionalFormatting sqref="W391">
    <cfRule type="expression" dxfId="770" priority="759">
      <formula>$W391="Required Field"</formula>
    </cfRule>
  </conditionalFormatting>
  <conditionalFormatting sqref="X391">
    <cfRule type="expression" dxfId="769" priority="758">
      <formula>$X391="Required Field"</formula>
    </cfRule>
  </conditionalFormatting>
  <conditionalFormatting sqref="Y391:Z391">
    <cfRule type="expression" dxfId="768" priority="757">
      <formula>$Y391="Required Field"</formula>
    </cfRule>
  </conditionalFormatting>
  <conditionalFormatting sqref="AA391:AB391">
    <cfRule type="expression" dxfId="767" priority="756">
      <formula>$AA391="Required Field"</formula>
    </cfRule>
  </conditionalFormatting>
  <conditionalFormatting sqref="AC391">
    <cfRule type="expression" dxfId="766" priority="755">
      <formula>$AC391="Required Field"</formula>
    </cfRule>
  </conditionalFormatting>
  <conditionalFormatting sqref="AE391">
    <cfRule type="expression" dxfId="765" priority="754">
      <formula>$AE391="Required Field"</formula>
    </cfRule>
  </conditionalFormatting>
  <conditionalFormatting sqref="AG391">
    <cfRule type="expression" dxfId="764" priority="753">
      <formula>$AG391="Required Field"</formula>
    </cfRule>
  </conditionalFormatting>
  <conditionalFormatting sqref="AH391">
    <cfRule type="expression" dxfId="763" priority="752">
      <formula>$AH391="Required Field"</formula>
    </cfRule>
  </conditionalFormatting>
  <conditionalFormatting sqref="AD391">
    <cfRule type="expression" dxfId="762" priority="751">
      <formula>$AD391="Required Field"</formula>
    </cfRule>
  </conditionalFormatting>
  <conditionalFormatting sqref="X392">
    <cfRule type="expression" dxfId="761" priority="750">
      <formula>$X392="Required Field"</formula>
    </cfRule>
  </conditionalFormatting>
  <conditionalFormatting sqref="Y392:Z392">
    <cfRule type="expression" dxfId="760" priority="749">
      <formula>$Y392="Required Field"</formula>
    </cfRule>
  </conditionalFormatting>
  <conditionalFormatting sqref="AA392:AB392">
    <cfRule type="expression" dxfId="759" priority="748">
      <formula>$AA392="Required Field"</formula>
    </cfRule>
  </conditionalFormatting>
  <conditionalFormatting sqref="AC392">
    <cfRule type="expression" dxfId="758" priority="747">
      <formula>$AC392="Required Field"</formula>
    </cfRule>
  </conditionalFormatting>
  <conditionalFormatting sqref="AE392">
    <cfRule type="expression" dxfId="757" priority="746">
      <formula>$AE392="Required Field"</formula>
    </cfRule>
  </conditionalFormatting>
  <conditionalFormatting sqref="AG392">
    <cfRule type="expression" dxfId="756" priority="745">
      <formula>$AG392="Required Field"</formula>
    </cfRule>
  </conditionalFormatting>
  <conditionalFormatting sqref="AH392">
    <cfRule type="expression" dxfId="755" priority="744">
      <formula>$AH392="Required Field"</formula>
    </cfRule>
  </conditionalFormatting>
  <conditionalFormatting sqref="AD392">
    <cfRule type="expression" dxfId="754" priority="743">
      <formula>$AD392="Required Field"</formula>
    </cfRule>
  </conditionalFormatting>
  <conditionalFormatting sqref="W394">
    <cfRule type="expression" dxfId="753" priority="742">
      <formula>$W394="Required Field"</formula>
    </cfRule>
  </conditionalFormatting>
  <conditionalFormatting sqref="X394">
    <cfRule type="expression" dxfId="752" priority="741">
      <formula>$X394="Required Field"</formula>
    </cfRule>
  </conditionalFormatting>
  <conditionalFormatting sqref="Y394:Z394">
    <cfRule type="expression" dxfId="751" priority="740">
      <formula>$Y394="Required Field"</formula>
    </cfRule>
  </conditionalFormatting>
  <conditionalFormatting sqref="AA394:AB394">
    <cfRule type="expression" dxfId="750" priority="739">
      <formula>$AA394="Required Field"</formula>
    </cfRule>
  </conditionalFormatting>
  <conditionalFormatting sqref="AC394">
    <cfRule type="expression" dxfId="749" priority="738">
      <formula>$AC394="Required Field"</formula>
    </cfRule>
  </conditionalFormatting>
  <conditionalFormatting sqref="AE394">
    <cfRule type="expression" dxfId="748" priority="737">
      <formula>$AE394="Required Field"</formula>
    </cfRule>
  </conditionalFormatting>
  <conditionalFormatting sqref="AG394">
    <cfRule type="expression" dxfId="747" priority="736">
      <formula>$AG394="Required Field"</formula>
    </cfRule>
  </conditionalFormatting>
  <conditionalFormatting sqref="AH394">
    <cfRule type="expression" dxfId="746" priority="735">
      <formula>$AH394="Required Field"</formula>
    </cfRule>
  </conditionalFormatting>
  <conditionalFormatting sqref="AD394">
    <cfRule type="expression" dxfId="745" priority="734">
      <formula>$AD394="Required Field"</formula>
    </cfRule>
  </conditionalFormatting>
  <conditionalFormatting sqref="W396">
    <cfRule type="expression" dxfId="744" priority="733">
      <formula>$W396="Required Field"</formula>
    </cfRule>
  </conditionalFormatting>
  <conditionalFormatting sqref="X396">
    <cfRule type="expression" dxfId="743" priority="732">
      <formula>$X396="Required Field"</formula>
    </cfRule>
  </conditionalFormatting>
  <conditionalFormatting sqref="Y396:Z396">
    <cfRule type="expression" dxfId="742" priority="731">
      <formula>$Y396="Required Field"</formula>
    </cfRule>
  </conditionalFormatting>
  <conditionalFormatting sqref="AA396:AB396">
    <cfRule type="expression" dxfId="741" priority="730">
      <formula>$AA396="Required Field"</formula>
    </cfRule>
  </conditionalFormatting>
  <conditionalFormatting sqref="AC396">
    <cfRule type="expression" dxfId="740" priority="729">
      <formula>$AC396="Required Field"</formula>
    </cfRule>
  </conditionalFormatting>
  <conditionalFormatting sqref="AE396">
    <cfRule type="expression" dxfId="739" priority="728">
      <formula>$AE396="Required Field"</formula>
    </cfRule>
  </conditionalFormatting>
  <conditionalFormatting sqref="AG396">
    <cfRule type="expression" dxfId="738" priority="727">
      <formula>$AG396="Required Field"</formula>
    </cfRule>
  </conditionalFormatting>
  <conditionalFormatting sqref="AH396">
    <cfRule type="expression" dxfId="737" priority="726">
      <formula>$AH396="Required Field"</formula>
    </cfRule>
  </conditionalFormatting>
  <conditionalFormatting sqref="AD396">
    <cfRule type="expression" dxfId="736" priority="725">
      <formula>$AD396="Required Field"</formula>
    </cfRule>
  </conditionalFormatting>
  <conditionalFormatting sqref="X397">
    <cfRule type="expression" dxfId="735" priority="724">
      <formula>$X397="Required Field"</formula>
    </cfRule>
  </conditionalFormatting>
  <conditionalFormatting sqref="Y397:Z397">
    <cfRule type="expression" dxfId="734" priority="723">
      <formula>$Y397="Required Field"</formula>
    </cfRule>
  </conditionalFormatting>
  <conditionalFormatting sqref="AA397:AB397">
    <cfRule type="expression" dxfId="733" priority="722">
      <formula>$AA397="Required Field"</formula>
    </cfRule>
  </conditionalFormatting>
  <conditionalFormatting sqref="AC397">
    <cfRule type="expression" dxfId="732" priority="721">
      <formula>$AC397="Required Field"</formula>
    </cfRule>
  </conditionalFormatting>
  <conditionalFormatting sqref="AE397">
    <cfRule type="expression" dxfId="731" priority="720">
      <formula>$AE397="Required Field"</formula>
    </cfRule>
  </conditionalFormatting>
  <conditionalFormatting sqref="AG397">
    <cfRule type="expression" dxfId="730" priority="719">
      <formula>$AG397="Required Field"</formula>
    </cfRule>
  </conditionalFormatting>
  <conditionalFormatting sqref="AH397">
    <cfRule type="expression" dxfId="729" priority="718">
      <formula>$AH397="Required Field"</formula>
    </cfRule>
  </conditionalFormatting>
  <conditionalFormatting sqref="AD397">
    <cfRule type="expression" dxfId="728" priority="717">
      <formula>$AD397="Required Field"</formula>
    </cfRule>
  </conditionalFormatting>
  <conditionalFormatting sqref="W398">
    <cfRule type="expression" dxfId="727" priority="716">
      <formula>$W398="Required Field"</formula>
    </cfRule>
  </conditionalFormatting>
  <conditionalFormatting sqref="X398">
    <cfRule type="expression" dxfId="726" priority="715">
      <formula>$X398="Required Field"</formula>
    </cfRule>
  </conditionalFormatting>
  <conditionalFormatting sqref="Y398:Z398">
    <cfRule type="expression" dxfId="725" priority="714">
      <formula>$Y398="Required Field"</formula>
    </cfRule>
  </conditionalFormatting>
  <conditionalFormatting sqref="AA398:AB398">
    <cfRule type="expression" dxfId="724" priority="713">
      <formula>$AA398="Required Field"</formula>
    </cfRule>
  </conditionalFormatting>
  <conditionalFormatting sqref="AC398">
    <cfRule type="expression" dxfId="723" priority="712">
      <formula>$AC398="Required Field"</formula>
    </cfRule>
  </conditionalFormatting>
  <conditionalFormatting sqref="AE398">
    <cfRule type="expression" dxfId="722" priority="711">
      <formula>$AE398="Required Field"</formula>
    </cfRule>
  </conditionalFormatting>
  <conditionalFormatting sqref="AG398">
    <cfRule type="expression" dxfId="721" priority="710">
      <formula>$AG398="Required Field"</formula>
    </cfRule>
  </conditionalFormatting>
  <conditionalFormatting sqref="AH398">
    <cfRule type="expression" dxfId="720" priority="709">
      <formula>$AH398="Required Field"</formula>
    </cfRule>
  </conditionalFormatting>
  <conditionalFormatting sqref="AD398">
    <cfRule type="expression" dxfId="719" priority="708">
      <formula>$AD398="Required Field"</formula>
    </cfRule>
  </conditionalFormatting>
  <conditionalFormatting sqref="W400">
    <cfRule type="expression" dxfId="718" priority="707">
      <formula>$W400="Required Field"</formula>
    </cfRule>
  </conditionalFormatting>
  <conditionalFormatting sqref="X400">
    <cfRule type="expression" dxfId="717" priority="706">
      <formula>$X400="Required Field"</formula>
    </cfRule>
  </conditionalFormatting>
  <conditionalFormatting sqref="Y400:Z400">
    <cfRule type="expression" dxfId="716" priority="705">
      <formula>$Y400="Required Field"</formula>
    </cfRule>
  </conditionalFormatting>
  <conditionalFormatting sqref="AA400:AB400">
    <cfRule type="expression" dxfId="715" priority="704">
      <formula>$AA400="Required Field"</formula>
    </cfRule>
  </conditionalFormatting>
  <conditionalFormatting sqref="AC400">
    <cfRule type="expression" dxfId="714" priority="703">
      <formula>$AC400="Required Field"</formula>
    </cfRule>
  </conditionalFormatting>
  <conditionalFormatting sqref="AE400">
    <cfRule type="expression" dxfId="713" priority="702">
      <formula>$AE400="Required Field"</formula>
    </cfRule>
  </conditionalFormatting>
  <conditionalFormatting sqref="AG400">
    <cfRule type="expression" dxfId="712" priority="701">
      <formula>$AG400="Required Field"</formula>
    </cfRule>
  </conditionalFormatting>
  <conditionalFormatting sqref="AH400">
    <cfRule type="expression" dxfId="711" priority="700">
      <formula>$AH400="Required Field"</formula>
    </cfRule>
  </conditionalFormatting>
  <conditionalFormatting sqref="AD400">
    <cfRule type="expression" dxfId="710" priority="699">
      <formula>$AD400="Required Field"</formula>
    </cfRule>
  </conditionalFormatting>
  <conditionalFormatting sqref="X402">
    <cfRule type="expression" dxfId="709" priority="698">
      <formula>$X402="Required Field"</formula>
    </cfRule>
  </conditionalFormatting>
  <conditionalFormatting sqref="Y402:Z402">
    <cfRule type="expression" dxfId="708" priority="697">
      <formula>$Y402="Required Field"</formula>
    </cfRule>
  </conditionalFormatting>
  <conditionalFormatting sqref="AA402:AB402">
    <cfRule type="expression" dxfId="707" priority="696">
      <formula>$AA402="Required Field"</formula>
    </cfRule>
  </conditionalFormatting>
  <conditionalFormatting sqref="AC402">
    <cfRule type="expression" dxfId="706" priority="695">
      <formula>$AC402="Required Field"</formula>
    </cfRule>
  </conditionalFormatting>
  <conditionalFormatting sqref="AE402">
    <cfRule type="expression" dxfId="705" priority="694">
      <formula>$AE402="Required Field"</formula>
    </cfRule>
  </conditionalFormatting>
  <conditionalFormatting sqref="AG402">
    <cfRule type="expression" dxfId="704" priority="693">
      <formula>$AG402="Required Field"</formula>
    </cfRule>
  </conditionalFormatting>
  <conditionalFormatting sqref="AH402">
    <cfRule type="expression" dxfId="703" priority="692">
      <formula>$AH402="Required Field"</formula>
    </cfRule>
  </conditionalFormatting>
  <conditionalFormatting sqref="AD402">
    <cfRule type="expression" dxfId="702" priority="691">
      <formula>$AD402="Required Field"</formula>
    </cfRule>
  </conditionalFormatting>
  <conditionalFormatting sqref="AC404">
    <cfRule type="expression" dxfId="701" priority="690">
      <formula>$AC404="Required Field"</formula>
    </cfRule>
  </conditionalFormatting>
  <conditionalFormatting sqref="W405">
    <cfRule type="expression" dxfId="700" priority="689">
      <formula>$W405="Required Field"</formula>
    </cfRule>
  </conditionalFormatting>
  <conditionalFormatting sqref="X405">
    <cfRule type="expression" dxfId="699" priority="688">
      <formula>$X405="Required Field"</formula>
    </cfRule>
  </conditionalFormatting>
  <conditionalFormatting sqref="Y405:Z405">
    <cfRule type="expression" dxfId="698" priority="687">
      <formula>$Y405="Required Field"</formula>
    </cfRule>
  </conditionalFormatting>
  <conditionalFormatting sqref="AA405:AB405">
    <cfRule type="expression" dxfId="697" priority="686">
      <formula>$AA405="Required Field"</formula>
    </cfRule>
  </conditionalFormatting>
  <conditionalFormatting sqref="AC405">
    <cfRule type="expression" dxfId="696" priority="685">
      <formula>$AC405="Required Field"</formula>
    </cfRule>
  </conditionalFormatting>
  <conditionalFormatting sqref="AE405">
    <cfRule type="expression" dxfId="695" priority="684">
      <formula>$AE405="Required Field"</formula>
    </cfRule>
  </conditionalFormatting>
  <conditionalFormatting sqref="AG405">
    <cfRule type="expression" dxfId="694" priority="683">
      <formula>$AG405="Required Field"</formula>
    </cfRule>
  </conditionalFormatting>
  <conditionalFormatting sqref="AH405">
    <cfRule type="expression" dxfId="693" priority="682">
      <formula>$AH405="Required Field"</formula>
    </cfRule>
  </conditionalFormatting>
  <conditionalFormatting sqref="AD405">
    <cfRule type="expression" dxfId="692" priority="681">
      <formula>$AD405="Required Field"</formula>
    </cfRule>
  </conditionalFormatting>
  <conditionalFormatting sqref="AC408">
    <cfRule type="expression" dxfId="691" priority="680">
      <formula>$AC408="Required Field"</formula>
    </cfRule>
  </conditionalFormatting>
  <conditionalFormatting sqref="X409">
    <cfRule type="expression" dxfId="690" priority="679">
      <formula>$X409="Required Field"</formula>
    </cfRule>
  </conditionalFormatting>
  <conditionalFormatting sqref="Y409:Z409">
    <cfRule type="expression" dxfId="689" priority="678">
      <formula>$Y409="Required Field"</formula>
    </cfRule>
  </conditionalFormatting>
  <conditionalFormatting sqref="AA409:AB409">
    <cfRule type="expression" dxfId="688" priority="677">
      <formula>$AA409="Required Field"</formula>
    </cfRule>
  </conditionalFormatting>
  <conditionalFormatting sqref="AC409">
    <cfRule type="expression" dxfId="687" priority="676">
      <formula>$AC409="Required Field"</formula>
    </cfRule>
  </conditionalFormatting>
  <conditionalFormatting sqref="AE409">
    <cfRule type="expression" dxfId="686" priority="675">
      <formula>$AE409="Required Field"</formula>
    </cfRule>
  </conditionalFormatting>
  <conditionalFormatting sqref="AG409">
    <cfRule type="expression" dxfId="685" priority="674">
      <formula>$AG409="Required Field"</formula>
    </cfRule>
  </conditionalFormatting>
  <conditionalFormatting sqref="AH409">
    <cfRule type="expression" dxfId="684" priority="673">
      <formula>$AH409="Required Field"</formula>
    </cfRule>
  </conditionalFormatting>
  <conditionalFormatting sqref="AD409">
    <cfRule type="expression" dxfId="683" priority="672">
      <formula>$AD409="Required Field"</formula>
    </cfRule>
  </conditionalFormatting>
  <conditionalFormatting sqref="X412">
    <cfRule type="expression" dxfId="682" priority="671">
      <formula>$X412="Required Field"</formula>
    </cfRule>
  </conditionalFormatting>
  <conditionalFormatting sqref="Y412:Z412">
    <cfRule type="expression" dxfId="681" priority="670">
      <formula>$Y412="Required Field"</formula>
    </cfRule>
  </conditionalFormatting>
  <conditionalFormatting sqref="AA412:AB412">
    <cfRule type="expression" dxfId="680" priority="669">
      <formula>$AA412="Required Field"</formula>
    </cfRule>
  </conditionalFormatting>
  <conditionalFormatting sqref="AE412">
    <cfRule type="expression" dxfId="679" priority="668">
      <formula>$AE412="Required Field"</formula>
    </cfRule>
  </conditionalFormatting>
  <conditionalFormatting sqref="AG412">
    <cfRule type="expression" dxfId="678" priority="667">
      <formula>$AG412="Required Field"</formula>
    </cfRule>
  </conditionalFormatting>
  <conditionalFormatting sqref="AH412">
    <cfRule type="expression" dxfId="677" priority="666">
      <formula>$AH412="Required Field"</formula>
    </cfRule>
  </conditionalFormatting>
  <conditionalFormatting sqref="AD412">
    <cfRule type="expression" dxfId="676" priority="665">
      <formula>$AD412="Required Field"</formula>
    </cfRule>
  </conditionalFormatting>
  <conditionalFormatting sqref="AC412">
    <cfRule type="expression" dxfId="675" priority="664">
      <formula>$AC412="Required Field"</formula>
    </cfRule>
  </conditionalFormatting>
  <conditionalFormatting sqref="W413">
    <cfRule type="expression" dxfId="674" priority="663">
      <formula>$W413="Required Field"</formula>
    </cfRule>
  </conditionalFormatting>
  <conditionalFormatting sqref="X413">
    <cfRule type="expression" dxfId="673" priority="662">
      <formula>$X413="Required Field"</formula>
    </cfRule>
  </conditionalFormatting>
  <conditionalFormatting sqref="Y413:Z413">
    <cfRule type="expression" dxfId="672" priority="661">
      <formula>$Y413="Required Field"</formula>
    </cfRule>
  </conditionalFormatting>
  <conditionalFormatting sqref="AA413:AB413">
    <cfRule type="expression" dxfId="671" priority="660">
      <formula>$AA413="Required Field"</formula>
    </cfRule>
  </conditionalFormatting>
  <conditionalFormatting sqref="AC413">
    <cfRule type="expression" dxfId="670" priority="659">
      <formula>$AC413="Required Field"</formula>
    </cfRule>
  </conditionalFormatting>
  <conditionalFormatting sqref="AE413">
    <cfRule type="expression" dxfId="669" priority="658">
      <formula>$AE413="Required Field"</formula>
    </cfRule>
  </conditionalFormatting>
  <conditionalFormatting sqref="AG413">
    <cfRule type="expression" dxfId="668" priority="657">
      <formula>$AG413="Required Field"</formula>
    </cfRule>
  </conditionalFormatting>
  <conditionalFormatting sqref="AH413">
    <cfRule type="expression" dxfId="667" priority="656">
      <formula>$AH413="Required Field"</formula>
    </cfRule>
  </conditionalFormatting>
  <conditionalFormatting sqref="AD413">
    <cfRule type="expression" dxfId="666" priority="655">
      <formula>$AD413="Required Field"</formula>
    </cfRule>
  </conditionalFormatting>
  <conditionalFormatting sqref="X414">
    <cfRule type="expression" dxfId="665" priority="654">
      <formula>$X414="Required Field"</formula>
    </cfRule>
  </conditionalFormatting>
  <conditionalFormatting sqref="Y414:Z414">
    <cfRule type="expression" dxfId="664" priority="653">
      <formula>$Y414="Required Field"</formula>
    </cfRule>
  </conditionalFormatting>
  <conditionalFormatting sqref="AA414:AB414">
    <cfRule type="expression" dxfId="663" priority="652">
      <formula>$AA414="Required Field"</formula>
    </cfRule>
  </conditionalFormatting>
  <conditionalFormatting sqref="AC414">
    <cfRule type="expression" dxfId="662" priority="651">
      <formula>$AC414="Required Field"</formula>
    </cfRule>
  </conditionalFormatting>
  <conditionalFormatting sqref="AE414">
    <cfRule type="expression" dxfId="661" priority="650">
      <formula>$AE414="Required Field"</formula>
    </cfRule>
  </conditionalFormatting>
  <conditionalFormatting sqref="AG414">
    <cfRule type="expression" dxfId="660" priority="649">
      <formula>$AG414="Required Field"</formula>
    </cfRule>
  </conditionalFormatting>
  <conditionalFormatting sqref="AH414">
    <cfRule type="expression" dxfId="659" priority="648">
      <formula>$AH414="Required Field"</formula>
    </cfRule>
  </conditionalFormatting>
  <conditionalFormatting sqref="AD414">
    <cfRule type="expression" dxfId="658" priority="647">
      <formula>$AD414="Required Field"</formula>
    </cfRule>
  </conditionalFormatting>
  <conditionalFormatting sqref="W415">
    <cfRule type="expression" dxfId="657" priority="646">
      <formula>$W415="Required Field"</formula>
    </cfRule>
  </conditionalFormatting>
  <conditionalFormatting sqref="X415">
    <cfRule type="expression" dxfId="656" priority="645">
      <formula>$X415="Required Field"</formula>
    </cfRule>
  </conditionalFormatting>
  <conditionalFormatting sqref="Y415:Z415">
    <cfRule type="expression" dxfId="655" priority="644">
      <formula>$Y415="Required Field"</formula>
    </cfRule>
  </conditionalFormatting>
  <conditionalFormatting sqref="AA415:AB415">
    <cfRule type="expression" dxfId="654" priority="643">
      <formula>$AA415="Required Field"</formula>
    </cfRule>
  </conditionalFormatting>
  <conditionalFormatting sqref="AC415">
    <cfRule type="expression" dxfId="653" priority="642">
      <formula>$AC415="Required Field"</formula>
    </cfRule>
  </conditionalFormatting>
  <conditionalFormatting sqref="AE415">
    <cfRule type="expression" dxfId="652" priority="641">
      <formula>$AE415="Required Field"</formula>
    </cfRule>
  </conditionalFormatting>
  <conditionalFormatting sqref="AG415">
    <cfRule type="expression" dxfId="651" priority="640">
      <formula>$AG415="Required Field"</formula>
    </cfRule>
  </conditionalFormatting>
  <conditionalFormatting sqref="AH415">
    <cfRule type="expression" dxfId="650" priority="639">
      <formula>$AH415="Required Field"</formula>
    </cfRule>
  </conditionalFormatting>
  <conditionalFormatting sqref="AD415">
    <cfRule type="expression" dxfId="649" priority="638">
      <formula>$AD415="Required Field"</formula>
    </cfRule>
  </conditionalFormatting>
  <conditionalFormatting sqref="W416">
    <cfRule type="expression" dxfId="648" priority="637">
      <formula>$W416="Required Field"</formula>
    </cfRule>
  </conditionalFormatting>
  <conditionalFormatting sqref="X416">
    <cfRule type="expression" dxfId="647" priority="636">
      <formula>$X416="Required Field"</formula>
    </cfRule>
  </conditionalFormatting>
  <conditionalFormatting sqref="Y416:Z416">
    <cfRule type="expression" dxfId="646" priority="635">
      <formula>$Y416="Required Field"</formula>
    </cfRule>
  </conditionalFormatting>
  <conditionalFormatting sqref="AA416:AB416">
    <cfRule type="expression" dxfId="645" priority="634">
      <formula>$AA416="Required Field"</formula>
    </cfRule>
  </conditionalFormatting>
  <conditionalFormatting sqref="AE416">
    <cfRule type="expression" dxfId="644" priority="633">
      <formula>$AE416="Required Field"</formula>
    </cfRule>
  </conditionalFormatting>
  <conditionalFormatting sqref="AG416">
    <cfRule type="expression" dxfId="643" priority="632">
      <formula>$AG416="Required Field"</formula>
    </cfRule>
  </conditionalFormatting>
  <conditionalFormatting sqref="AH416">
    <cfRule type="expression" dxfId="642" priority="631">
      <formula>$AH416="Required Field"</formula>
    </cfRule>
  </conditionalFormatting>
  <conditionalFormatting sqref="AD416">
    <cfRule type="expression" dxfId="641" priority="630">
      <formula>$AD416="Required Field"</formula>
    </cfRule>
  </conditionalFormatting>
  <conditionalFormatting sqref="AC416">
    <cfRule type="expression" dxfId="640" priority="629">
      <formula>$AC416="Required Field"</formula>
    </cfRule>
  </conditionalFormatting>
  <conditionalFormatting sqref="W417">
    <cfRule type="expression" dxfId="639" priority="628">
      <formula>$W417="Required Field"</formula>
    </cfRule>
  </conditionalFormatting>
  <conditionalFormatting sqref="X417">
    <cfRule type="expression" dxfId="638" priority="627">
      <formula>$X417="Required Field"</formula>
    </cfRule>
  </conditionalFormatting>
  <conditionalFormatting sqref="Y417:Z417">
    <cfRule type="expression" dxfId="637" priority="626">
      <formula>$Y417="Required Field"</formula>
    </cfRule>
  </conditionalFormatting>
  <conditionalFormatting sqref="AA417:AB417">
    <cfRule type="expression" dxfId="636" priority="625">
      <formula>$AA417="Required Field"</formula>
    </cfRule>
  </conditionalFormatting>
  <conditionalFormatting sqref="AC417">
    <cfRule type="expression" dxfId="635" priority="624">
      <formula>$AC417="Required Field"</formula>
    </cfRule>
  </conditionalFormatting>
  <conditionalFormatting sqref="AE417">
    <cfRule type="expression" dxfId="634" priority="623">
      <formula>$AE417="Required Field"</formula>
    </cfRule>
  </conditionalFormatting>
  <conditionalFormatting sqref="AG417">
    <cfRule type="expression" dxfId="633" priority="622">
      <formula>$AG417="Required Field"</formula>
    </cfRule>
  </conditionalFormatting>
  <conditionalFormatting sqref="AH417">
    <cfRule type="expression" dxfId="632" priority="621">
      <formula>$AH417="Required Field"</formula>
    </cfRule>
  </conditionalFormatting>
  <conditionalFormatting sqref="AD417">
    <cfRule type="expression" dxfId="631" priority="620">
      <formula>$AD417="Required Field"</formula>
    </cfRule>
  </conditionalFormatting>
  <conditionalFormatting sqref="AC418">
    <cfRule type="expression" dxfId="630" priority="619">
      <formula>$AC418="Required Field"</formula>
    </cfRule>
  </conditionalFormatting>
  <conditionalFormatting sqref="W420">
    <cfRule type="expression" dxfId="629" priority="618">
      <formula>$W420="Required Field"</formula>
    </cfRule>
  </conditionalFormatting>
  <conditionalFormatting sqref="X420">
    <cfRule type="expression" dxfId="628" priority="617">
      <formula>$X420="Required Field"</formula>
    </cfRule>
  </conditionalFormatting>
  <conditionalFormatting sqref="Y420:Z420">
    <cfRule type="expression" dxfId="627" priority="616">
      <formula>$Y420="Required Field"</formula>
    </cfRule>
  </conditionalFormatting>
  <conditionalFormatting sqref="AA420:AB420">
    <cfRule type="expression" dxfId="626" priority="615">
      <formula>$AA420="Required Field"</formula>
    </cfRule>
  </conditionalFormatting>
  <conditionalFormatting sqref="AC420">
    <cfRule type="expression" dxfId="625" priority="614">
      <formula>$AC420="Required Field"</formula>
    </cfRule>
  </conditionalFormatting>
  <conditionalFormatting sqref="AE420">
    <cfRule type="expression" dxfId="624" priority="613">
      <formula>$AE420="Required Field"</formula>
    </cfRule>
  </conditionalFormatting>
  <conditionalFormatting sqref="AG420">
    <cfRule type="expression" dxfId="623" priority="612">
      <formula>$AG420="Required Field"</formula>
    </cfRule>
  </conditionalFormatting>
  <conditionalFormatting sqref="AH420">
    <cfRule type="expression" dxfId="622" priority="611">
      <formula>$AH420="Required Field"</formula>
    </cfRule>
  </conditionalFormatting>
  <conditionalFormatting sqref="AD420">
    <cfRule type="expression" dxfId="621" priority="610">
      <formula>$AD420="Required Field"</formula>
    </cfRule>
  </conditionalFormatting>
  <conditionalFormatting sqref="Y421:Z421">
    <cfRule type="expression" dxfId="620" priority="609">
      <formula>$Y421="Required Field"</formula>
    </cfRule>
  </conditionalFormatting>
  <conditionalFormatting sqref="AA421:AB421">
    <cfRule type="expression" dxfId="619" priority="608">
      <formula>$AA421="Required Field"</formula>
    </cfRule>
  </conditionalFormatting>
  <conditionalFormatting sqref="AC421">
    <cfRule type="expression" dxfId="618" priority="607">
      <formula>$AC421="Required Field"</formula>
    </cfRule>
  </conditionalFormatting>
  <conditionalFormatting sqref="AE421">
    <cfRule type="expression" dxfId="617" priority="606">
      <formula>$AE421="Required Field"</formula>
    </cfRule>
  </conditionalFormatting>
  <conditionalFormatting sqref="AG421">
    <cfRule type="expression" dxfId="616" priority="605">
      <formula>$AG421="Required Field"</formula>
    </cfRule>
  </conditionalFormatting>
  <conditionalFormatting sqref="AH421">
    <cfRule type="expression" dxfId="615" priority="604">
      <formula>$AH421="Required Field"</formula>
    </cfRule>
  </conditionalFormatting>
  <conditionalFormatting sqref="AD421">
    <cfRule type="expression" dxfId="614" priority="603">
      <formula>$AD421="Required Field"</formula>
    </cfRule>
  </conditionalFormatting>
  <conditionalFormatting sqref="AC422">
    <cfRule type="expression" dxfId="613" priority="602">
      <formula>$AC422="Required Field"</formula>
    </cfRule>
  </conditionalFormatting>
  <conditionalFormatting sqref="W423">
    <cfRule type="expression" dxfId="612" priority="601">
      <formula>$W423="Required Field"</formula>
    </cfRule>
  </conditionalFormatting>
  <conditionalFormatting sqref="X423">
    <cfRule type="expression" dxfId="611" priority="600">
      <formula>$X423="Required Field"</formula>
    </cfRule>
  </conditionalFormatting>
  <conditionalFormatting sqref="Y423:Z423">
    <cfRule type="expression" dxfId="610" priority="599">
      <formula>$Y423="Required Field"</formula>
    </cfRule>
  </conditionalFormatting>
  <conditionalFormatting sqref="AA423:AB423">
    <cfRule type="expression" dxfId="609" priority="598">
      <formula>$AA423="Required Field"</formula>
    </cfRule>
  </conditionalFormatting>
  <conditionalFormatting sqref="AC423">
    <cfRule type="expression" dxfId="608" priority="597">
      <formula>$AC423="Required Field"</formula>
    </cfRule>
  </conditionalFormatting>
  <conditionalFormatting sqref="AE423">
    <cfRule type="expression" dxfId="607" priority="596">
      <formula>$AE423="Required Field"</formula>
    </cfRule>
  </conditionalFormatting>
  <conditionalFormatting sqref="AG423">
    <cfRule type="expression" dxfId="606" priority="595">
      <formula>$AG423="Required Field"</formula>
    </cfRule>
  </conditionalFormatting>
  <conditionalFormatting sqref="AH423">
    <cfRule type="expression" dxfId="605" priority="594">
      <formula>$AH423="Required Field"</formula>
    </cfRule>
  </conditionalFormatting>
  <conditionalFormatting sqref="AD423">
    <cfRule type="expression" dxfId="604" priority="593">
      <formula>$AD423="Required Field"</formula>
    </cfRule>
  </conditionalFormatting>
  <conditionalFormatting sqref="X424">
    <cfRule type="expression" dxfId="603" priority="592">
      <formula>$X424="Required Field"</formula>
    </cfRule>
  </conditionalFormatting>
  <conditionalFormatting sqref="Y424:Z424">
    <cfRule type="expression" dxfId="602" priority="591">
      <formula>$Y424="Required Field"</formula>
    </cfRule>
  </conditionalFormatting>
  <conditionalFormatting sqref="AA424:AB424">
    <cfRule type="expression" dxfId="601" priority="590">
      <formula>$AA424="Required Field"</formula>
    </cfRule>
  </conditionalFormatting>
  <conditionalFormatting sqref="AC424">
    <cfRule type="expression" dxfId="600" priority="589">
      <formula>$AC424="Required Field"</formula>
    </cfRule>
  </conditionalFormatting>
  <conditionalFormatting sqref="AE424">
    <cfRule type="expression" dxfId="599" priority="588">
      <formula>$AE424="Required Field"</formula>
    </cfRule>
  </conditionalFormatting>
  <conditionalFormatting sqref="AG424">
    <cfRule type="expression" dxfId="598" priority="587">
      <formula>$AG424="Required Field"</formula>
    </cfRule>
  </conditionalFormatting>
  <conditionalFormatting sqref="AH424">
    <cfRule type="expression" dxfId="597" priority="586">
      <formula>$AH424="Required Field"</formula>
    </cfRule>
  </conditionalFormatting>
  <conditionalFormatting sqref="AD424">
    <cfRule type="expression" dxfId="596" priority="585">
      <formula>$AD424="Required Field"</formula>
    </cfRule>
  </conditionalFormatting>
  <conditionalFormatting sqref="X425">
    <cfRule type="expression" dxfId="595" priority="584">
      <formula>$X425="Required Field"</formula>
    </cfRule>
  </conditionalFormatting>
  <conditionalFormatting sqref="Y425:Z425">
    <cfRule type="expression" dxfId="594" priority="583">
      <formula>$Y425="Required Field"</formula>
    </cfRule>
  </conditionalFormatting>
  <conditionalFormatting sqref="AB425">
    <cfRule type="expression" dxfId="593" priority="582">
      <formula>$AA425="Required Field"</formula>
    </cfRule>
  </conditionalFormatting>
  <conditionalFormatting sqref="AE425">
    <cfRule type="expression" dxfId="592" priority="581">
      <formula>$AE425="Required Field"</formula>
    </cfRule>
  </conditionalFormatting>
  <conditionalFormatting sqref="AG425">
    <cfRule type="expression" dxfId="591" priority="580">
      <formula>$AG425="Required Field"</formula>
    </cfRule>
  </conditionalFormatting>
  <conditionalFormatting sqref="AH425">
    <cfRule type="expression" dxfId="590" priority="579">
      <formula>$AH425="Required Field"</formula>
    </cfRule>
  </conditionalFormatting>
  <conditionalFormatting sqref="AD425">
    <cfRule type="expression" dxfId="589" priority="578">
      <formula>$AD425="Required Field"</formula>
    </cfRule>
  </conditionalFormatting>
  <conditionalFormatting sqref="AC425">
    <cfRule type="expression" dxfId="588" priority="577">
      <formula>$AC425="Required Field"</formula>
    </cfRule>
  </conditionalFormatting>
  <conditionalFormatting sqref="W426">
    <cfRule type="expression" dxfId="587" priority="576">
      <formula>$W426="Required Field"</formula>
    </cfRule>
  </conditionalFormatting>
  <conditionalFormatting sqref="X426">
    <cfRule type="expression" dxfId="586" priority="575">
      <formula>$X426="Required Field"</formula>
    </cfRule>
  </conditionalFormatting>
  <conditionalFormatting sqref="Y426:Z426">
    <cfRule type="expression" dxfId="585" priority="574">
      <formula>$Y426="Required Field"</formula>
    </cfRule>
  </conditionalFormatting>
  <conditionalFormatting sqref="AA426:AB426">
    <cfRule type="expression" dxfId="584" priority="573">
      <formula>$AA426="Required Field"</formula>
    </cfRule>
  </conditionalFormatting>
  <conditionalFormatting sqref="AC426">
    <cfRule type="expression" dxfId="583" priority="572">
      <formula>$AC426="Required Field"</formula>
    </cfRule>
  </conditionalFormatting>
  <conditionalFormatting sqref="AE426">
    <cfRule type="expression" dxfId="582" priority="571">
      <formula>$AE426="Required Field"</formula>
    </cfRule>
  </conditionalFormatting>
  <conditionalFormatting sqref="AG426">
    <cfRule type="expression" dxfId="581" priority="570">
      <formula>$AG426="Required Field"</formula>
    </cfRule>
  </conditionalFormatting>
  <conditionalFormatting sqref="AH426">
    <cfRule type="expression" dxfId="580" priority="569">
      <formula>$AH426="Required Field"</formula>
    </cfRule>
  </conditionalFormatting>
  <conditionalFormatting sqref="AD426">
    <cfRule type="expression" dxfId="579" priority="568">
      <formula>$AD426="Required Field"</formula>
    </cfRule>
  </conditionalFormatting>
  <conditionalFormatting sqref="W427">
    <cfRule type="expression" dxfId="578" priority="567">
      <formula>$W427="Required Field"</formula>
    </cfRule>
  </conditionalFormatting>
  <conditionalFormatting sqref="X427">
    <cfRule type="expression" dxfId="577" priority="566">
      <formula>$X427="Required Field"</formula>
    </cfRule>
  </conditionalFormatting>
  <conditionalFormatting sqref="Y427:Z427">
    <cfRule type="expression" dxfId="576" priority="565">
      <formula>$Y427="Required Field"</formula>
    </cfRule>
  </conditionalFormatting>
  <conditionalFormatting sqref="AA427:AB427">
    <cfRule type="expression" dxfId="575" priority="564">
      <formula>$AA427="Required Field"</formula>
    </cfRule>
  </conditionalFormatting>
  <conditionalFormatting sqref="AC427">
    <cfRule type="expression" dxfId="574" priority="563">
      <formula>$AC427="Required Field"</formula>
    </cfRule>
  </conditionalFormatting>
  <conditionalFormatting sqref="AE427">
    <cfRule type="expression" dxfId="573" priority="562">
      <formula>$AE427="Required Field"</formula>
    </cfRule>
  </conditionalFormatting>
  <conditionalFormatting sqref="AG427">
    <cfRule type="expression" dxfId="572" priority="561">
      <formula>$AG427="Required Field"</formula>
    </cfRule>
  </conditionalFormatting>
  <conditionalFormatting sqref="AH427">
    <cfRule type="expression" dxfId="571" priority="560">
      <formula>$AH427="Required Field"</formula>
    </cfRule>
  </conditionalFormatting>
  <conditionalFormatting sqref="AD427">
    <cfRule type="expression" dxfId="570" priority="559">
      <formula>$AD427="Required Field"</formula>
    </cfRule>
  </conditionalFormatting>
  <conditionalFormatting sqref="Y428:Z428">
    <cfRule type="expression" dxfId="569" priority="558">
      <formula>$Y428="Required Field"</formula>
    </cfRule>
  </conditionalFormatting>
  <conditionalFormatting sqref="AA428:AB428">
    <cfRule type="expression" dxfId="568" priority="557">
      <formula>$AA428="Required Field"</formula>
    </cfRule>
  </conditionalFormatting>
  <conditionalFormatting sqref="AC428">
    <cfRule type="expression" dxfId="567" priority="556">
      <formula>$AC428="Required Field"</formula>
    </cfRule>
  </conditionalFormatting>
  <conditionalFormatting sqref="AE428">
    <cfRule type="expression" dxfId="566" priority="555">
      <formula>$AE428="Required Field"</formula>
    </cfRule>
  </conditionalFormatting>
  <conditionalFormatting sqref="AG428">
    <cfRule type="expression" dxfId="565" priority="554">
      <formula>$AG428="Required Field"</formula>
    </cfRule>
  </conditionalFormatting>
  <conditionalFormatting sqref="AH428">
    <cfRule type="expression" dxfId="564" priority="553">
      <formula>$AH428="Required Field"</formula>
    </cfRule>
  </conditionalFormatting>
  <conditionalFormatting sqref="AD428">
    <cfRule type="expression" dxfId="563" priority="552">
      <formula>$AD428="Required Field"</formula>
    </cfRule>
  </conditionalFormatting>
  <conditionalFormatting sqref="X429">
    <cfRule type="expression" dxfId="562" priority="551">
      <formula>$X429="Required Field"</formula>
    </cfRule>
  </conditionalFormatting>
  <conditionalFormatting sqref="Y429:Z429">
    <cfRule type="expression" dxfId="561" priority="550">
      <formula>$Y429="Required Field"</formula>
    </cfRule>
  </conditionalFormatting>
  <conditionalFormatting sqref="AB429">
    <cfRule type="expression" dxfId="560" priority="549">
      <formula>$AA429="Required Field"</formula>
    </cfRule>
  </conditionalFormatting>
  <conditionalFormatting sqref="AE429">
    <cfRule type="expression" dxfId="559" priority="548">
      <formula>$AE429="Required Field"</formula>
    </cfRule>
  </conditionalFormatting>
  <conditionalFormatting sqref="AG429">
    <cfRule type="expression" dxfId="558" priority="547">
      <formula>$AG429="Required Field"</formula>
    </cfRule>
  </conditionalFormatting>
  <conditionalFormatting sqref="AH429">
    <cfRule type="expression" dxfId="557" priority="546">
      <formula>$AH429="Required Field"</formula>
    </cfRule>
  </conditionalFormatting>
  <conditionalFormatting sqref="AD429">
    <cfRule type="expression" dxfId="556" priority="545">
      <formula>$AD429="Required Field"</formula>
    </cfRule>
  </conditionalFormatting>
  <conditionalFormatting sqref="AC429">
    <cfRule type="expression" dxfId="555" priority="544">
      <formula>$AC429="Required Field"</formula>
    </cfRule>
  </conditionalFormatting>
  <conditionalFormatting sqref="AA422">
    <cfRule type="expression" dxfId="554" priority="543">
      <formula>$AA422="Required Field"</formula>
    </cfRule>
  </conditionalFormatting>
  <conditionalFormatting sqref="AA425">
    <cfRule type="expression" dxfId="553" priority="542">
      <formula>$AA425="Required Field"</formula>
    </cfRule>
  </conditionalFormatting>
  <conditionalFormatting sqref="AA429">
    <cfRule type="expression" dxfId="552" priority="541">
      <formula>$AA429="Required Field"</formula>
    </cfRule>
  </conditionalFormatting>
  <conditionalFormatting sqref="W430">
    <cfRule type="expression" dxfId="551" priority="540">
      <formula>$W430="Required Field"</formula>
    </cfRule>
  </conditionalFormatting>
  <conditionalFormatting sqref="X430">
    <cfRule type="expression" dxfId="550" priority="539">
      <formula>$X430="Required Field"</formula>
    </cfRule>
  </conditionalFormatting>
  <conditionalFormatting sqref="Y430:Z430">
    <cfRule type="expression" dxfId="549" priority="538">
      <formula>$Y430="Required Field"</formula>
    </cfRule>
  </conditionalFormatting>
  <conditionalFormatting sqref="AA430:AB430">
    <cfRule type="expression" dxfId="548" priority="537">
      <formula>$AA430="Required Field"</formula>
    </cfRule>
  </conditionalFormatting>
  <conditionalFormatting sqref="AC430">
    <cfRule type="expression" dxfId="547" priority="536">
      <formula>$AC430="Required Field"</formula>
    </cfRule>
  </conditionalFormatting>
  <conditionalFormatting sqref="AE430">
    <cfRule type="expression" dxfId="546" priority="535">
      <formula>$AE430="Required Field"</formula>
    </cfRule>
  </conditionalFormatting>
  <conditionalFormatting sqref="AG430">
    <cfRule type="expression" dxfId="545" priority="534">
      <formula>$AG430="Required Field"</formula>
    </cfRule>
  </conditionalFormatting>
  <conditionalFormatting sqref="AH430">
    <cfRule type="expression" dxfId="544" priority="533">
      <formula>$AH430="Required Field"</formula>
    </cfRule>
  </conditionalFormatting>
  <conditionalFormatting sqref="AD430">
    <cfRule type="expression" dxfId="543" priority="532">
      <formula>$AD430="Required Field"</formula>
    </cfRule>
  </conditionalFormatting>
  <conditionalFormatting sqref="W431">
    <cfRule type="expression" dxfId="542" priority="531">
      <formula>$W431="Required Field"</formula>
    </cfRule>
  </conditionalFormatting>
  <conditionalFormatting sqref="X431">
    <cfRule type="expression" dxfId="541" priority="530">
      <formula>$X431="Required Field"</formula>
    </cfRule>
  </conditionalFormatting>
  <conditionalFormatting sqref="Y431:Z431">
    <cfRule type="expression" dxfId="540" priority="529">
      <formula>$Y431="Required Field"</formula>
    </cfRule>
  </conditionalFormatting>
  <conditionalFormatting sqref="AA431:AB431">
    <cfRule type="expression" dxfId="539" priority="528">
      <formula>$AA431="Required Field"</formula>
    </cfRule>
  </conditionalFormatting>
  <conditionalFormatting sqref="AC431">
    <cfRule type="expression" dxfId="538" priority="527">
      <formula>$AC431="Required Field"</formula>
    </cfRule>
  </conditionalFormatting>
  <conditionalFormatting sqref="AE431">
    <cfRule type="expression" dxfId="537" priority="526">
      <formula>$AE431="Required Field"</formula>
    </cfRule>
  </conditionalFormatting>
  <conditionalFormatting sqref="AG431">
    <cfRule type="expression" dxfId="536" priority="525">
      <formula>$AG431="Required Field"</formula>
    </cfRule>
  </conditionalFormatting>
  <conditionalFormatting sqref="AH431">
    <cfRule type="expression" dxfId="535" priority="524">
      <formula>$AH431="Required Field"</formula>
    </cfRule>
  </conditionalFormatting>
  <conditionalFormatting sqref="AD431">
    <cfRule type="expression" dxfId="534" priority="523">
      <formula>$AD431="Required Field"</formula>
    </cfRule>
  </conditionalFormatting>
  <conditionalFormatting sqref="W432">
    <cfRule type="expression" dxfId="533" priority="522">
      <formula>$W432="Required Field"</formula>
    </cfRule>
  </conditionalFormatting>
  <conditionalFormatting sqref="X432">
    <cfRule type="expression" dxfId="532" priority="521">
      <formula>$X432="Required Field"</formula>
    </cfRule>
  </conditionalFormatting>
  <conditionalFormatting sqref="Y432:Z432">
    <cfRule type="expression" dxfId="531" priority="520">
      <formula>$Y432="Required Field"</formula>
    </cfRule>
  </conditionalFormatting>
  <conditionalFormatting sqref="AB432">
    <cfRule type="expression" dxfId="530" priority="519">
      <formula>$AA432="Required Field"</formula>
    </cfRule>
  </conditionalFormatting>
  <conditionalFormatting sqref="AE432">
    <cfRule type="expression" dxfId="529" priority="518">
      <formula>$AE432="Required Field"</formula>
    </cfRule>
  </conditionalFormatting>
  <conditionalFormatting sqref="AG432">
    <cfRule type="expression" dxfId="528" priority="517">
      <formula>$AG432="Required Field"</formula>
    </cfRule>
  </conditionalFormatting>
  <conditionalFormatting sqref="AH432">
    <cfRule type="expression" dxfId="527" priority="516">
      <formula>$AH432="Required Field"</formula>
    </cfRule>
  </conditionalFormatting>
  <conditionalFormatting sqref="AD432">
    <cfRule type="expression" dxfId="526" priority="515">
      <formula>$AD432="Required Field"</formula>
    </cfRule>
  </conditionalFormatting>
  <conditionalFormatting sqref="AC432">
    <cfRule type="expression" dxfId="525" priority="514">
      <formula>$AC432="Required Field"</formula>
    </cfRule>
  </conditionalFormatting>
  <conditionalFormatting sqref="AA432">
    <cfRule type="expression" dxfId="524" priority="513">
      <formula>$AA432="Required Field"</formula>
    </cfRule>
  </conditionalFormatting>
  <conditionalFormatting sqref="W433">
    <cfRule type="expression" dxfId="523" priority="512">
      <formula>$W433="Required Field"</formula>
    </cfRule>
  </conditionalFormatting>
  <conditionalFormatting sqref="X433">
    <cfRule type="expression" dxfId="522" priority="511">
      <formula>$X433="Required Field"</formula>
    </cfRule>
  </conditionalFormatting>
  <conditionalFormatting sqref="Y433:Z433">
    <cfRule type="expression" dxfId="521" priority="510">
      <formula>$Y433="Required Field"</formula>
    </cfRule>
  </conditionalFormatting>
  <conditionalFormatting sqref="AA433:AB433">
    <cfRule type="expression" dxfId="520" priority="509">
      <formula>$AA433="Required Field"</formula>
    </cfRule>
  </conditionalFormatting>
  <conditionalFormatting sqref="AC433">
    <cfRule type="expression" dxfId="519" priority="508">
      <formula>$AC433="Required Field"</formula>
    </cfRule>
  </conditionalFormatting>
  <conditionalFormatting sqref="AE433">
    <cfRule type="expression" dxfId="518" priority="507">
      <formula>$AE433="Required Field"</formula>
    </cfRule>
  </conditionalFormatting>
  <conditionalFormatting sqref="AG433">
    <cfRule type="expression" dxfId="517" priority="506">
      <formula>$AG433="Required Field"</formula>
    </cfRule>
  </conditionalFormatting>
  <conditionalFormatting sqref="AH433">
    <cfRule type="expression" dxfId="516" priority="505">
      <formula>$AH433="Required Field"</formula>
    </cfRule>
  </conditionalFormatting>
  <conditionalFormatting sqref="AD433">
    <cfRule type="expression" dxfId="515" priority="504">
      <formula>$AD433="Required Field"</formula>
    </cfRule>
  </conditionalFormatting>
  <conditionalFormatting sqref="W435">
    <cfRule type="expression" dxfId="514" priority="503">
      <formula>$W435="Required Field"</formula>
    </cfRule>
  </conditionalFormatting>
  <conditionalFormatting sqref="X435">
    <cfRule type="expression" dxfId="513" priority="502">
      <formula>$X435="Required Field"</formula>
    </cfRule>
  </conditionalFormatting>
  <conditionalFormatting sqref="Y435:Z435">
    <cfRule type="expression" dxfId="512" priority="501">
      <formula>$Y435="Required Field"</formula>
    </cfRule>
  </conditionalFormatting>
  <conditionalFormatting sqref="AA435:AB435">
    <cfRule type="expression" dxfId="511" priority="500">
      <formula>$AA435="Required Field"</formula>
    </cfRule>
  </conditionalFormatting>
  <conditionalFormatting sqref="AC435">
    <cfRule type="expression" dxfId="510" priority="499">
      <formula>$AC435="Required Field"</formula>
    </cfRule>
  </conditionalFormatting>
  <conditionalFormatting sqref="AE435">
    <cfRule type="expression" dxfId="509" priority="498">
      <formula>$AE435="Required Field"</formula>
    </cfRule>
  </conditionalFormatting>
  <conditionalFormatting sqref="AG435">
    <cfRule type="expression" dxfId="508" priority="497">
      <formula>$AG435="Required Field"</formula>
    </cfRule>
  </conditionalFormatting>
  <conditionalFormatting sqref="AH435">
    <cfRule type="expression" dxfId="507" priority="496">
      <formula>$AH435="Required Field"</formula>
    </cfRule>
  </conditionalFormatting>
  <conditionalFormatting sqref="AD435">
    <cfRule type="expression" dxfId="506" priority="495">
      <formula>$AD435="Required Field"</formula>
    </cfRule>
  </conditionalFormatting>
  <conditionalFormatting sqref="W436">
    <cfRule type="expression" dxfId="505" priority="494">
      <formula>$W436="Required Field"</formula>
    </cfRule>
  </conditionalFormatting>
  <conditionalFormatting sqref="X436">
    <cfRule type="expression" dxfId="504" priority="493">
      <formula>$X436="Required Field"</formula>
    </cfRule>
  </conditionalFormatting>
  <conditionalFormatting sqref="Y436:Z436">
    <cfRule type="expression" dxfId="503" priority="492">
      <formula>$Y436="Required Field"</formula>
    </cfRule>
  </conditionalFormatting>
  <conditionalFormatting sqref="AA436:AB436">
    <cfRule type="expression" dxfId="502" priority="491">
      <formula>$AA436="Required Field"</formula>
    </cfRule>
  </conditionalFormatting>
  <conditionalFormatting sqref="AC436">
    <cfRule type="expression" dxfId="501" priority="490">
      <formula>$AC436="Required Field"</formula>
    </cfRule>
  </conditionalFormatting>
  <conditionalFormatting sqref="AE436">
    <cfRule type="expression" dxfId="500" priority="489">
      <formula>$AE436="Required Field"</formula>
    </cfRule>
  </conditionalFormatting>
  <conditionalFormatting sqref="AG436">
    <cfRule type="expression" dxfId="499" priority="488">
      <formula>$AG436="Required Field"</formula>
    </cfRule>
  </conditionalFormatting>
  <conditionalFormatting sqref="AH436">
    <cfRule type="expression" dxfId="498" priority="487">
      <formula>$AH436="Required Field"</formula>
    </cfRule>
  </conditionalFormatting>
  <conditionalFormatting sqref="AD436">
    <cfRule type="expression" dxfId="497" priority="486">
      <formula>$AD436="Required Field"</formula>
    </cfRule>
  </conditionalFormatting>
  <conditionalFormatting sqref="AC438">
    <cfRule type="expression" dxfId="496" priority="485">
      <formula>$AC438="Required Field"</formula>
    </cfRule>
  </conditionalFormatting>
  <conditionalFormatting sqref="W439">
    <cfRule type="expression" dxfId="495" priority="484">
      <formula>$W439="Required Field"</formula>
    </cfRule>
  </conditionalFormatting>
  <conditionalFormatting sqref="X439">
    <cfRule type="expression" dxfId="494" priority="483">
      <formula>$X439="Required Field"</formula>
    </cfRule>
  </conditionalFormatting>
  <conditionalFormatting sqref="Y439:Z439">
    <cfRule type="expression" dxfId="493" priority="482">
      <formula>$Y439="Required Field"</formula>
    </cfRule>
  </conditionalFormatting>
  <conditionalFormatting sqref="AA439:AB439">
    <cfRule type="expression" dxfId="492" priority="481">
      <formula>$AA439="Required Field"</formula>
    </cfRule>
  </conditionalFormatting>
  <conditionalFormatting sqref="AC439">
    <cfRule type="expression" dxfId="491" priority="480">
      <formula>$AC439="Required Field"</formula>
    </cfRule>
  </conditionalFormatting>
  <conditionalFormatting sqref="AE439">
    <cfRule type="expression" dxfId="490" priority="479">
      <formula>$AE439="Required Field"</formula>
    </cfRule>
  </conditionalFormatting>
  <conditionalFormatting sqref="AG439">
    <cfRule type="expression" dxfId="489" priority="478">
      <formula>$AG439="Required Field"</formula>
    </cfRule>
  </conditionalFormatting>
  <conditionalFormatting sqref="AH439">
    <cfRule type="expression" dxfId="488" priority="477">
      <formula>$AH439="Required Field"</formula>
    </cfRule>
  </conditionalFormatting>
  <conditionalFormatting sqref="AD439">
    <cfRule type="expression" dxfId="487" priority="476">
      <formula>$AD439="Required Field"</formula>
    </cfRule>
  </conditionalFormatting>
  <conditionalFormatting sqref="W440">
    <cfRule type="expression" dxfId="486" priority="475">
      <formula>$W440="Required Field"</formula>
    </cfRule>
  </conditionalFormatting>
  <conditionalFormatting sqref="X440">
    <cfRule type="expression" dxfId="485" priority="474">
      <formula>$X440="Required Field"</formula>
    </cfRule>
  </conditionalFormatting>
  <conditionalFormatting sqref="Y440:Z440">
    <cfRule type="expression" dxfId="484" priority="473">
      <formula>$Y440="Required Field"</formula>
    </cfRule>
  </conditionalFormatting>
  <conditionalFormatting sqref="AA440:AB440">
    <cfRule type="expression" dxfId="483" priority="472">
      <formula>$AA440="Required Field"</formula>
    </cfRule>
  </conditionalFormatting>
  <conditionalFormatting sqref="AE440">
    <cfRule type="expression" dxfId="482" priority="471">
      <formula>$AE440="Required Field"</formula>
    </cfRule>
  </conditionalFormatting>
  <conditionalFormatting sqref="AG440">
    <cfRule type="expression" dxfId="481" priority="470">
      <formula>$AG440="Required Field"</formula>
    </cfRule>
  </conditionalFormatting>
  <conditionalFormatting sqref="AH440">
    <cfRule type="expression" dxfId="480" priority="469">
      <formula>$AH440="Required Field"</formula>
    </cfRule>
  </conditionalFormatting>
  <conditionalFormatting sqref="AD440">
    <cfRule type="expression" dxfId="479" priority="468">
      <formula>$AD440="Required Field"</formula>
    </cfRule>
  </conditionalFormatting>
  <conditionalFormatting sqref="AC440">
    <cfRule type="expression" dxfId="478" priority="467">
      <formula>$AC440="Required Field"</formula>
    </cfRule>
  </conditionalFormatting>
  <conditionalFormatting sqref="W441">
    <cfRule type="expression" dxfId="477" priority="466">
      <formula>$W441="Required Field"</formula>
    </cfRule>
  </conditionalFormatting>
  <conditionalFormatting sqref="X441">
    <cfRule type="expression" dxfId="476" priority="465">
      <formula>$X441="Required Field"</formula>
    </cfRule>
  </conditionalFormatting>
  <conditionalFormatting sqref="Y441:Z441">
    <cfRule type="expression" dxfId="475" priority="464">
      <formula>$Y441="Required Field"</formula>
    </cfRule>
  </conditionalFormatting>
  <conditionalFormatting sqref="AA441:AB441">
    <cfRule type="expression" dxfId="474" priority="463">
      <formula>$AA441="Required Field"</formula>
    </cfRule>
  </conditionalFormatting>
  <conditionalFormatting sqref="AC441">
    <cfRule type="expression" dxfId="473" priority="462">
      <formula>$AC441="Required Field"</formula>
    </cfRule>
  </conditionalFormatting>
  <conditionalFormatting sqref="AE441">
    <cfRule type="expression" dxfId="472" priority="461">
      <formula>$AE441="Required Field"</formula>
    </cfRule>
  </conditionalFormatting>
  <conditionalFormatting sqref="AG441">
    <cfRule type="expression" dxfId="471" priority="460">
      <formula>$AG441="Required Field"</formula>
    </cfRule>
  </conditionalFormatting>
  <conditionalFormatting sqref="AH441">
    <cfRule type="expression" dxfId="470" priority="459">
      <formula>$AH441="Required Field"</formula>
    </cfRule>
  </conditionalFormatting>
  <conditionalFormatting sqref="AD441">
    <cfRule type="expression" dxfId="469" priority="458">
      <formula>$AD441="Required Field"</formula>
    </cfRule>
  </conditionalFormatting>
  <conditionalFormatting sqref="Y442:Z442">
    <cfRule type="expression" dxfId="468" priority="457">
      <formula>$Y442="Required Field"</formula>
    </cfRule>
  </conditionalFormatting>
  <conditionalFormatting sqref="AA442:AB442">
    <cfRule type="expression" dxfId="467" priority="456">
      <formula>$AA442="Required Field"</formula>
    </cfRule>
  </conditionalFormatting>
  <conditionalFormatting sqref="AC442">
    <cfRule type="expression" dxfId="466" priority="455">
      <formula>$AC442="Required Field"</formula>
    </cfRule>
  </conditionalFormatting>
  <conditionalFormatting sqref="AE442">
    <cfRule type="expression" dxfId="465" priority="454">
      <formula>$AE442="Required Field"</formula>
    </cfRule>
  </conditionalFormatting>
  <conditionalFormatting sqref="AG442">
    <cfRule type="expression" dxfId="464" priority="453">
      <formula>$AG442="Required Field"</formula>
    </cfRule>
  </conditionalFormatting>
  <conditionalFormatting sqref="AH442">
    <cfRule type="expression" dxfId="463" priority="452">
      <formula>$AH442="Required Field"</formula>
    </cfRule>
  </conditionalFormatting>
  <conditionalFormatting sqref="AD442">
    <cfRule type="expression" dxfId="462" priority="451">
      <formula>$AD442="Required Field"</formula>
    </cfRule>
  </conditionalFormatting>
  <conditionalFormatting sqref="W443">
    <cfRule type="expression" dxfId="461" priority="450">
      <formula>$W443="Required Field"</formula>
    </cfRule>
  </conditionalFormatting>
  <conditionalFormatting sqref="X443">
    <cfRule type="expression" dxfId="460" priority="449">
      <formula>$X443="Required Field"</formula>
    </cfRule>
  </conditionalFormatting>
  <conditionalFormatting sqref="Y443:Z443">
    <cfRule type="expression" dxfId="459" priority="448">
      <formula>$Y443="Required Field"</formula>
    </cfRule>
  </conditionalFormatting>
  <conditionalFormatting sqref="AA443:AB443">
    <cfRule type="expression" dxfId="458" priority="447">
      <formula>$AA443="Required Field"</formula>
    </cfRule>
  </conditionalFormatting>
  <conditionalFormatting sqref="AE443">
    <cfRule type="expression" dxfId="457" priority="446">
      <formula>$AE443="Required Field"</formula>
    </cfRule>
  </conditionalFormatting>
  <conditionalFormatting sqref="AG443">
    <cfRule type="expression" dxfId="456" priority="445">
      <formula>$AG443="Required Field"</formula>
    </cfRule>
  </conditionalFormatting>
  <conditionalFormatting sqref="AH443">
    <cfRule type="expression" dxfId="455" priority="444">
      <formula>$AH443="Required Field"</formula>
    </cfRule>
  </conditionalFormatting>
  <conditionalFormatting sqref="AD443">
    <cfRule type="expression" dxfId="454" priority="443">
      <formula>$AD443="Required Field"</formula>
    </cfRule>
  </conditionalFormatting>
  <conditionalFormatting sqref="AC443">
    <cfRule type="expression" dxfId="453" priority="442">
      <formula>$AC443="Required Field"</formula>
    </cfRule>
  </conditionalFormatting>
  <conditionalFormatting sqref="W444">
    <cfRule type="expression" dxfId="452" priority="441">
      <formula>$W444="Required Field"</formula>
    </cfRule>
  </conditionalFormatting>
  <conditionalFormatting sqref="X444">
    <cfRule type="expression" dxfId="451" priority="440">
      <formula>$X444="Required Field"</formula>
    </cfRule>
  </conditionalFormatting>
  <conditionalFormatting sqref="Y444:Z444">
    <cfRule type="expression" dxfId="450" priority="439">
      <formula>$Y444="Required Field"</formula>
    </cfRule>
  </conditionalFormatting>
  <conditionalFormatting sqref="AA444:AB444">
    <cfRule type="expression" dxfId="449" priority="438">
      <formula>$AA444="Required Field"</formula>
    </cfRule>
  </conditionalFormatting>
  <conditionalFormatting sqref="AC444">
    <cfRule type="expression" dxfId="448" priority="437">
      <formula>$AC444="Required Field"</formula>
    </cfRule>
  </conditionalFormatting>
  <conditionalFormatting sqref="AE444">
    <cfRule type="expression" dxfId="447" priority="436">
      <formula>$AE444="Required Field"</formula>
    </cfRule>
  </conditionalFormatting>
  <conditionalFormatting sqref="AG444">
    <cfRule type="expression" dxfId="446" priority="435">
      <formula>$AG444="Required Field"</formula>
    </cfRule>
  </conditionalFormatting>
  <conditionalFormatting sqref="AH444">
    <cfRule type="expression" dxfId="445" priority="434">
      <formula>$AH444="Required Field"</formula>
    </cfRule>
  </conditionalFormatting>
  <conditionalFormatting sqref="AD444">
    <cfRule type="expression" dxfId="444" priority="433">
      <formula>$AD444="Required Field"</formula>
    </cfRule>
  </conditionalFormatting>
  <conditionalFormatting sqref="W445">
    <cfRule type="expression" dxfId="443" priority="432">
      <formula>$W445="Required Field"</formula>
    </cfRule>
  </conditionalFormatting>
  <conditionalFormatting sqref="X445">
    <cfRule type="expression" dxfId="442" priority="431">
      <formula>$X445="Required Field"</formula>
    </cfRule>
  </conditionalFormatting>
  <conditionalFormatting sqref="Y445:Z445">
    <cfRule type="expression" dxfId="441" priority="430">
      <formula>$Y445="Required Field"</formula>
    </cfRule>
  </conditionalFormatting>
  <conditionalFormatting sqref="AA445:AB445">
    <cfRule type="expression" dxfId="440" priority="429">
      <formula>$AA445="Required Field"</formula>
    </cfRule>
  </conditionalFormatting>
  <conditionalFormatting sqref="AC445">
    <cfRule type="expression" dxfId="439" priority="428">
      <formula>$AC445="Required Field"</formula>
    </cfRule>
  </conditionalFormatting>
  <conditionalFormatting sqref="AE445">
    <cfRule type="expression" dxfId="438" priority="427">
      <formula>$AE445="Required Field"</formula>
    </cfRule>
  </conditionalFormatting>
  <conditionalFormatting sqref="AG445">
    <cfRule type="expression" dxfId="437" priority="426">
      <formula>$AG445="Required Field"</formula>
    </cfRule>
  </conditionalFormatting>
  <conditionalFormatting sqref="AH445">
    <cfRule type="expression" dxfId="436" priority="425">
      <formula>$AH445="Required Field"</formula>
    </cfRule>
  </conditionalFormatting>
  <conditionalFormatting sqref="AD445">
    <cfRule type="expression" dxfId="435" priority="424">
      <formula>$AD445="Required Field"</formula>
    </cfRule>
  </conditionalFormatting>
  <conditionalFormatting sqref="W446">
    <cfRule type="expression" dxfId="434" priority="423">
      <formula>$W446="Required Field"</formula>
    </cfRule>
  </conditionalFormatting>
  <conditionalFormatting sqref="X446">
    <cfRule type="expression" dxfId="433" priority="422">
      <formula>$X446="Required Field"</formula>
    </cfRule>
  </conditionalFormatting>
  <conditionalFormatting sqref="Y446:Z446">
    <cfRule type="expression" dxfId="432" priority="421">
      <formula>$Y446="Required Field"</formula>
    </cfRule>
  </conditionalFormatting>
  <conditionalFormatting sqref="AA446:AB446">
    <cfRule type="expression" dxfId="431" priority="420">
      <formula>$AA446="Required Field"</formula>
    </cfRule>
  </conditionalFormatting>
  <conditionalFormatting sqref="AE446">
    <cfRule type="expression" dxfId="430" priority="419">
      <formula>$AE446="Required Field"</formula>
    </cfRule>
  </conditionalFormatting>
  <conditionalFormatting sqref="AG446">
    <cfRule type="expression" dxfId="429" priority="418">
      <formula>$AG446="Required Field"</formula>
    </cfRule>
  </conditionalFormatting>
  <conditionalFormatting sqref="AH446">
    <cfRule type="expression" dxfId="428" priority="417">
      <formula>$AH446="Required Field"</formula>
    </cfRule>
  </conditionalFormatting>
  <conditionalFormatting sqref="AD446">
    <cfRule type="expression" dxfId="427" priority="416">
      <formula>$AD446="Required Field"</formula>
    </cfRule>
  </conditionalFormatting>
  <conditionalFormatting sqref="AC446">
    <cfRule type="expression" dxfId="426" priority="415">
      <formula>$AC446="Required Field"</formula>
    </cfRule>
  </conditionalFormatting>
  <conditionalFormatting sqref="W449">
    <cfRule type="expression" dxfId="425" priority="414">
      <formula>$W449="Required Field"</formula>
    </cfRule>
  </conditionalFormatting>
  <conditionalFormatting sqref="X449">
    <cfRule type="expression" dxfId="424" priority="413">
      <formula>$X449="Required Field"</formula>
    </cfRule>
  </conditionalFormatting>
  <conditionalFormatting sqref="Y449:Z449">
    <cfRule type="expression" dxfId="423" priority="412">
      <formula>$Y449="Required Field"</formula>
    </cfRule>
  </conditionalFormatting>
  <conditionalFormatting sqref="AA449:AB449">
    <cfRule type="expression" dxfId="422" priority="411">
      <formula>$AA449="Required Field"</formula>
    </cfRule>
  </conditionalFormatting>
  <conditionalFormatting sqref="AC449">
    <cfRule type="expression" dxfId="421" priority="410">
      <formula>$AC449="Required Field"</formula>
    </cfRule>
  </conditionalFormatting>
  <conditionalFormatting sqref="AE449">
    <cfRule type="expression" dxfId="420" priority="409">
      <formula>$AE449="Required Field"</formula>
    </cfRule>
  </conditionalFormatting>
  <conditionalFormatting sqref="AG449">
    <cfRule type="expression" dxfId="419" priority="408">
      <formula>$AG449="Required Field"</formula>
    </cfRule>
  </conditionalFormatting>
  <conditionalFormatting sqref="AH449">
    <cfRule type="expression" dxfId="418" priority="407">
      <formula>$AH449="Required Field"</formula>
    </cfRule>
  </conditionalFormatting>
  <conditionalFormatting sqref="AD449">
    <cfRule type="expression" dxfId="417" priority="406">
      <formula>$AD449="Required Field"</formula>
    </cfRule>
  </conditionalFormatting>
  <conditionalFormatting sqref="W450">
    <cfRule type="expression" dxfId="416" priority="405">
      <formula>$W450="Required Field"</formula>
    </cfRule>
  </conditionalFormatting>
  <conditionalFormatting sqref="X450">
    <cfRule type="expression" dxfId="415" priority="404">
      <formula>$X450="Required Field"</formula>
    </cfRule>
  </conditionalFormatting>
  <conditionalFormatting sqref="Y450:Z450">
    <cfRule type="expression" dxfId="414" priority="403">
      <formula>$Y450="Required Field"</formula>
    </cfRule>
  </conditionalFormatting>
  <conditionalFormatting sqref="AA450:AB450">
    <cfRule type="expression" dxfId="413" priority="402">
      <formula>$AA450="Required Field"</formula>
    </cfRule>
  </conditionalFormatting>
  <conditionalFormatting sqref="AE450">
    <cfRule type="expression" dxfId="412" priority="401">
      <formula>$AE450="Required Field"</formula>
    </cfRule>
  </conditionalFormatting>
  <conditionalFormatting sqref="AG450">
    <cfRule type="expression" dxfId="411" priority="400">
      <formula>$AG450="Required Field"</formula>
    </cfRule>
  </conditionalFormatting>
  <conditionalFormatting sqref="AH450">
    <cfRule type="expression" dxfId="410" priority="399">
      <formula>$AH450="Required Field"</formula>
    </cfRule>
  </conditionalFormatting>
  <conditionalFormatting sqref="AD450">
    <cfRule type="expression" dxfId="409" priority="398">
      <formula>$AD450="Required Field"</formula>
    </cfRule>
  </conditionalFormatting>
  <conditionalFormatting sqref="AC450">
    <cfRule type="expression" dxfId="408" priority="397">
      <formula>$AC450="Required Field"</formula>
    </cfRule>
  </conditionalFormatting>
  <conditionalFormatting sqref="W451">
    <cfRule type="expression" dxfId="407" priority="396">
      <formula>$W451="Required Field"</formula>
    </cfRule>
  </conditionalFormatting>
  <conditionalFormatting sqref="X451">
    <cfRule type="expression" dxfId="406" priority="395">
      <formula>$X451="Required Field"</formula>
    </cfRule>
  </conditionalFormatting>
  <conditionalFormatting sqref="Y451:Z451">
    <cfRule type="expression" dxfId="405" priority="394">
      <formula>$Y451="Required Field"</formula>
    </cfRule>
  </conditionalFormatting>
  <conditionalFormatting sqref="AA451:AB451">
    <cfRule type="expression" dxfId="404" priority="393">
      <formula>$AA451="Required Field"</formula>
    </cfRule>
  </conditionalFormatting>
  <conditionalFormatting sqref="AC451">
    <cfRule type="expression" dxfId="403" priority="392">
      <formula>$AC451="Required Field"</formula>
    </cfRule>
  </conditionalFormatting>
  <conditionalFormatting sqref="AE451">
    <cfRule type="expression" dxfId="402" priority="391">
      <formula>$AE451="Required Field"</formula>
    </cfRule>
  </conditionalFormatting>
  <conditionalFormatting sqref="AG451">
    <cfRule type="expression" dxfId="401" priority="390">
      <formula>$AG451="Required Field"</formula>
    </cfRule>
  </conditionalFormatting>
  <conditionalFormatting sqref="AH451">
    <cfRule type="expression" dxfId="400" priority="389">
      <formula>$AH451="Required Field"</formula>
    </cfRule>
  </conditionalFormatting>
  <conditionalFormatting sqref="AD451">
    <cfRule type="expression" dxfId="399" priority="388">
      <formula>$AD451="Required Field"</formula>
    </cfRule>
  </conditionalFormatting>
  <conditionalFormatting sqref="W452">
    <cfRule type="expression" dxfId="398" priority="387">
      <formula>$W452="Required Field"</formula>
    </cfRule>
  </conditionalFormatting>
  <conditionalFormatting sqref="X452">
    <cfRule type="expression" dxfId="397" priority="386">
      <formula>$X452="Required Field"</formula>
    </cfRule>
  </conditionalFormatting>
  <conditionalFormatting sqref="Y452:Z452">
    <cfRule type="expression" dxfId="396" priority="385">
      <formula>$Y452="Required Field"</formula>
    </cfRule>
  </conditionalFormatting>
  <conditionalFormatting sqref="AA452:AB452">
    <cfRule type="expression" dxfId="395" priority="384">
      <formula>$AA452="Required Field"</formula>
    </cfRule>
  </conditionalFormatting>
  <conditionalFormatting sqref="AE452">
    <cfRule type="expression" dxfId="394" priority="383">
      <formula>$AE452="Required Field"</formula>
    </cfRule>
  </conditionalFormatting>
  <conditionalFormatting sqref="AG452">
    <cfRule type="expression" dxfId="393" priority="382">
      <formula>$AG452="Required Field"</formula>
    </cfRule>
  </conditionalFormatting>
  <conditionalFormatting sqref="AH452">
    <cfRule type="expression" dxfId="392" priority="381">
      <formula>$AH452="Required Field"</formula>
    </cfRule>
  </conditionalFormatting>
  <conditionalFormatting sqref="AD452">
    <cfRule type="expression" dxfId="391" priority="380">
      <formula>$AD452="Required Field"</formula>
    </cfRule>
  </conditionalFormatting>
  <conditionalFormatting sqref="AC452">
    <cfRule type="expression" dxfId="390" priority="379">
      <formula>$AC452="Required Field"</formula>
    </cfRule>
  </conditionalFormatting>
  <conditionalFormatting sqref="W453">
    <cfRule type="expression" dxfId="389" priority="378">
      <formula>$W453="Required Field"</formula>
    </cfRule>
  </conditionalFormatting>
  <conditionalFormatting sqref="X453">
    <cfRule type="expression" dxfId="388" priority="377">
      <formula>$X453="Required Field"</formula>
    </cfRule>
  </conditionalFormatting>
  <conditionalFormatting sqref="Y453:Z453">
    <cfRule type="expression" dxfId="387" priority="376">
      <formula>$Y453="Required Field"</formula>
    </cfRule>
  </conditionalFormatting>
  <conditionalFormatting sqref="AA453:AB453">
    <cfRule type="expression" dxfId="386" priority="375">
      <formula>$AA453="Required Field"</formula>
    </cfRule>
  </conditionalFormatting>
  <conditionalFormatting sqref="AC453">
    <cfRule type="expression" dxfId="385" priority="374">
      <formula>$AC453="Required Field"</formula>
    </cfRule>
  </conditionalFormatting>
  <conditionalFormatting sqref="AE453">
    <cfRule type="expression" dxfId="384" priority="373">
      <formula>$AE453="Required Field"</formula>
    </cfRule>
  </conditionalFormatting>
  <conditionalFormatting sqref="AG453">
    <cfRule type="expression" dxfId="383" priority="372">
      <formula>$AG453="Required Field"</formula>
    </cfRule>
  </conditionalFormatting>
  <conditionalFormatting sqref="AH453">
    <cfRule type="expression" dxfId="382" priority="371">
      <formula>$AH453="Required Field"</formula>
    </cfRule>
  </conditionalFormatting>
  <conditionalFormatting sqref="AD453">
    <cfRule type="expression" dxfId="381" priority="370">
      <formula>$AD453="Required Field"</formula>
    </cfRule>
  </conditionalFormatting>
  <conditionalFormatting sqref="AC454">
    <cfRule type="expression" dxfId="380" priority="369">
      <formula>$AC454="Required Field"</formula>
    </cfRule>
  </conditionalFormatting>
  <conditionalFormatting sqref="AC455">
    <cfRule type="expression" dxfId="379" priority="368">
      <formula>$AC455="Required Field"</formula>
    </cfRule>
  </conditionalFormatting>
  <conditionalFormatting sqref="W456">
    <cfRule type="expression" dxfId="378" priority="367">
      <formula>$W456="Required Field"</formula>
    </cfRule>
  </conditionalFormatting>
  <conditionalFormatting sqref="X456">
    <cfRule type="expression" dxfId="377" priority="366">
      <formula>$X456="Required Field"</formula>
    </cfRule>
  </conditionalFormatting>
  <conditionalFormatting sqref="Y456:Z456">
    <cfRule type="expression" dxfId="376" priority="365">
      <formula>$Y456="Required Field"</formula>
    </cfRule>
  </conditionalFormatting>
  <conditionalFormatting sqref="AA456:AB456">
    <cfRule type="expression" dxfId="375" priority="364">
      <formula>$AA456="Required Field"</formula>
    </cfRule>
  </conditionalFormatting>
  <conditionalFormatting sqref="AC456">
    <cfRule type="expression" dxfId="374" priority="363">
      <formula>$AC456="Required Field"</formula>
    </cfRule>
  </conditionalFormatting>
  <conditionalFormatting sqref="AE456">
    <cfRule type="expression" dxfId="373" priority="362">
      <formula>$AE456="Required Field"</formula>
    </cfRule>
  </conditionalFormatting>
  <conditionalFormatting sqref="AG456">
    <cfRule type="expression" dxfId="372" priority="361">
      <formula>$AG456="Required Field"</formula>
    </cfRule>
  </conditionalFormatting>
  <conditionalFormatting sqref="AH456">
    <cfRule type="expression" dxfId="371" priority="360">
      <formula>$AH456="Required Field"</formula>
    </cfRule>
  </conditionalFormatting>
  <conditionalFormatting sqref="AD456">
    <cfRule type="expression" dxfId="370" priority="359">
      <formula>$AD456="Required Field"</formula>
    </cfRule>
  </conditionalFormatting>
  <conditionalFormatting sqref="AC459">
    <cfRule type="expression" dxfId="369" priority="358">
      <formula>$AC459="Required Field"</formula>
    </cfRule>
  </conditionalFormatting>
  <conditionalFormatting sqref="W460">
    <cfRule type="expression" dxfId="368" priority="357">
      <formula>$W460="Required Field"</formula>
    </cfRule>
  </conditionalFormatting>
  <conditionalFormatting sqref="X460">
    <cfRule type="expression" dxfId="367" priority="356">
      <formula>$X460="Required Field"</formula>
    </cfRule>
  </conditionalFormatting>
  <conditionalFormatting sqref="Y460:Z460">
    <cfRule type="expression" dxfId="366" priority="355">
      <formula>$Y460="Required Field"</formula>
    </cfRule>
  </conditionalFormatting>
  <conditionalFormatting sqref="AA460:AB460">
    <cfRule type="expression" dxfId="365" priority="354">
      <formula>$AA460="Required Field"</formula>
    </cfRule>
  </conditionalFormatting>
  <conditionalFormatting sqref="AC460">
    <cfRule type="expression" dxfId="364" priority="353">
      <formula>$AC460="Required Field"</formula>
    </cfRule>
  </conditionalFormatting>
  <conditionalFormatting sqref="AE460">
    <cfRule type="expression" dxfId="363" priority="352">
      <formula>$AE460="Required Field"</formula>
    </cfRule>
  </conditionalFormatting>
  <conditionalFormatting sqref="AG460">
    <cfRule type="expression" dxfId="362" priority="351">
      <formula>$AG460="Required Field"</formula>
    </cfRule>
  </conditionalFormatting>
  <conditionalFormatting sqref="AH460">
    <cfRule type="expression" dxfId="361" priority="350">
      <formula>$AH460="Required Field"</formula>
    </cfRule>
  </conditionalFormatting>
  <conditionalFormatting sqref="AD460">
    <cfRule type="expression" dxfId="360" priority="349">
      <formula>$AD460="Required Field"</formula>
    </cfRule>
  </conditionalFormatting>
  <conditionalFormatting sqref="Y462:Z462">
    <cfRule type="expression" dxfId="359" priority="348">
      <formula>$Y462="Required Field"</formula>
    </cfRule>
  </conditionalFormatting>
  <conditionalFormatting sqref="AA462:AB462">
    <cfRule type="expression" dxfId="358" priority="347">
      <formula>$AA462="Required Field"</formula>
    </cfRule>
  </conditionalFormatting>
  <conditionalFormatting sqref="AC462">
    <cfRule type="expression" dxfId="357" priority="346">
      <formula>$AC462="Required Field"</formula>
    </cfRule>
  </conditionalFormatting>
  <conditionalFormatting sqref="AE462">
    <cfRule type="expression" dxfId="356" priority="345">
      <formula>$AE462="Required Field"</formula>
    </cfRule>
  </conditionalFormatting>
  <conditionalFormatting sqref="AG462">
    <cfRule type="expression" dxfId="355" priority="344">
      <formula>$AG462="Required Field"</formula>
    </cfRule>
  </conditionalFormatting>
  <conditionalFormatting sqref="AH462">
    <cfRule type="expression" dxfId="354" priority="343">
      <formula>$AH462="Required Field"</formula>
    </cfRule>
  </conditionalFormatting>
  <conditionalFormatting sqref="AD462">
    <cfRule type="expression" dxfId="353" priority="342">
      <formula>$AD462="Required Field"</formula>
    </cfRule>
  </conditionalFormatting>
  <conditionalFormatting sqref="AC464">
    <cfRule type="expression" dxfId="352" priority="341">
      <formula>$AC464="Required Field"</formula>
    </cfRule>
  </conditionalFormatting>
  <conditionalFormatting sqref="AC468">
    <cfRule type="expression" dxfId="351" priority="340">
      <formula>$AC468="Required Field"</formula>
    </cfRule>
  </conditionalFormatting>
  <conditionalFormatting sqref="X471">
    <cfRule type="expression" dxfId="350" priority="339">
      <formula>$X471="Required Field"</formula>
    </cfRule>
  </conditionalFormatting>
  <conditionalFormatting sqref="Y471:Z471">
    <cfRule type="expression" dxfId="349" priority="338">
      <formula>$Y471="Required Field"</formula>
    </cfRule>
  </conditionalFormatting>
  <conditionalFormatting sqref="AA471:AB471">
    <cfRule type="expression" dxfId="348" priority="337">
      <formula>$AA471="Required Field"</formula>
    </cfRule>
  </conditionalFormatting>
  <conditionalFormatting sqref="AC471">
    <cfRule type="expression" dxfId="347" priority="336">
      <formula>$AC471="Required Field"</formula>
    </cfRule>
  </conditionalFormatting>
  <conditionalFormatting sqref="AE471">
    <cfRule type="expression" dxfId="346" priority="335">
      <formula>$AE471="Required Field"</formula>
    </cfRule>
  </conditionalFormatting>
  <conditionalFormatting sqref="AG471">
    <cfRule type="expression" dxfId="345" priority="334">
      <formula>$AG471="Required Field"</formula>
    </cfRule>
  </conditionalFormatting>
  <conditionalFormatting sqref="AH471">
    <cfRule type="expression" dxfId="344" priority="333">
      <formula>$AH471="Required Field"</formula>
    </cfRule>
  </conditionalFormatting>
  <conditionalFormatting sqref="AD471">
    <cfRule type="expression" dxfId="343" priority="332">
      <formula>$AD471="Required Field"</formula>
    </cfRule>
  </conditionalFormatting>
  <conditionalFormatting sqref="X472">
    <cfRule type="expression" dxfId="342" priority="331">
      <formula>$X472="Required Field"</formula>
    </cfRule>
  </conditionalFormatting>
  <conditionalFormatting sqref="Y472:Z472">
    <cfRule type="expression" dxfId="341" priority="330">
      <formula>$Y472="Required Field"</formula>
    </cfRule>
  </conditionalFormatting>
  <conditionalFormatting sqref="AA472:AB472">
    <cfRule type="expression" dxfId="340" priority="329">
      <formula>$AA472="Required Field"</formula>
    </cfRule>
  </conditionalFormatting>
  <conditionalFormatting sqref="AC472">
    <cfRule type="expression" dxfId="339" priority="328">
      <formula>$AC472="Required Field"</formula>
    </cfRule>
  </conditionalFormatting>
  <conditionalFormatting sqref="AE472">
    <cfRule type="expression" dxfId="338" priority="327">
      <formula>$AE472="Required Field"</formula>
    </cfRule>
  </conditionalFormatting>
  <conditionalFormatting sqref="AG472">
    <cfRule type="expression" dxfId="337" priority="326">
      <formula>$AG472="Required Field"</formula>
    </cfRule>
  </conditionalFormatting>
  <conditionalFormatting sqref="AH472">
    <cfRule type="expression" dxfId="336" priority="325">
      <formula>$AH472="Required Field"</formula>
    </cfRule>
  </conditionalFormatting>
  <conditionalFormatting sqref="AD472">
    <cfRule type="expression" dxfId="335" priority="324">
      <formula>$AD472="Required Field"</formula>
    </cfRule>
  </conditionalFormatting>
  <conditionalFormatting sqref="AC473">
    <cfRule type="expression" dxfId="334" priority="323">
      <formula>$AC473="Required Field"</formula>
    </cfRule>
  </conditionalFormatting>
  <conditionalFormatting sqref="X475">
    <cfRule type="expression" dxfId="333" priority="322">
      <formula>$X475="Required Field"</formula>
    </cfRule>
  </conditionalFormatting>
  <conditionalFormatting sqref="Y475:Z475">
    <cfRule type="expression" dxfId="332" priority="321">
      <formula>$Y475="Required Field"</formula>
    </cfRule>
  </conditionalFormatting>
  <conditionalFormatting sqref="AA475:AB475">
    <cfRule type="expression" dxfId="331" priority="320">
      <formula>$AA475="Required Field"</formula>
    </cfRule>
  </conditionalFormatting>
  <conditionalFormatting sqref="AC475">
    <cfRule type="expression" dxfId="330" priority="319">
      <formula>$AC475="Required Field"</formula>
    </cfRule>
  </conditionalFormatting>
  <conditionalFormatting sqref="AE475">
    <cfRule type="expression" dxfId="329" priority="318">
      <formula>$AE475="Required Field"</formula>
    </cfRule>
  </conditionalFormatting>
  <conditionalFormatting sqref="AG475">
    <cfRule type="expression" dxfId="328" priority="317">
      <formula>$AG475="Required Field"</formula>
    </cfRule>
  </conditionalFormatting>
  <conditionalFormatting sqref="AH475">
    <cfRule type="expression" dxfId="327" priority="316">
      <formula>$AH475="Required Field"</formula>
    </cfRule>
  </conditionalFormatting>
  <conditionalFormatting sqref="AD475">
    <cfRule type="expression" dxfId="326" priority="315">
      <formula>$AD475="Required Field"</formula>
    </cfRule>
  </conditionalFormatting>
  <conditionalFormatting sqref="X476">
    <cfRule type="expression" dxfId="325" priority="314">
      <formula>$X476="Required Field"</formula>
    </cfRule>
  </conditionalFormatting>
  <conditionalFormatting sqref="Y476:Z476">
    <cfRule type="expression" dxfId="324" priority="313">
      <formula>$Y476="Required Field"</formula>
    </cfRule>
  </conditionalFormatting>
  <conditionalFormatting sqref="AA476:AB476">
    <cfRule type="expression" dxfId="323" priority="312">
      <formula>$AA476="Required Field"</formula>
    </cfRule>
  </conditionalFormatting>
  <conditionalFormatting sqref="AC476">
    <cfRule type="expression" dxfId="322" priority="311">
      <formula>$AC476="Required Field"</formula>
    </cfRule>
  </conditionalFormatting>
  <conditionalFormatting sqref="AE476">
    <cfRule type="expression" dxfId="321" priority="310">
      <formula>$AE476="Required Field"</formula>
    </cfRule>
  </conditionalFormatting>
  <conditionalFormatting sqref="AG476">
    <cfRule type="expression" dxfId="320" priority="309">
      <formula>$AG476="Required Field"</formula>
    </cfRule>
  </conditionalFormatting>
  <conditionalFormatting sqref="AH476">
    <cfRule type="expression" dxfId="319" priority="308">
      <formula>$AH476="Required Field"</formula>
    </cfRule>
  </conditionalFormatting>
  <conditionalFormatting sqref="AD476">
    <cfRule type="expression" dxfId="318" priority="307">
      <formula>$AD476="Required Field"</formula>
    </cfRule>
  </conditionalFormatting>
  <conditionalFormatting sqref="X478">
    <cfRule type="expression" dxfId="317" priority="306">
      <formula>$X478="Required Field"</formula>
    </cfRule>
  </conditionalFormatting>
  <conditionalFormatting sqref="Y478:Z478">
    <cfRule type="expression" dxfId="316" priority="305">
      <formula>$Y478="Required Field"</formula>
    </cfRule>
  </conditionalFormatting>
  <conditionalFormatting sqref="AA478:AB478">
    <cfRule type="expression" dxfId="315" priority="304">
      <formula>$AA478="Required Field"</formula>
    </cfRule>
  </conditionalFormatting>
  <conditionalFormatting sqref="AC478">
    <cfRule type="expression" dxfId="314" priority="303">
      <formula>$AC478="Required Field"</formula>
    </cfRule>
  </conditionalFormatting>
  <conditionalFormatting sqref="AE478">
    <cfRule type="expression" dxfId="313" priority="302">
      <formula>$AE478="Required Field"</formula>
    </cfRule>
  </conditionalFormatting>
  <conditionalFormatting sqref="AG478">
    <cfRule type="expression" dxfId="312" priority="301">
      <formula>$AG478="Required Field"</formula>
    </cfRule>
  </conditionalFormatting>
  <conditionalFormatting sqref="AH478">
    <cfRule type="expression" dxfId="311" priority="300">
      <formula>$AH478="Required Field"</formula>
    </cfRule>
  </conditionalFormatting>
  <conditionalFormatting sqref="AD478">
    <cfRule type="expression" dxfId="310" priority="299">
      <formula>$AD478="Required Field"</formula>
    </cfRule>
  </conditionalFormatting>
  <conditionalFormatting sqref="X479">
    <cfRule type="expression" dxfId="309" priority="298">
      <formula>$X479="Required Field"</formula>
    </cfRule>
  </conditionalFormatting>
  <conditionalFormatting sqref="Y479:Z479">
    <cfRule type="expression" dxfId="308" priority="297">
      <formula>$Y479="Required Field"</formula>
    </cfRule>
  </conditionalFormatting>
  <conditionalFormatting sqref="AA479:AB479">
    <cfRule type="expression" dxfId="307" priority="296">
      <formula>$AA479="Required Field"</formula>
    </cfRule>
  </conditionalFormatting>
  <conditionalFormatting sqref="AC479">
    <cfRule type="expression" dxfId="306" priority="295">
      <formula>$AC479="Required Field"</formula>
    </cfRule>
  </conditionalFormatting>
  <conditionalFormatting sqref="AE479">
    <cfRule type="expression" dxfId="305" priority="294">
      <formula>$AE479="Required Field"</formula>
    </cfRule>
  </conditionalFormatting>
  <conditionalFormatting sqref="AG479">
    <cfRule type="expression" dxfId="304" priority="293">
      <formula>$AG479="Required Field"</formula>
    </cfRule>
  </conditionalFormatting>
  <conditionalFormatting sqref="AH479">
    <cfRule type="expression" dxfId="303" priority="292">
      <formula>$AH479="Required Field"</formula>
    </cfRule>
  </conditionalFormatting>
  <conditionalFormatting sqref="AD479">
    <cfRule type="expression" dxfId="302" priority="291">
      <formula>$AD479="Required Field"</formula>
    </cfRule>
  </conditionalFormatting>
  <conditionalFormatting sqref="X482">
    <cfRule type="expression" dxfId="301" priority="290">
      <formula>$X482="Required Field"</formula>
    </cfRule>
  </conditionalFormatting>
  <conditionalFormatting sqref="Y482:Z482">
    <cfRule type="expression" dxfId="300" priority="289">
      <formula>$Y482="Required Field"</formula>
    </cfRule>
  </conditionalFormatting>
  <conditionalFormatting sqref="AA482:AB482">
    <cfRule type="expression" dxfId="299" priority="288">
      <formula>$AA482="Required Field"</formula>
    </cfRule>
  </conditionalFormatting>
  <conditionalFormatting sqref="AC482">
    <cfRule type="expression" dxfId="298" priority="287">
      <formula>$AC482="Required Field"</formula>
    </cfRule>
  </conditionalFormatting>
  <conditionalFormatting sqref="AE482">
    <cfRule type="expression" dxfId="297" priority="286">
      <formula>$AE482="Required Field"</formula>
    </cfRule>
  </conditionalFormatting>
  <conditionalFormatting sqref="AG482">
    <cfRule type="expression" dxfId="296" priority="285">
      <formula>$AG482="Required Field"</formula>
    </cfRule>
  </conditionalFormatting>
  <conditionalFormatting sqref="AH482">
    <cfRule type="expression" dxfId="295" priority="284">
      <formula>$AH482="Required Field"</formula>
    </cfRule>
  </conditionalFormatting>
  <conditionalFormatting sqref="AD482">
    <cfRule type="expression" dxfId="294" priority="283">
      <formula>$AD482="Required Field"</formula>
    </cfRule>
  </conditionalFormatting>
  <conditionalFormatting sqref="X483">
    <cfRule type="expression" dxfId="293" priority="282">
      <formula>$X483="Required Field"</formula>
    </cfRule>
  </conditionalFormatting>
  <conditionalFormatting sqref="Y483:Z483">
    <cfRule type="expression" dxfId="292" priority="281">
      <formula>$Y483="Required Field"</formula>
    </cfRule>
  </conditionalFormatting>
  <conditionalFormatting sqref="AA483:AB483">
    <cfRule type="expression" dxfId="291" priority="280">
      <formula>$AA483="Required Field"</formula>
    </cfRule>
  </conditionalFormatting>
  <conditionalFormatting sqref="AC483">
    <cfRule type="expression" dxfId="290" priority="279">
      <formula>$AC483="Required Field"</formula>
    </cfRule>
  </conditionalFormatting>
  <conditionalFormatting sqref="AE483">
    <cfRule type="expression" dxfId="289" priority="278">
      <formula>$AE483="Required Field"</formula>
    </cfRule>
  </conditionalFormatting>
  <conditionalFormatting sqref="AG483">
    <cfRule type="expression" dxfId="288" priority="277">
      <formula>$AG483="Required Field"</formula>
    </cfRule>
  </conditionalFormatting>
  <conditionalFormatting sqref="AH483">
    <cfRule type="expression" dxfId="287" priority="276">
      <formula>$AH483="Required Field"</formula>
    </cfRule>
  </conditionalFormatting>
  <conditionalFormatting sqref="AD483">
    <cfRule type="expression" dxfId="286" priority="275">
      <formula>$AD483="Required Field"</formula>
    </cfRule>
  </conditionalFormatting>
  <conditionalFormatting sqref="X484">
    <cfRule type="expression" dxfId="285" priority="274">
      <formula>$X484="Required Field"</formula>
    </cfRule>
  </conditionalFormatting>
  <conditionalFormatting sqref="Y484:Z484">
    <cfRule type="expression" dxfId="284" priority="273">
      <formula>$Y484="Required Field"</formula>
    </cfRule>
  </conditionalFormatting>
  <conditionalFormatting sqref="AA484:AB484">
    <cfRule type="expression" dxfId="283" priority="272">
      <formula>$AA484="Required Field"</formula>
    </cfRule>
  </conditionalFormatting>
  <conditionalFormatting sqref="AC484">
    <cfRule type="expression" dxfId="282" priority="271">
      <formula>$AC484="Required Field"</formula>
    </cfRule>
  </conditionalFormatting>
  <conditionalFormatting sqref="AE484">
    <cfRule type="expression" dxfId="281" priority="270">
      <formula>$AE484="Required Field"</formula>
    </cfRule>
  </conditionalFormatting>
  <conditionalFormatting sqref="AG484">
    <cfRule type="expression" dxfId="280" priority="269">
      <formula>$AG484="Required Field"</formula>
    </cfRule>
  </conditionalFormatting>
  <conditionalFormatting sqref="AH484">
    <cfRule type="expression" dxfId="279" priority="268">
      <formula>$AH484="Required Field"</formula>
    </cfRule>
  </conditionalFormatting>
  <conditionalFormatting sqref="AD484">
    <cfRule type="expression" dxfId="278" priority="267">
      <formula>$AD484="Required Field"</formula>
    </cfRule>
  </conditionalFormatting>
  <conditionalFormatting sqref="O1:S2 O12:S12 R9:R11 P13:S13 R14:S17 O18:S1048576">
    <cfRule type="expression" dxfId="277" priority="1883">
      <formula>#REF!="Required Field"</formula>
    </cfRule>
  </conditionalFormatting>
  <conditionalFormatting sqref="AJ9:AL492">
    <cfRule type="expression" dxfId="276" priority="1884">
      <formula>#REF!="Auto-populated"</formula>
    </cfRule>
  </conditionalFormatting>
  <conditionalFormatting sqref="J4 J6">
    <cfRule type="expression" dxfId="275" priority="261">
      <formula>$J4="Required Field"</formula>
    </cfRule>
  </conditionalFormatting>
  <conditionalFormatting sqref="L4 L6">
    <cfRule type="expression" dxfId="274" priority="260">
      <formula>$L4="Required Field"</formula>
    </cfRule>
  </conditionalFormatting>
  <conditionalFormatting sqref="M4:N4 M6:N6">
    <cfRule type="expression" dxfId="273" priority="259">
      <formula>$M4="Required Field"</formula>
    </cfRule>
  </conditionalFormatting>
  <conditionalFormatting sqref="T4:T8">
    <cfRule type="expression" dxfId="272" priority="258">
      <formula>$T4="Required Field"</formula>
    </cfRule>
  </conditionalFormatting>
  <conditionalFormatting sqref="U4:U8">
    <cfRule type="expression" dxfId="271" priority="257">
      <formula>$U4="Required Field"</formula>
    </cfRule>
  </conditionalFormatting>
  <conditionalFormatting sqref="V4:V8">
    <cfRule type="expression" dxfId="270" priority="256">
      <formula>$V4="Required Field"</formula>
    </cfRule>
  </conditionalFormatting>
  <conditionalFormatting sqref="W8">
    <cfRule type="expression" dxfId="269" priority="255">
      <formula>$W8="Required Field"</formula>
    </cfRule>
  </conditionalFormatting>
  <conditionalFormatting sqref="X8">
    <cfRule type="expression" dxfId="268" priority="254">
      <formula>$X8="Required Field"</formula>
    </cfRule>
  </conditionalFormatting>
  <conditionalFormatting sqref="AB7:AB8">
    <cfRule type="expression" dxfId="267" priority="253">
      <formula>$AA7="Required Field"</formula>
    </cfRule>
  </conditionalFormatting>
  <conditionalFormatting sqref="AC8">
    <cfRule type="expression" dxfId="266" priority="252">
      <formula>$AC8="Required Field"</formula>
    </cfRule>
  </conditionalFormatting>
  <conditionalFormatting sqref="AM4:AN8">
    <cfRule type="expression" dxfId="265" priority="251">
      <formula>$AM4="Required Field"</formula>
    </cfRule>
  </conditionalFormatting>
  <conditionalFormatting sqref="X4">
    <cfRule type="expression" dxfId="264" priority="250">
      <formula>$X4="Required Field"</formula>
    </cfRule>
  </conditionalFormatting>
  <conditionalFormatting sqref="Y4:Z4">
    <cfRule type="expression" dxfId="263" priority="249">
      <formula>$Y4="Required Field"</formula>
    </cfRule>
  </conditionalFormatting>
  <conditionalFormatting sqref="AE4">
    <cfRule type="expression" dxfId="262" priority="246">
      <formula>$AE4="Required Field"</formula>
    </cfRule>
  </conditionalFormatting>
  <conditionalFormatting sqref="AG4">
    <cfRule type="expression" dxfId="261" priority="245">
      <formula>$AG4="Required Field"</formula>
    </cfRule>
  </conditionalFormatting>
  <conditionalFormatting sqref="AH4">
    <cfRule type="expression" dxfId="260" priority="244">
      <formula>$AH4="Required Field"</formula>
    </cfRule>
  </conditionalFormatting>
  <conditionalFormatting sqref="AD4">
    <cfRule type="expression" dxfId="259" priority="243">
      <formula>$AD4="Required Field"</formula>
    </cfRule>
  </conditionalFormatting>
  <conditionalFormatting sqref="X5">
    <cfRule type="expression" dxfId="258" priority="242">
      <formula>$X5="Required Field"</formula>
    </cfRule>
  </conditionalFormatting>
  <conditionalFormatting sqref="Y5:Z5">
    <cfRule type="expression" dxfId="257" priority="241">
      <formula>$Y5="Required Field"</formula>
    </cfRule>
  </conditionalFormatting>
  <conditionalFormatting sqref="AE5">
    <cfRule type="expression" dxfId="256" priority="239">
      <formula>$AE5="Required Field"</formula>
    </cfRule>
  </conditionalFormatting>
  <conditionalFormatting sqref="AG5">
    <cfRule type="expression" dxfId="255" priority="238">
      <formula>$AG5="Required Field"</formula>
    </cfRule>
  </conditionalFormatting>
  <conditionalFormatting sqref="AH5">
    <cfRule type="expression" dxfId="254" priority="237">
      <formula>$AH5="Required Field"</formula>
    </cfRule>
  </conditionalFormatting>
  <conditionalFormatting sqref="AD5">
    <cfRule type="expression" dxfId="253" priority="236">
      <formula>$AD5="Required Field"</formula>
    </cfRule>
  </conditionalFormatting>
  <conditionalFormatting sqref="W6">
    <cfRule type="expression" dxfId="252" priority="234">
      <formula>$W6="Required Field"</formula>
    </cfRule>
  </conditionalFormatting>
  <conditionalFormatting sqref="X6">
    <cfRule type="expression" dxfId="251" priority="233">
      <formula>$X6="Required Field"</formula>
    </cfRule>
  </conditionalFormatting>
  <conditionalFormatting sqref="Y6:Z6">
    <cfRule type="expression" dxfId="250" priority="232">
      <formula>$Y6="Required Field"</formula>
    </cfRule>
  </conditionalFormatting>
  <conditionalFormatting sqref="AE6">
    <cfRule type="expression" dxfId="249" priority="229">
      <formula>$AE6="Required Field"</formula>
    </cfRule>
  </conditionalFormatting>
  <conditionalFormatting sqref="AG6">
    <cfRule type="expression" dxfId="248" priority="228">
      <formula>$AG6="Required Field"</formula>
    </cfRule>
  </conditionalFormatting>
  <conditionalFormatting sqref="AH6">
    <cfRule type="expression" dxfId="247" priority="227">
      <formula>$AH6="Required Field"</formula>
    </cfRule>
  </conditionalFormatting>
  <conditionalFormatting sqref="AD6">
    <cfRule type="expression" dxfId="246" priority="226">
      <formula>$AD6="Required Field"</formula>
    </cfRule>
  </conditionalFormatting>
  <conditionalFormatting sqref="W7">
    <cfRule type="expression" dxfId="245" priority="225">
      <formula>$W7="Required Field"</formula>
    </cfRule>
  </conditionalFormatting>
  <conditionalFormatting sqref="X7">
    <cfRule type="expression" dxfId="244" priority="224">
      <formula>$X7="Required Field"</formula>
    </cfRule>
  </conditionalFormatting>
  <conditionalFormatting sqref="Y7:Z7">
    <cfRule type="expression" dxfId="243" priority="223">
      <formula>$Y7="Required Field"</formula>
    </cfRule>
  </conditionalFormatting>
  <conditionalFormatting sqref="AB7">
    <cfRule type="expression" dxfId="242" priority="222">
      <formula>$AA7="Required Field"</formula>
    </cfRule>
  </conditionalFormatting>
  <conditionalFormatting sqref="AE7">
    <cfRule type="expression" dxfId="241" priority="220">
      <formula>$AE7="Required Field"</formula>
    </cfRule>
  </conditionalFormatting>
  <conditionalFormatting sqref="AG7">
    <cfRule type="expression" dxfId="240" priority="219">
      <formula>$AG7="Required Field"</formula>
    </cfRule>
  </conditionalFormatting>
  <conditionalFormatting sqref="AH7">
    <cfRule type="expression" dxfId="239" priority="218">
      <formula>$AH7="Required Field"</formula>
    </cfRule>
  </conditionalFormatting>
  <conditionalFormatting sqref="AD7">
    <cfRule type="expression" dxfId="238" priority="217">
      <formula>$AD7="Required Field"</formula>
    </cfRule>
  </conditionalFormatting>
  <conditionalFormatting sqref="Y8:Z8">
    <cfRule type="expression" dxfId="237" priority="216">
      <formula>$Y8="Required Field"</formula>
    </cfRule>
  </conditionalFormatting>
  <conditionalFormatting sqref="AA8:AB8">
    <cfRule type="expression" dxfId="236" priority="215">
      <formula>$AA8="Required Field"</formula>
    </cfRule>
  </conditionalFormatting>
  <conditionalFormatting sqref="AC8">
    <cfRule type="expression" dxfId="235" priority="214">
      <formula>$AC8="Required Field"</formula>
    </cfRule>
  </conditionalFormatting>
  <conditionalFormatting sqref="AE8">
    <cfRule type="expression" dxfId="234" priority="213">
      <formula>$AE8="Required Field"</formula>
    </cfRule>
  </conditionalFormatting>
  <conditionalFormatting sqref="AG8">
    <cfRule type="expression" dxfId="233" priority="212">
      <formula>$AG8="Required Field"</formula>
    </cfRule>
  </conditionalFormatting>
  <conditionalFormatting sqref="AH8">
    <cfRule type="expression" dxfId="232" priority="211">
      <formula>$AH8="Required Field"</formula>
    </cfRule>
  </conditionalFormatting>
  <conditionalFormatting sqref="AD8">
    <cfRule type="expression" dxfId="231" priority="210">
      <formula>$AD8="Required Field"</formula>
    </cfRule>
  </conditionalFormatting>
  <conditionalFormatting sqref="O4:S4 O6:S6 R7:S8">
    <cfRule type="expression" dxfId="230" priority="264">
      <formula>#REF!="Required Field"</formula>
    </cfRule>
  </conditionalFormatting>
  <conditionalFormatting sqref="AJ4:AL8">
    <cfRule type="expression" dxfId="229" priority="265">
      <formula>#REF!="Auto-populated"</formula>
    </cfRule>
  </conditionalFormatting>
  <conditionalFormatting sqref="X4">
    <cfRule type="expression" dxfId="228" priority="208">
      <formula>$X4="Required Field"</formula>
    </cfRule>
  </conditionalFormatting>
  <conditionalFormatting sqref="Y4:Z4">
    <cfRule type="expression" dxfId="227" priority="207">
      <formula>$Y4="Required Field"</formula>
    </cfRule>
  </conditionalFormatting>
  <conditionalFormatting sqref="AE4">
    <cfRule type="expression" dxfId="226" priority="204">
      <formula>$AE4="Required Field"</formula>
    </cfRule>
  </conditionalFormatting>
  <conditionalFormatting sqref="AG4">
    <cfRule type="expression" dxfId="225" priority="203">
      <formula>$AG4="Required Field"</formula>
    </cfRule>
  </conditionalFormatting>
  <conditionalFormatting sqref="AH4">
    <cfRule type="expression" dxfId="224" priority="202">
      <formula>$AH4="Required Field"</formula>
    </cfRule>
  </conditionalFormatting>
  <conditionalFormatting sqref="AD4">
    <cfRule type="expression" dxfId="223" priority="201">
      <formula>$AD4="Required Field"</formula>
    </cfRule>
  </conditionalFormatting>
  <conditionalFormatting sqref="X5">
    <cfRule type="expression" dxfId="222" priority="200">
      <formula>$X5="Required Field"</formula>
    </cfRule>
  </conditionalFormatting>
  <conditionalFormatting sqref="Y5:Z5">
    <cfRule type="expression" dxfId="221" priority="199">
      <formula>$Y5="Required Field"</formula>
    </cfRule>
  </conditionalFormatting>
  <conditionalFormatting sqref="AE5">
    <cfRule type="expression" dxfId="220" priority="197">
      <formula>$AE5="Required Field"</formula>
    </cfRule>
  </conditionalFormatting>
  <conditionalFormatting sqref="AG5">
    <cfRule type="expression" dxfId="219" priority="196">
      <formula>$AG5="Required Field"</formula>
    </cfRule>
  </conditionalFormatting>
  <conditionalFormatting sqref="AH5">
    <cfRule type="expression" dxfId="218" priority="195">
      <formula>$AH5="Required Field"</formula>
    </cfRule>
  </conditionalFormatting>
  <conditionalFormatting sqref="AD5">
    <cfRule type="expression" dxfId="217" priority="194">
      <formula>$AD5="Required Field"</formula>
    </cfRule>
  </conditionalFormatting>
  <conditionalFormatting sqref="W6">
    <cfRule type="expression" dxfId="216" priority="191">
      <formula>$W6="Required Field"</formula>
    </cfRule>
  </conditionalFormatting>
  <conditionalFormatting sqref="X6">
    <cfRule type="expression" dxfId="215" priority="190">
      <formula>$X6="Required Field"</formula>
    </cfRule>
  </conditionalFormatting>
  <conditionalFormatting sqref="Y6:Z6">
    <cfRule type="expression" dxfId="214" priority="189">
      <formula>$Y6="Required Field"</formula>
    </cfRule>
  </conditionalFormatting>
  <conditionalFormatting sqref="AE6">
    <cfRule type="expression" dxfId="213" priority="186">
      <formula>$AE6="Required Field"</formula>
    </cfRule>
  </conditionalFormatting>
  <conditionalFormatting sqref="AG6">
    <cfRule type="expression" dxfId="212" priority="185">
      <formula>$AG6="Required Field"</formula>
    </cfRule>
  </conditionalFormatting>
  <conditionalFormatting sqref="AH6">
    <cfRule type="expression" dxfId="211" priority="184">
      <formula>$AH6="Required Field"</formula>
    </cfRule>
  </conditionalFormatting>
  <conditionalFormatting sqref="AD6">
    <cfRule type="expression" dxfId="210" priority="183">
      <formula>$AD6="Required Field"</formula>
    </cfRule>
  </conditionalFormatting>
  <conditionalFormatting sqref="W7">
    <cfRule type="expression" dxfId="209" priority="182">
      <formula>$W7="Required Field"</formula>
    </cfRule>
  </conditionalFormatting>
  <conditionalFormatting sqref="X7">
    <cfRule type="expression" dxfId="208" priority="181">
      <formula>$X7="Required Field"</formula>
    </cfRule>
  </conditionalFormatting>
  <conditionalFormatting sqref="Y7:Z7">
    <cfRule type="expression" dxfId="207" priority="180">
      <formula>$Y7="Required Field"</formula>
    </cfRule>
  </conditionalFormatting>
  <conditionalFormatting sqref="AB7">
    <cfRule type="expression" dxfId="206" priority="179">
      <formula>$AA7="Required Field"</formula>
    </cfRule>
  </conditionalFormatting>
  <conditionalFormatting sqref="AE7">
    <cfRule type="expression" dxfId="205" priority="177">
      <formula>$AE7="Required Field"</formula>
    </cfRule>
  </conditionalFormatting>
  <conditionalFormatting sqref="AG7">
    <cfRule type="expression" dxfId="204" priority="176">
      <formula>$AG7="Required Field"</formula>
    </cfRule>
  </conditionalFormatting>
  <conditionalFormatting sqref="AH7">
    <cfRule type="expression" dxfId="203" priority="175">
      <formula>$AH7="Required Field"</formula>
    </cfRule>
  </conditionalFormatting>
  <conditionalFormatting sqref="AD7">
    <cfRule type="expression" dxfId="202" priority="174">
      <formula>$AD7="Required Field"</formula>
    </cfRule>
  </conditionalFormatting>
  <conditionalFormatting sqref="W8">
    <cfRule type="expression" dxfId="201" priority="173">
      <formula>$W8="Required Field"</formula>
    </cfRule>
  </conditionalFormatting>
  <conditionalFormatting sqref="X8">
    <cfRule type="expression" dxfId="200" priority="172">
      <formula>$X8="Required Field"</formula>
    </cfRule>
  </conditionalFormatting>
  <conditionalFormatting sqref="Y8:Z8">
    <cfRule type="expression" dxfId="199" priority="171">
      <formula>$Y8="Required Field"</formula>
    </cfRule>
  </conditionalFormatting>
  <conditionalFormatting sqref="AB8">
    <cfRule type="expression" dxfId="198" priority="170">
      <formula>$AA8="Required Field"</formula>
    </cfRule>
  </conditionalFormatting>
  <conditionalFormatting sqref="AE8">
    <cfRule type="expression" dxfId="197" priority="169">
      <formula>$AE8="Required Field"</formula>
    </cfRule>
  </conditionalFormatting>
  <conditionalFormatting sqref="AG8">
    <cfRule type="expression" dxfId="196" priority="168">
      <formula>$AG8="Required Field"</formula>
    </cfRule>
  </conditionalFormatting>
  <conditionalFormatting sqref="AH8">
    <cfRule type="expression" dxfId="195" priority="167">
      <formula>$AH8="Required Field"</formula>
    </cfRule>
  </conditionalFormatting>
  <conditionalFormatting sqref="AD8">
    <cfRule type="expression" dxfId="194" priority="166">
      <formula>$AD8="Required Field"</formula>
    </cfRule>
  </conditionalFormatting>
  <conditionalFormatting sqref="AC8">
    <cfRule type="expression" dxfId="193" priority="165">
      <formula>$AC8="Required Field"</formula>
    </cfRule>
  </conditionalFormatting>
  <conditionalFormatting sqref="AA8">
    <cfRule type="expression" dxfId="192" priority="164">
      <formula>$AA8="Required Field"</formula>
    </cfRule>
  </conditionalFormatting>
  <conditionalFormatting sqref="AT3">
    <cfRule type="expression" dxfId="191" priority="163">
      <formula>$AM3="Required Field"</formula>
    </cfRule>
  </conditionalFormatting>
  <conditionalFormatting sqref="AU3">
    <cfRule type="expression" dxfId="190" priority="162">
      <formula>$AM3="Required Field"</formula>
    </cfRule>
  </conditionalFormatting>
  <conditionalFormatting sqref="AB4">
    <cfRule type="expression" dxfId="189" priority="161">
      <formula>$AA4="Required Field"</formula>
    </cfRule>
  </conditionalFormatting>
  <conditionalFormatting sqref="AC4">
    <cfRule type="expression" dxfId="188" priority="160">
      <formula>$AC4="Required Field"</formula>
    </cfRule>
  </conditionalFormatting>
  <conditionalFormatting sqref="AA4:AB4">
    <cfRule type="expression" dxfId="187" priority="159">
      <formula>$AA4="Required Field"</formula>
    </cfRule>
  </conditionalFormatting>
  <conditionalFormatting sqref="AC4">
    <cfRule type="expression" dxfId="186" priority="158">
      <formula>$AC4="Required Field"</formula>
    </cfRule>
  </conditionalFormatting>
  <conditionalFormatting sqref="AB5">
    <cfRule type="expression" dxfId="185" priority="157">
      <formula>$AA5="Required Field"</formula>
    </cfRule>
  </conditionalFormatting>
  <conditionalFormatting sqref="AC5">
    <cfRule type="expression" dxfId="184" priority="156">
      <formula>$AC5="Required Field"</formula>
    </cfRule>
  </conditionalFormatting>
  <conditionalFormatting sqref="AA5:AB5">
    <cfRule type="expression" dxfId="183" priority="155">
      <formula>$AA5="Required Field"</formula>
    </cfRule>
  </conditionalFormatting>
  <conditionalFormatting sqref="AC5">
    <cfRule type="expression" dxfId="182" priority="154">
      <formula>$AC5="Required Field"</formula>
    </cfRule>
  </conditionalFormatting>
  <conditionalFormatting sqref="J5">
    <cfRule type="expression" dxfId="181" priority="152">
      <formula>$J5="Required Field"</formula>
    </cfRule>
  </conditionalFormatting>
  <conditionalFormatting sqref="L5">
    <cfRule type="expression" dxfId="180" priority="151">
      <formula>$L5="Required Field"</formula>
    </cfRule>
  </conditionalFormatting>
  <conditionalFormatting sqref="M5:N5">
    <cfRule type="expression" dxfId="179" priority="150">
      <formula>$M5="Required Field"</formula>
    </cfRule>
  </conditionalFormatting>
  <conditionalFormatting sqref="O5:S5">
    <cfRule type="expression" dxfId="178" priority="153">
      <formula>#REF!="Required Field"</formula>
    </cfRule>
  </conditionalFormatting>
  <conditionalFormatting sqref="AA6:AB6">
    <cfRule type="expression" dxfId="177" priority="149">
      <formula>$AA6="Required Field"</formula>
    </cfRule>
  </conditionalFormatting>
  <conditionalFormatting sqref="AC6">
    <cfRule type="expression" dxfId="176" priority="148">
      <formula>$AC6="Required Field"</formula>
    </cfRule>
  </conditionalFormatting>
  <conditionalFormatting sqref="J7">
    <cfRule type="expression" dxfId="175" priority="147">
      <formula>$J7="Required Field"</formula>
    </cfRule>
  </conditionalFormatting>
  <conditionalFormatting sqref="L7">
    <cfRule type="expression" dxfId="174" priority="146">
      <formula>$L7="Required Field"</formula>
    </cfRule>
  </conditionalFormatting>
  <conditionalFormatting sqref="M7">
    <cfRule type="expression" dxfId="173" priority="145">
      <formula>$M7="Required Field"</formula>
    </cfRule>
  </conditionalFormatting>
  <conditionalFormatting sqref="N7">
    <cfRule type="expression" dxfId="172" priority="143">
      <formula>$M7="Required Field"</formula>
    </cfRule>
  </conditionalFormatting>
  <conditionalFormatting sqref="O7:Q7">
    <cfRule type="expression" dxfId="171" priority="144">
      <formula>#REF!="Required Field"</formula>
    </cfRule>
  </conditionalFormatting>
  <conditionalFormatting sqref="AA7">
    <cfRule type="expression" dxfId="170" priority="142">
      <formula>$AA7="Required Field"</formula>
    </cfRule>
  </conditionalFormatting>
  <conditionalFormatting sqref="AC7">
    <cfRule type="expression" dxfId="169" priority="141">
      <formula>$AC7="Required Field"</formula>
    </cfRule>
  </conditionalFormatting>
  <conditionalFormatting sqref="AC7">
    <cfRule type="expression" dxfId="168" priority="140">
      <formula>$AC7="Required Field"</formula>
    </cfRule>
  </conditionalFormatting>
  <conditionalFormatting sqref="J8">
    <cfRule type="expression" dxfId="167" priority="139">
      <formula>$J8="Required Field"</formula>
    </cfRule>
  </conditionalFormatting>
  <conditionalFormatting sqref="L8">
    <cfRule type="expression" dxfId="166" priority="138">
      <formula>$L8="Required Field"</formula>
    </cfRule>
  </conditionalFormatting>
  <conditionalFormatting sqref="M8">
    <cfRule type="expression" dxfId="165" priority="137">
      <formula>$M8="Required Field"</formula>
    </cfRule>
  </conditionalFormatting>
  <conditionalFormatting sqref="N8">
    <cfRule type="expression" dxfId="164" priority="135">
      <formula>$M8="Required Field"</formula>
    </cfRule>
  </conditionalFormatting>
  <conditionalFormatting sqref="O8:Q8">
    <cfRule type="expression" dxfId="163" priority="136">
      <formula>#REF!="Required Field"</formula>
    </cfRule>
  </conditionalFormatting>
  <conditionalFormatting sqref="J9">
    <cfRule type="expression" dxfId="162" priority="134">
      <formula>$J9="Required Field"</formula>
    </cfRule>
  </conditionalFormatting>
  <conditionalFormatting sqref="L9">
    <cfRule type="expression" dxfId="161" priority="133">
      <formula>$L9="Required Field"</formula>
    </cfRule>
  </conditionalFormatting>
  <conditionalFormatting sqref="M9">
    <cfRule type="expression" dxfId="160" priority="132">
      <formula>$M9="Required Field"</formula>
    </cfRule>
  </conditionalFormatting>
  <conditionalFormatting sqref="N9">
    <cfRule type="expression" dxfId="159" priority="130">
      <formula>$M9="Required Field"</formula>
    </cfRule>
  </conditionalFormatting>
  <conditionalFormatting sqref="O9:Q9">
    <cfRule type="expression" dxfId="158" priority="131">
      <formula>#REF!="Required Field"</formula>
    </cfRule>
  </conditionalFormatting>
  <conditionalFormatting sqref="S9">
    <cfRule type="expression" dxfId="157" priority="129">
      <formula>#REF!="Required Field"</formula>
    </cfRule>
  </conditionalFormatting>
  <conditionalFormatting sqref="J10">
    <cfRule type="expression" dxfId="156" priority="128">
      <formula>$J10="Required Field"</formula>
    </cfRule>
  </conditionalFormatting>
  <conditionalFormatting sqref="L10">
    <cfRule type="expression" dxfId="155" priority="127">
      <formula>$L10="Required Field"</formula>
    </cfRule>
  </conditionalFormatting>
  <conditionalFormatting sqref="M10">
    <cfRule type="expression" dxfId="154" priority="126">
      <formula>$M10="Required Field"</formula>
    </cfRule>
  </conditionalFormatting>
  <conditionalFormatting sqref="N10">
    <cfRule type="expression" dxfId="153" priority="124">
      <formula>$M10="Required Field"</formula>
    </cfRule>
  </conditionalFormatting>
  <conditionalFormatting sqref="O10:Q10">
    <cfRule type="expression" dxfId="152" priority="125">
      <formula>#REF!="Required Field"</formula>
    </cfRule>
  </conditionalFormatting>
  <conditionalFormatting sqref="S10">
    <cfRule type="expression" dxfId="151" priority="123">
      <formula>#REF!="Required Field"</formula>
    </cfRule>
  </conditionalFormatting>
  <conditionalFormatting sqref="N11">
    <cfRule type="expression" dxfId="150" priority="121">
      <formula>$M11="Required Field"</formula>
    </cfRule>
  </conditionalFormatting>
  <conditionalFormatting sqref="O11:Q11">
    <cfRule type="expression" dxfId="149" priority="122">
      <formula>#REF!="Required Field"</formula>
    </cfRule>
  </conditionalFormatting>
  <conditionalFormatting sqref="S11">
    <cfRule type="expression" dxfId="148" priority="120">
      <formula>#REF!="Required Field"</formula>
    </cfRule>
  </conditionalFormatting>
  <conditionalFormatting sqref="J13">
    <cfRule type="expression" dxfId="147" priority="118">
      <formula>$J13="Required Field"</formula>
    </cfRule>
  </conditionalFormatting>
  <conditionalFormatting sqref="L13">
    <cfRule type="expression" dxfId="146" priority="117">
      <formula>$L13="Required Field"</formula>
    </cfRule>
  </conditionalFormatting>
  <conditionalFormatting sqref="M13:N13">
    <cfRule type="expression" dxfId="145" priority="116">
      <formula>$M13="Required Field"</formula>
    </cfRule>
  </conditionalFormatting>
  <conditionalFormatting sqref="O13">
    <cfRule type="expression" dxfId="144" priority="119">
      <formula>#REF!="Required Field"</formula>
    </cfRule>
  </conditionalFormatting>
  <conditionalFormatting sqref="J14">
    <cfRule type="expression" dxfId="143" priority="115">
      <formula>$J14="Required Field"</formula>
    </cfRule>
  </conditionalFormatting>
  <conditionalFormatting sqref="L14">
    <cfRule type="expression" dxfId="142" priority="114">
      <formula>$L14="Required Field"</formula>
    </cfRule>
  </conditionalFormatting>
  <conditionalFormatting sqref="M14:N14">
    <cfRule type="expression" dxfId="141" priority="113">
      <formula>$M14="Required Field"</formula>
    </cfRule>
  </conditionalFormatting>
  <conditionalFormatting sqref="P14:Q14">
    <cfRule type="expression" dxfId="140" priority="112">
      <formula>#REF!="Required Field"</formula>
    </cfRule>
  </conditionalFormatting>
  <conditionalFormatting sqref="O14">
    <cfRule type="expression" dxfId="139" priority="111">
      <formula>#REF!="Required Field"</formula>
    </cfRule>
  </conditionalFormatting>
  <conditionalFormatting sqref="J15">
    <cfRule type="expression" dxfId="138" priority="110">
      <formula>$J15="Required Field"</formula>
    </cfRule>
  </conditionalFormatting>
  <conditionalFormatting sqref="L15">
    <cfRule type="expression" dxfId="137" priority="109">
      <formula>$L15="Required Field"</formula>
    </cfRule>
  </conditionalFormatting>
  <conditionalFormatting sqref="M15:N15">
    <cfRule type="expression" dxfId="136" priority="108">
      <formula>$M15="Required Field"</formula>
    </cfRule>
  </conditionalFormatting>
  <conditionalFormatting sqref="P15:Q15">
    <cfRule type="expression" dxfId="135" priority="107">
      <formula>#REF!="Required Field"</formula>
    </cfRule>
  </conditionalFormatting>
  <conditionalFormatting sqref="O15">
    <cfRule type="expression" dxfId="134" priority="106">
      <formula>#REF!="Required Field"</formula>
    </cfRule>
  </conditionalFormatting>
  <conditionalFormatting sqref="J16">
    <cfRule type="expression" dxfId="133" priority="105">
      <formula>$J16="Required Field"</formula>
    </cfRule>
  </conditionalFormatting>
  <conditionalFormatting sqref="L16">
    <cfRule type="expression" dxfId="132" priority="104">
      <formula>$L16="Required Field"</formula>
    </cfRule>
  </conditionalFormatting>
  <conditionalFormatting sqref="M16:N16">
    <cfRule type="expression" dxfId="131" priority="103">
      <formula>$M16="Required Field"</formula>
    </cfRule>
  </conditionalFormatting>
  <conditionalFormatting sqref="P16:Q16">
    <cfRule type="expression" dxfId="130" priority="102">
      <formula>#REF!="Required Field"</formula>
    </cfRule>
  </conditionalFormatting>
  <conditionalFormatting sqref="O16">
    <cfRule type="expression" dxfId="129" priority="101">
      <formula>#REF!="Required Field"</formula>
    </cfRule>
  </conditionalFormatting>
  <conditionalFormatting sqref="J17">
    <cfRule type="expression" dxfId="128" priority="100">
      <formula>$J17="Required Field"</formula>
    </cfRule>
  </conditionalFormatting>
  <conditionalFormatting sqref="L17">
    <cfRule type="expression" dxfId="127" priority="99">
      <formula>$L17="Required Field"</formula>
    </cfRule>
  </conditionalFormatting>
  <conditionalFormatting sqref="M17:N17">
    <cfRule type="expression" dxfId="126" priority="98">
      <formula>$M17="Required Field"</formula>
    </cfRule>
  </conditionalFormatting>
  <conditionalFormatting sqref="P17:Q17">
    <cfRule type="expression" dxfId="125" priority="97">
      <formula>#REF!="Required Field"</formula>
    </cfRule>
  </conditionalFormatting>
  <conditionalFormatting sqref="O17">
    <cfRule type="expression" dxfId="124" priority="96">
      <formula>#REF!="Required Field"</formula>
    </cfRule>
  </conditionalFormatting>
  <conditionalFormatting sqref="J18">
    <cfRule type="expression" dxfId="123" priority="95">
      <formula>$J18="Required Field"</formula>
    </cfRule>
  </conditionalFormatting>
  <conditionalFormatting sqref="L18">
    <cfRule type="expression" dxfId="122" priority="94">
      <formula>$L18="Required Field"</formula>
    </cfRule>
  </conditionalFormatting>
  <conditionalFormatting sqref="M18:N18">
    <cfRule type="expression" dxfId="121" priority="93">
      <formula>$M18="Required Field"</formula>
    </cfRule>
  </conditionalFormatting>
  <conditionalFormatting sqref="J21">
    <cfRule type="expression" dxfId="120" priority="90">
      <formula>$J21="Required Field"</formula>
    </cfRule>
  </conditionalFormatting>
  <conditionalFormatting sqref="L21">
    <cfRule type="expression" dxfId="119" priority="89">
      <formula>$L21="Required Field"</formula>
    </cfRule>
  </conditionalFormatting>
  <conditionalFormatting sqref="M21:N21">
    <cfRule type="expression" dxfId="118" priority="88">
      <formula>$M21="Required Field"</formula>
    </cfRule>
  </conditionalFormatting>
  <conditionalFormatting sqref="J22">
    <cfRule type="expression" dxfId="117" priority="87">
      <formula>$J22="Required Field"</formula>
    </cfRule>
  </conditionalFormatting>
  <conditionalFormatting sqref="L22">
    <cfRule type="expression" dxfId="116" priority="86">
      <formula>$L22="Required Field"</formula>
    </cfRule>
  </conditionalFormatting>
  <conditionalFormatting sqref="M22:N22">
    <cfRule type="expression" dxfId="115" priority="85">
      <formula>$M22="Required Field"</formula>
    </cfRule>
  </conditionalFormatting>
  <conditionalFormatting sqref="J23">
    <cfRule type="expression" dxfId="114" priority="79">
      <formula>$J23="Required Field"</formula>
    </cfRule>
  </conditionalFormatting>
  <conditionalFormatting sqref="L23">
    <cfRule type="expression" dxfId="113" priority="78">
      <formula>$L23="Required Field"</formula>
    </cfRule>
  </conditionalFormatting>
  <conditionalFormatting sqref="M23:N23">
    <cfRule type="expression" dxfId="112" priority="77">
      <formula>$M23="Required Field"</formula>
    </cfRule>
  </conditionalFormatting>
  <conditionalFormatting sqref="J24">
    <cfRule type="expression" dxfId="111" priority="76">
      <formula>$J24="Required Field"</formula>
    </cfRule>
  </conditionalFormatting>
  <conditionalFormatting sqref="L24">
    <cfRule type="expression" dxfId="110" priority="75">
      <formula>$L24="Required Field"</formula>
    </cfRule>
  </conditionalFormatting>
  <conditionalFormatting sqref="M24:N24">
    <cfRule type="expression" dxfId="109" priority="74">
      <formula>$M24="Required Field"</formula>
    </cfRule>
  </conditionalFormatting>
  <conditionalFormatting sqref="J26">
    <cfRule type="expression" dxfId="108" priority="73">
      <formula>$J26="Required Field"</formula>
    </cfRule>
  </conditionalFormatting>
  <conditionalFormatting sqref="L26">
    <cfRule type="expression" dxfId="107" priority="72">
      <formula>$L26="Required Field"</formula>
    </cfRule>
  </conditionalFormatting>
  <conditionalFormatting sqref="M26:N26">
    <cfRule type="expression" dxfId="106" priority="71">
      <formula>$M26="Required Field"</formula>
    </cfRule>
  </conditionalFormatting>
  <conditionalFormatting sqref="J27">
    <cfRule type="expression" dxfId="105" priority="70">
      <formula>$J27="Required Field"</formula>
    </cfRule>
  </conditionalFormatting>
  <conditionalFormatting sqref="L27">
    <cfRule type="expression" dxfId="104" priority="69">
      <formula>$L27="Required Field"</formula>
    </cfRule>
  </conditionalFormatting>
  <conditionalFormatting sqref="M27:N27">
    <cfRule type="expression" dxfId="103" priority="68">
      <formula>$M27="Required Field"</formula>
    </cfRule>
  </conditionalFormatting>
  <conditionalFormatting sqref="J28">
    <cfRule type="expression" dxfId="102" priority="66">
      <formula>$J28="Required Field"</formula>
    </cfRule>
  </conditionalFormatting>
  <conditionalFormatting sqref="L28">
    <cfRule type="expression" dxfId="101" priority="65">
      <formula>$L28="Required Field"</formula>
    </cfRule>
  </conditionalFormatting>
  <conditionalFormatting sqref="M28:N28">
    <cfRule type="expression" dxfId="100" priority="64">
      <formula>$M28="Required Field"</formula>
    </cfRule>
  </conditionalFormatting>
  <conditionalFormatting sqref="J29">
    <cfRule type="expression" dxfId="99" priority="62">
      <formula>$J29="Required Field"</formula>
    </cfRule>
  </conditionalFormatting>
  <conditionalFormatting sqref="L29">
    <cfRule type="expression" dxfId="98" priority="61">
      <formula>$L29="Required Field"</formula>
    </cfRule>
  </conditionalFormatting>
  <conditionalFormatting sqref="M29:N29">
    <cfRule type="expression" dxfId="97" priority="60">
      <formula>$M29="Required Field"</formula>
    </cfRule>
  </conditionalFormatting>
  <conditionalFormatting sqref="J30">
    <cfRule type="expression" dxfId="96" priority="58">
      <formula>$J30="Required Field"</formula>
    </cfRule>
  </conditionalFormatting>
  <conditionalFormatting sqref="L30">
    <cfRule type="expression" dxfId="95" priority="57">
      <formula>$L30="Required Field"</formula>
    </cfRule>
  </conditionalFormatting>
  <conditionalFormatting sqref="M30:N30">
    <cfRule type="expression" dxfId="94" priority="56">
      <formula>$M30="Required Field"</formula>
    </cfRule>
  </conditionalFormatting>
  <conditionalFormatting sqref="J31">
    <cfRule type="expression" dxfId="93" priority="48">
      <formula>$J31="Required Field"</formula>
    </cfRule>
  </conditionalFormatting>
  <conditionalFormatting sqref="L31">
    <cfRule type="expression" dxfId="92" priority="47">
      <formula>$L31="Required Field"</formula>
    </cfRule>
  </conditionalFormatting>
  <conditionalFormatting sqref="M31:N31">
    <cfRule type="expression" dxfId="91" priority="46">
      <formula>$M31="Required Field"</formula>
    </cfRule>
  </conditionalFormatting>
  <conditionalFormatting sqref="J32">
    <cfRule type="expression" dxfId="90" priority="45">
      <formula>$J32="Required Field"</formula>
    </cfRule>
  </conditionalFormatting>
  <conditionalFormatting sqref="L32">
    <cfRule type="expression" dxfId="89" priority="44">
      <formula>$L32="Required Field"</formula>
    </cfRule>
  </conditionalFormatting>
  <conditionalFormatting sqref="M32:N32">
    <cfRule type="expression" dxfId="88" priority="43">
      <formula>$M32="Required Field"</formula>
    </cfRule>
  </conditionalFormatting>
  <conditionalFormatting sqref="J33">
    <cfRule type="expression" dxfId="87" priority="42">
      <formula>$J33="Required Field"</formula>
    </cfRule>
  </conditionalFormatting>
  <conditionalFormatting sqref="L33">
    <cfRule type="expression" dxfId="86" priority="41">
      <formula>$L33="Required Field"</formula>
    </cfRule>
  </conditionalFormatting>
  <conditionalFormatting sqref="M33:N33">
    <cfRule type="expression" dxfId="85" priority="40">
      <formula>$M33="Required Field"</formula>
    </cfRule>
  </conditionalFormatting>
  <conditionalFormatting sqref="J34">
    <cfRule type="expression" dxfId="84" priority="39">
      <formula>$J34="Required Field"</formula>
    </cfRule>
  </conditionalFormatting>
  <conditionalFormatting sqref="L34">
    <cfRule type="expression" dxfId="83" priority="38">
      <formula>$L34="Required Field"</formula>
    </cfRule>
  </conditionalFormatting>
  <conditionalFormatting sqref="M34:N34">
    <cfRule type="expression" dxfId="82" priority="37">
      <formula>$M34="Required Field"</formula>
    </cfRule>
  </conditionalFormatting>
  <conditionalFormatting sqref="J35">
    <cfRule type="expression" dxfId="81" priority="36">
      <formula>$J35="Required Field"</formula>
    </cfRule>
  </conditionalFormatting>
  <conditionalFormatting sqref="L35">
    <cfRule type="expression" dxfId="80" priority="35">
      <formula>$L35="Required Field"</formula>
    </cfRule>
  </conditionalFormatting>
  <conditionalFormatting sqref="M35:N35">
    <cfRule type="expression" dxfId="79" priority="34">
      <formula>$M35="Required Field"</formula>
    </cfRule>
  </conditionalFormatting>
  <conditionalFormatting sqref="J36">
    <cfRule type="expression" dxfId="78" priority="33">
      <formula>$J36="Required Field"</formula>
    </cfRule>
  </conditionalFormatting>
  <conditionalFormatting sqref="L36">
    <cfRule type="expression" dxfId="77" priority="32">
      <formula>$L36="Required Field"</formula>
    </cfRule>
  </conditionalFormatting>
  <conditionalFormatting sqref="M36:N36">
    <cfRule type="expression" dxfId="76" priority="31">
      <formula>$M36="Required Field"</formula>
    </cfRule>
  </conditionalFormatting>
  <conditionalFormatting sqref="J37">
    <cfRule type="expression" dxfId="75" priority="30">
      <formula>$J37="Required Field"</formula>
    </cfRule>
  </conditionalFormatting>
  <conditionalFormatting sqref="L37">
    <cfRule type="expression" dxfId="74" priority="29">
      <formula>$L37="Required Field"</formula>
    </cfRule>
  </conditionalFormatting>
  <conditionalFormatting sqref="M37:N37">
    <cfRule type="expression" dxfId="73" priority="28">
      <formula>$M37="Required Field"</formula>
    </cfRule>
  </conditionalFormatting>
  <conditionalFormatting sqref="J38">
    <cfRule type="expression" dxfId="72" priority="27">
      <formula>$J38="Required Field"</formula>
    </cfRule>
  </conditionalFormatting>
  <conditionalFormatting sqref="L38">
    <cfRule type="expression" dxfId="71" priority="26">
      <formula>$L38="Required Field"</formula>
    </cfRule>
  </conditionalFormatting>
  <conditionalFormatting sqref="M38:N38">
    <cfRule type="expression" dxfId="70" priority="25">
      <formula>$M38="Required Field"</formula>
    </cfRule>
  </conditionalFormatting>
  <conditionalFormatting sqref="J39">
    <cfRule type="expression" dxfId="69" priority="24">
      <formula>$J39="Required Field"</formula>
    </cfRule>
  </conditionalFormatting>
  <conditionalFormatting sqref="L39">
    <cfRule type="expression" dxfId="68" priority="23">
      <formula>$L39="Required Field"</formula>
    </cfRule>
  </conditionalFormatting>
  <conditionalFormatting sqref="M39:N39">
    <cfRule type="expression" dxfId="67" priority="22">
      <formula>$M39="Required Field"</formula>
    </cfRule>
  </conditionalFormatting>
  <conditionalFormatting sqref="J40">
    <cfRule type="expression" dxfId="66" priority="21">
      <formula>$J40="Required Field"</formula>
    </cfRule>
  </conditionalFormatting>
  <conditionalFormatting sqref="L40">
    <cfRule type="expression" dxfId="65" priority="20">
      <formula>$L40="Required Field"</formula>
    </cfRule>
  </conditionalFormatting>
  <conditionalFormatting sqref="M40:N40">
    <cfRule type="expression" dxfId="64" priority="19">
      <formula>$M40="Required Field"</formula>
    </cfRule>
  </conditionalFormatting>
  <conditionalFormatting sqref="J41">
    <cfRule type="expression" dxfId="63" priority="18">
      <formula>$J41="Required Field"</formula>
    </cfRule>
  </conditionalFormatting>
  <conditionalFormatting sqref="L41">
    <cfRule type="expression" dxfId="62" priority="17">
      <formula>$L41="Required Field"</formula>
    </cfRule>
  </conditionalFormatting>
  <conditionalFormatting sqref="M41:N41">
    <cfRule type="expression" dxfId="61" priority="16">
      <formula>$M41="Required Field"</formula>
    </cfRule>
  </conditionalFormatting>
  <conditionalFormatting sqref="J42">
    <cfRule type="expression" dxfId="60" priority="15">
      <formula>$J42="Required Field"</formula>
    </cfRule>
  </conditionalFormatting>
  <conditionalFormatting sqref="L42">
    <cfRule type="expression" dxfId="59" priority="14">
      <formula>$L42="Required Field"</formula>
    </cfRule>
  </conditionalFormatting>
  <conditionalFormatting sqref="M42:N42">
    <cfRule type="expression" dxfId="58" priority="13">
      <formula>$M42="Required Field"</formula>
    </cfRule>
  </conditionalFormatting>
  <conditionalFormatting sqref="J43">
    <cfRule type="expression" dxfId="57" priority="12">
      <formula>$J43="Required Field"</formula>
    </cfRule>
  </conditionalFormatting>
  <conditionalFormatting sqref="L43">
    <cfRule type="expression" dxfId="56" priority="11">
      <formula>$L43="Required Field"</formula>
    </cfRule>
  </conditionalFormatting>
  <conditionalFormatting sqref="M43:N43">
    <cfRule type="expression" dxfId="55" priority="10">
      <formula>$M43="Required Field"</formula>
    </cfRule>
  </conditionalFormatting>
  <conditionalFormatting sqref="J44">
    <cfRule type="expression" dxfId="54" priority="9">
      <formula>$J44="Required Field"</formula>
    </cfRule>
  </conditionalFormatting>
  <conditionalFormatting sqref="L44">
    <cfRule type="expression" dxfId="53" priority="8">
      <formula>$L44="Required Field"</formula>
    </cfRule>
  </conditionalFormatting>
  <conditionalFormatting sqref="M44:N44">
    <cfRule type="expression" dxfId="52" priority="7">
      <formula>$M44="Required Field"</formula>
    </cfRule>
  </conditionalFormatting>
  <conditionalFormatting sqref="J45">
    <cfRule type="expression" dxfId="51" priority="6">
      <formula>$J45="Required Field"</formula>
    </cfRule>
  </conditionalFormatting>
  <conditionalFormatting sqref="L45">
    <cfRule type="expression" dxfId="50" priority="5">
      <formula>$L45="Required Field"</formula>
    </cfRule>
  </conditionalFormatting>
  <conditionalFormatting sqref="M45:N45">
    <cfRule type="expression" dxfId="49" priority="4">
      <formula>$M45="Required Field"</formula>
    </cfRule>
  </conditionalFormatting>
  <conditionalFormatting sqref="J46">
    <cfRule type="expression" dxfId="48" priority="3">
      <formula>$J46="Required Field"</formula>
    </cfRule>
  </conditionalFormatting>
  <conditionalFormatting sqref="L46">
    <cfRule type="expression" dxfId="47" priority="2">
      <formula>$L46="Required Field"</formula>
    </cfRule>
  </conditionalFormatting>
  <conditionalFormatting sqref="M46:N46">
    <cfRule type="expression" dxfId="46" priority="1">
      <formula>$M46="Required Field"</formula>
    </cfRule>
  </conditionalFormatting>
  <dataValidations xWindow="239" yWindow="274" count="31">
    <dataValidation errorStyle="warning" allowBlank="1" showInputMessage="1" showErrorMessage="1" promptTitle="Room" prompt="Relates to the room i.e. a room on aspecific floor" sqref="V493:V1048576" xr:uid="{00000000-0002-0000-0200-000000000000}"/>
    <dataValidation type="list" errorStyle="information" allowBlank="1" showInputMessage="1" promptTitle="Specific Item" prompt="Select specific item, application or product from dropdown list. See also handout provided." sqref="X493:X1048576" xr:uid="{00000000-0002-0000-0200-000001000000}">
      <formula1>Specificuses</formula1>
    </dataValidation>
    <dataValidation allowBlank="1" showInputMessage="1" showErrorMessage="1" promptTitle="Site Name" prompt="Enter the common name given to the location of the building e.g. Park" sqref="C604:C1048576" xr:uid="{00000000-0002-0000-0200-000002000000}"/>
    <dataValidation type="list" allowBlank="1" showInputMessage="1" showErrorMessage="1" promptTitle="Friability" prompt="Friable ACMs can be easily reduced to powder by hand when dry. Non-friable or bonded ACMs are materials where the asbestos is firmly bound in the material." sqref="Y493:Z1048576" xr:uid="{00000000-0002-0000-0200-000003000000}">
      <formula1>Friability</formula1>
    </dataValidation>
    <dataValidation type="list" allowBlank="1" showInputMessage="1" showErrorMessage="1" promptTitle="Sample Analysis Result" prompt="Select the result of sample analysis from the dropdown list provided" sqref="AE493:AE1048576" xr:uid="{00000000-0002-0000-0200-000004000000}">
      <formula1>Sampleanalysisresult</formula1>
    </dataValidation>
    <dataValidation type="list" allowBlank="1" showInputMessage="1" showErrorMessage="1" promptTitle="Condition" prompt="Select the condition of the asbestos from the dropdown list provided" sqref="AG4:AG1048576" xr:uid="{00000000-0002-0000-0200-000005000000}">
      <formula1>Condition</formula1>
    </dataValidation>
    <dataValidation allowBlank="1" showInputMessage="1" showErrorMessage="1" promptTitle="Room" prompt="Relates to the room i.e. a room on aspecific floor" sqref="V4:V492" xr:uid="{00000000-0002-0000-0200-000006000000}"/>
    <dataValidation type="list" allowBlank="1" showInputMessage="1" showErrorMessage="1" sqref="AC4:AC493 AA4:AA492 B4:B503" xr:uid="{00000000-0002-0000-0200-000007000000}">
      <formula1>INDIRECT(A4)</formula1>
    </dataValidation>
    <dataValidation type="list" allowBlank="1" showInputMessage="1" showErrorMessage="1" promptTitle="Frequency of Use" prompt="Select the frequency of use for this building from the dropdown list provided" sqref="L4:L1048576" xr:uid="{00000000-0002-0000-0200-000008000000}">
      <formula1>Frequencyofuse</formula1>
    </dataValidation>
    <dataValidation type="list" allowBlank="1" showInputMessage="1" showErrorMessage="1" promptTitle="Disturbance Potential" prompt="Select from the dropdown list provided the potential for the identified asbestos material to be disturbed" sqref="AH4:AH1048576" xr:uid="{00000000-0002-0000-0200-000009000000}">
      <formula1>Disturbancepotential</formula1>
    </dataValidation>
    <dataValidation type="list" allowBlank="1" showInputMessage="1" showErrorMessage="1" promptTitle="Ownership" prompt="Select the legal title status of this building from the dropdown list provided" sqref="J4:J1048576" xr:uid="{00000000-0002-0000-0200-00000A000000}">
      <formula1>Ownedorleased</formula1>
    </dataValidation>
    <dataValidation allowBlank="1" showInputMessage="1" showErrorMessage="1" promptTitle="Unique ID" prompt="Enter Agency's unique building ID if applicable" sqref="K4:K1048576" xr:uid="{00000000-0002-0000-0200-00000B000000}"/>
    <dataValidation type="list" allowBlank="1" showInputMessage="1" showErrorMessage="1" promptTitle="Public Access" prompt="Can the public access this building? _x000a_Select Yes or No" sqref="M4:M1048576" xr:uid="{00000000-0002-0000-0200-00000C000000}">
      <formula1>Yesno</formula1>
    </dataValidation>
    <dataValidation allowBlank="1" showInputMessage="1" showErrorMessage="1" promptTitle="Location in room" prompt="Location of asbestos in aspecific room on a specific level_x000a_(see examples below)" sqref="W4:W1048576" xr:uid="{00000000-0002-0000-0200-00000D000000}"/>
    <dataValidation errorStyle="warning" allowBlank="1" showInputMessage="1" showErrorMessage="1" promptTitle="Level" prompt="Enter the level/floor of the building that contains asbestos" sqref="U504:U1048576" xr:uid="{00000000-0002-0000-0200-00000E000000}"/>
    <dataValidation allowBlank="1" showInputMessage="1" showErrorMessage="1" promptTitle="NATA Sample Number" prompt="Enter the National Association of Testing Authorities (NATA) sample no. or reason for not sampling. If no sample no. enter &quot;Not sampled&quot;" sqref="AD4:AD1048576" xr:uid="{00000000-0002-0000-0200-00000F000000}"/>
    <dataValidation allowBlank="1" showInputMessage="1" showErrorMessage="1" promptTitle="Hygiene Company" prompt="Enter the most recent hygiene or consulting company that conducted an inspection" sqref="AF493:AF1048576" xr:uid="{00000000-0002-0000-0200-000010000000}"/>
    <dataValidation type="list" allowBlank="1" showInputMessage="1" showErrorMessage="1" promptTitle="Internal / External" prompt="Location of asbestos in relation to the building. Select from dropdown list provided" sqref="T4:T1048576" xr:uid="{00000000-0002-0000-0200-000011000000}">
      <formula1>InternalExternal</formula1>
    </dataValidation>
    <dataValidation allowBlank="1" showInputMessage="1" showErrorMessage="1" promptTitle="Suburb" prompt="Enter the correct suburb for this building" sqref="H493:H1048576" xr:uid="{00000000-0002-0000-0200-000012000000}"/>
    <dataValidation type="list" allowBlank="1" showInputMessage="1" showErrorMessage="1" promptTitle="Sample Analysis Result" prompt="Select the result of sample analysis from the dropdown list provided" sqref="AE4:AE492" xr:uid="{00000000-0002-0000-0200-000013000000}">
      <formula1>Sample_analysis_result</formula1>
    </dataValidation>
    <dataValidation type="list" allowBlank="1" showInputMessage="1" showErrorMessage="1" sqref="AO4:AO492 AJ1:AJ1048576" xr:uid="{00000000-0002-0000-0200-000014000000}">
      <formula1>Yesno</formula1>
    </dataValidation>
    <dataValidation allowBlank="1" showInputMessage="1" showErrorMessage="1" promptTitle="Friability" prompt="Friable ACMs can be easily reduced to powder by hand when dry. Non-friable or bonded ACMs are materials where the asbestos is firmly bound in the material." sqref="Z4:Z492" xr:uid="{00000000-0002-0000-0200-000015000000}"/>
    <dataValidation type="date" allowBlank="1" showInputMessage="1" showErrorMessage="1" sqref="AP4:AP492 N4:N492" xr:uid="{00000000-0002-0000-0200-000016000000}">
      <formula1>1</formula1>
      <formula2>45720</formula2>
    </dataValidation>
    <dataValidation type="whole" allowBlank="1" showInputMessage="1" showErrorMessage="1" sqref="O4:O492" xr:uid="{00000000-0002-0000-0200-000017000000}">
      <formula1>1800</formula1>
      <formula2>2021</formula2>
    </dataValidation>
    <dataValidation type="decimal" allowBlank="1" showInputMessage="1" showErrorMessage="1" sqref="P4:P492" xr:uid="{00000000-0002-0000-0200-000018000000}">
      <formula1>0</formula1>
      <formula2>1000000</formula2>
    </dataValidation>
    <dataValidation type="whole" allowBlank="1" showInputMessage="1" showErrorMessage="1" sqref="Q4:Q492" xr:uid="{00000000-0002-0000-0200-000019000000}">
      <formula1>0</formula1>
      <formula2>1000</formula2>
    </dataValidation>
    <dataValidation type="whole" allowBlank="1" showInputMessage="1" showErrorMessage="1" sqref="AI4:AI492 AQ4:AQ492" xr:uid="{00000000-0002-0000-0200-00001A000000}">
      <formula1>0</formula1>
      <formula2>1000000</formula2>
    </dataValidation>
    <dataValidation type="custom" showInputMessage="1" showErrorMessage="1" errorTitle="invalid characters" error="@ and , are invalid characters" promptTitle="Site Name" prompt="Enter the common name given to the location of the building e.g. Park" sqref="D1:D3 D47:D1048576" xr:uid="{00000000-0002-0000-0200-00001B000000}">
      <formula1>AND(ISERROR(FIND("@",D1)),ISERROR(FIND(",",D1)))</formula1>
    </dataValidation>
    <dataValidation type="custom" showInputMessage="1" showErrorMessage="1" promptTitle="Building Address" prompt="Enter the level, number and street address for this building" sqref="G1:G4 G6:G1048576" xr:uid="{00000000-0002-0000-0200-00001C000000}">
      <formula1>AND(ISERROR(FIND("@",G1)),ISERROR(FIND(",",G1)))</formula1>
    </dataValidation>
    <dataValidation type="custom" showErrorMessage="1" promptTitle="Building Name" prompt="Enter the recognised name of the building" sqref="E1:E17 E47:E1048576" xr:uid="{00000000-0002-0000-0200-00001D000000}">
      <formula1>AND(ISERROR(FIND("@",E1)),ISERROR(FIND(",",E1)))</formula1>
    </dataValidation>
    <dataValidation type="custom" showErrorMessage="1" promptTitle="Building Address" prompt="Enter the level, number and street address for this building" sqref="G5" xr:uid="{00000000-0002-0000-0200-00001E000000}">
      <formula1>AND(ISERROR(FIND("@",G5)),ISERROR(FIND(",",G5)))</formula1>
    </dataValidation>
  </dataValidations>
  <hyperlinks>
    <hyperlink ref="AS3" location="'Entering Data into the BAR'!A45" display="EPA Waste Transport Certificate No" xr:uid="{00000000-0004-0000-0200-000000000000}"/>
    <hyperlink ref="AR3" location="'Entering Data into the BAR'!A44" display="Asbestos Removal Notification No" xr:uid="{00000000-0004-0000-0200-000001000000}"/>
    <hyperlink ref="AQ3" location="'Entering Data into the BAR'!A43" display="Quantity Removed" xr:uid="{00000000-0004-0000-0200-000002000000}"/>
    <hyperlink ref="AP3" location="'Entering Data into the BAR'!A42" display="Date of Removal" xr:uid="{00000000-0004-0000-0200-000003000000}"/>
    <hyperlink ref="AO3" location="'Entering Data into the BAR'!A41" display="Assumed Removed?" xr:uid="{00000000-0004-0000-0200-000004000000}"/>
    <hyperlink ref="AK3" location="'Entering Data into the BAR'!A37" display="Label Details" xr:uid="{00000000-0004-0000-0200-000005000000}"/>
    <hyperlink ref="AJ3" location="'Entering Data into the BAR'!A36" display="Labelled" xr:uid="{00000000-0004-0000-0200-000006000000}"/>
    <hyperlink ref="AI3" location="'Entering Data into the BAR'!A35" display="Quantity" xr:uid="{00000000-0004-0000-0200-000007000000}"/>
    <hyperlink ref="AH3" location="'Entering Data into the BAR'!A34" display="Disturbance Potential" xr:uid="{00000000-0004-0000-0200-000008000000}"/>
    <hyperlink ref="AG3" location="'Entering Data into the BAR'!A33" display="Condition" xr:uid="{00000000-0004-0000-0200-000009000000}"/>
    <hyperlink ref="AF3" location="'Entering Data into the BAR'!A32" display="Identifying Hygiene or Consulting Company" xr:uid="{00000000-0004-0000-0200-00000A000000}"/>
    <hyperlink ref="AE3" location="'Entering Data into the BAR'!A31" display="Sample Result" xr:uid="{00000000-0004-0000-0200-00000B000000}"/>
    <hyperlink ref="AD3" location="'Entering Data into the BAR'!A30" display="NATA Endorsed Sample number (if available)" xr:uid="{00000000-0004-0000-0200-00000C000000}"/>
    <hyperlink ref="AC3" location="'Entering Data into the BAR'!A29" display="ACM Product Type" xr:uid="{00000000-0004-0000-0200-00000D000000}"/>
    <hyperlink ref="AA3" location="'Entering Data into the BAR'!A28" display="ACM Product Group" xr:uid="{00000000-0004-0000-0200-00000E000000}"/>
    <hyperlink ref="Y3" location="'Entering Data into the BAR'!A27" display="Friability of material" xr:uid="{00000000-0004-0000-0200-00000F000000}"/>
    <hyperlink ref="X3" location="'Entering Data into the BAR'!A26" display="Specific Item/ACM Name" xr:uid="{00000000-0004-0000-0200-000010000000}"/>
    <hyperlink ref="W3" location="'Entering Data into the BAR'!A25" display="Location in Room" xr:uid="{00000000-0004-0000-0200-000011000000}"/>
    <hyperlink ref="V3" location="'Entering Data into the BAR'!A24" display="Room or Area" xr:uid="{00000000-0004-0000-0200-000012000000}"/>
    <hyperlink ref="U3" location="'Entering Data into the BAR'!A23" display="Level" xr:uid="{00000000-0004-0000-0200-000013000000}"/>
    <hyperlink ref="T3" location="'Entering Data into the BAR'!A22" display="Internal / External" xr:uid="{00000000-0004-0000-0200-000014000000}"/>
    <hyperlink ref="A3" location="'Entering Data into the BAR'!A3" display="Department" xr:uid="{00000000-0004-0000-0200-000015000000}"/>
    <hyperlink ref="B3" location="'Entering Data into the BAR'!A4" display="Agency" xr:uid="{00000000-0004-0000-0200-000016000000}"/>
    <hyperlink ref="C3" location="'Entering Data into the BAR'!A5" display="Sub Agency" xr:uid="{00000000-0004-0000-0200-000017000000}"/>
    <hyperlink ref="D3" location="'Entering Data into the BAR'!A6" display="Site Name (if applicable)" xr:uid="{00000000-0004-0000-0200-000018000000}"/>
    <hyperlink ref="E3" location="'Entering Data into the BAR'!A7" display="Building Name" xr:uid="{00000000-0004-0000-0200-000019000000}"/>
    <hyperlink ref="F3" location="'Entering Data into the BAR'!A8" display="Building Type" xr:uid="{00000000-0004-0000-0200-00001A000000}"/>
    <hyperlink ref="G3" location="'Entering Data into the BAR'!A9" display="Building Address" xr:uid="{00000000-0004-0000-0200-00001B000000}"/>
    <hyperlink ref="H3" location="'Entering Data into the BAR'!A10" display="Suburb" xr:uid="{00000000-0004-0000-0200-00001C000000}"/>
    <hyperlink ref="I3" location="'Entering Data into the BAR'!A11" display="Postcode" xr:uid="{00000000-0004-0000-0200-00001D000000}"/>
    <hyperlink ref="J3" location="'Entering Data into the BAR'!A12" display="Owned or Leased" xr:uid="{00000000-0004-0000-0200-00001E000000}"/>
    <hyperlink ref="K3" location="'Entering Data into the BAR'!A13" display="Building Unique ID" xr:uid="{00000000-0004-0000-0200-00001F000000}"/>
    <hyperlink ref="L3" location="'Entering Data into the BAR'!A14" display="Frequency of use" xr:uid="{00000000-0004-0000-0200-000020000000}"/>
    <hyperlink ref="M3" location="'Entering Data into the BAR'!A15" display="Public Access?" xr:uid="{00000000-0004-0000-0200-000021000000}"/>
    <hyperlink ref="N3" location="'Entering Data into the BAR'!A16" display="Date of Inspection" xr:uid="{00000000-0004-0000-0200-000022000000}"/>
    <hyperlink ref="O3" location="'Entering Data into the BAR'!A17" display="Estimated Year Built" xr:uid="{00000000-0004-0000-0200-000023000000}"/>
    <hyperlink ref="P3" location="'Entering Data into the BAR'!A18" display="Est. Building Size (m2)" xr:uid="{00000000-0004-0000-0200-000024000000}"/>
    <hyperlink ref="Q3" location="'Entering Data into the BAR'!A19" display="Number of Levels" xr:uid="{00000000-0004-0000-0200-000025000000}"/>
    <hyperlink ref="R3" location="'Entering Data into the BAR'!A20" display="Construction Type" xr:uid="{00000000-0004-0000-0200-000026000000}"/>
    <hyperlink ref="S3" location="'Entering Data into the BAR'!A21" display="Roof Type" xr:uid="{00000000-0004-0000-0200-000027000000}"/>
    <hyperlink ref="AL3" location="'Entering Data into the BAR'!A38" display="Hygienist Recommendations" xr:uid="{00000000-0004-0000-0200-000028000000}"/>
    <hyperlink ref="AM3" location="'Entering Data into the BAR'!A39" display="Additional Comments" xr:uid="{00000000-0004-0000-0200-000029000000}"/>
    <hyperlink ref="AN3" location="'Entering Data into the BAR'!A40" display="PSB Supplied ACM ID" xr:uid="{00000000-0004-0000-0200-00002A000000}"/>
    <hyperlink ref="AT3" location="'Entering Data into the BAR'!A46" display="Removal Comments" xr:uid="{00000000-0004-0000-0200-00002B000000}"/>
    <hyperlink ref="AU3" location="'Entering Data into the BAR'!A47" display="Photo Reference Number" xr:uid="{00000000-0004-0000-0200-00002C000000}"/>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881" id="{04E0F01E-3E27-47D6-B479-CE1E8C0D5816}">
            <xm:f>AND(COUNTIF('State Depts'!$A$2:$A$20,A9)=0,A9&lt;&gt;"")</xm:f>
            <x14:dxf>
              <fill>
                <patternFill>
                  <bgColor rgb="FFFF0000"/>
                </patternFill>
              </fill>
            </x14:dxf>
          </x14:cfRule>
          <xm:sqref>A63 A74 A76:A77 A91:A176 A179:A492 A9:A20 A22:A27 A31:A60</xm:sqref>
        </x14:conditionalFormatting>
        <x14:conditionalFormatting xmlns:xm="http://schemas.microsoft.com/office/excel/2006/main">
          <x14:cfRule type="expression" priority="1882" id="{C55ED80D-0D9A-4572-8E51-C38D84883050}">
            <xm:f>AND(COUNTIF('Building Classifications'!#REF!,F14)=0,F14&lt;&gt;"")</xm:f>
            <x14:dxf>
              <fill>
                <patternFill>
                  <bgColor rgb="FFFF0000"/>
                </patternFill>
              </fill>
            </x14:dxf>
          </x14:cfRule>
          <xm:sqref>F14:F20 F22:F27 F32:F492</xm:sqref>
        </x14:conditionalFormatting>
        <x14:conditionalFormatting xmlns:xm="http://schemas.microsoft.com/office/excel/2006/main">
          <x14:cfRule type="expression" priority="1628" id="{F67294B9-FFF1-4857-B0B5-5EC374FC634E}">
            <xm:f>AND(COUNTIF('Building Classifications'!#REF!,F47)=0,F47&lt;&gt;"")</xm:f>
            <x14:dxf>
              <fill>
                <patternFill>
                  <bgColor rgb="FFFF0000"/>
                </patternFill>
              </fill>
            </x14:dxf>
          </x14:cfRule>
          <xm:sqref>F47:F56</xm:sqref>
        </x14:conditionalFormatting>
        <x14:conditionalFormatting xmlns:xm="http://schemas.microsoft.com/office/excel/2006/main">
          <x14:cfRule type="expression" priority="1585" id="{4CA4ADAA-858E-4C49-BF54-3839A4DEF3C0}">
            <xm:f>AND(COUNTIF('State Depts'!$A$2:$A$20,A61)=0,A61&lt;&gt;"")</xm:f>
            <x14:dxf>
              <fill>
                <patternFill>
                  <bgColor rgb="FFFF0000"/>
                </patternFill>
              </fill>
            </x14:dxf>
          </x14:cfRule>
          <xm:sqref>A61</xm:sqref>
        </x14:conditionalFormatting>
        <x14:conditionalFormatting xmlns:xm="http://schemas.microsoft.com/office/excel/2006/main">
          <x14:cfRule type="expression" priority="1578" id="{D9B279C6-37DC-410E-914E-DAF02A910E2A}">
            <xm:f>AND(COUNTIF('State Depts'!$A$2:$A$20,A62)=0,A62&lt;&gt;"")</xm:f>
            <x14:dxf>
              <fill>
                <patternFill>
                  <bgColor rgb="FFFF0000"/>
                </patternFill>
              </fill>
            </x14:dxf>
          </x14:cfRule>
          <xm:sqref>A62</xm:sqref>
        </x14:conditionalFormatting>
        <x14:conditionalFormatting xmlns:xm="http://schemas.microsoft.com/office/excel/2006/main">
          <x14:cfRule type="expression" priority="1576" id="{98A6B0ED-B9A4-4016-B780-C10D2C038B06}">
            <xm:f>AND(COUNTIF('State Depts'!$A$2:$A$20,A64)=0,A64&lt;&gt;"")</xm:f>
            <x14:dxf>
              <fill>
                <patternFill>
                  <bgColor rgb="FFFF0000"/>
                </patternFill>
              </fill>
            </x14:dxf>
          </x14:cfRule>
          <xm:sqref>A64:A73</xm:sqref>
        </x14:conditionalFormatting>
        <x14:conditionalFormatting xmlns:xm="http://schemas.microsoft.com/office/excel/2006/main">
          <x14:cfRule type="expression" priority="1569" id="{5C8C3D77-04B8-42BB-B55D-DAB53D59943E}">
            <xm:f>AND(COUNTIF('State Depts'!$A$2:$A$20,A75)=0,A75&lt;&gt;"")</xm:f>
            <x14:dxf>
              <fill>
                <patternFill>
                  <bgColor rgb="FFFF0000"/>
                </patternFill>
              </fill>
            </x14:dxf>
          </x14:cfRule>
          <xm:sqref>A75</xm:sqref>
        </x14:conditionalFormatting>
        <x14:conditionalFormatting xmlns:xm="http://schemas.microsoft.com/office/excel/2006/main">
          <x14:cfRule type="expression" priority="1553" id="{2B5F882D-9016-42CF-B1AD-DF82E74865A4}">
            <xm:f>AND(COUNTIF('State Depts'!$A$2:$A$20,A78)=0,A78&lt;&gt;"")</xm:f>
            <x14:dxf>
              <fill>
                <patternFill>
                  <bgColor rgb="FFFF0000"/>
                </patternFill>
              </fill>
            </x14:dxf>
          </x14:cfRule>
          <xm:sqref>A78:A90</xm:sqref>
        </x14:conditionalFormatting>
        <x14:conditionalFormatting xmlns:xm="http://schemas.microsoft.com/office/excel/2006/main">
          <x14:cfRule type="expression" priority="1328" id="{354F41C6-D462-45EF-93BE-A5E88BB8FFE1}">
            <xm:f>AND(COUNTIF('State Depts'!$A$2:$A$20,A177)=0,A177&lt;&gt;"")</xm:f>
            <x14:dxf>
              <fill>
                <patternFill>
                  <bgColor rgb="FFFF0000"/>
                </patternFill>
              </fill>
            </x14:dxf>
          </x14:cfRule>
          <xm:sqref>A177:A178</xm:sqref>
        </x14:conditionalFormatting>
        <x14:conditionalFormatting xmlns:xm="http://schemas.microsoft.com/office/excel/2006/main">
          <x14:cfRule type="expression" priority="262" id="{C6E1EC90-D77E-4CC5-B3D7-17286CC828E0}">
            <xm:f>AND(COUNTIF('H:\VAEA\Team\Operations team\AIRSystem\Data Entry\Data entered by OV\Alexandra District Health\[Alexandra DH_Bar2_OV_final.xlsm]State Depts'!#REF!,A4)=0,A4&lt;&gt;"")</xm:f>
            <x14:dxf>
              <fill>
                <patternFill>
                  <bgColor rgb="FFFF0000"/>
                </patternFill>
              </fill>
            </x14:dxf>
          </x14:cfRule>
          <xm:sqref>A4:A8</xm:sqref>
        </x14:conditionalFormatting>
        <x14:conditionalFormatting xmlns:xm="http://schemas.microsoft.com/office/excel/2006/main">
          <x14:cfRule type="expression" priority="263" id="{A217C4DA-5CB1-463F-AE3B-D5D21D535377}">
            <xm:f>AND(COUNTIF('H:\VAEA\Team\Operations team\AIRSystem\Data Entry\Data entered by OV\Alexandra District Health\[Alexandra DH_Bar2_OV_final.xlsm]Building Classifications'!#REF!,F4)=0,F4&lt;&gt;"")</xm:f>
            <x14:dxf>
              <fill>
                <patternFill>
                  <bgColor rgb="FFFF0000"/>
                </patternFill>
              </fill>
            </x14:dxf>
          </x14:cfRule>
          <xm:sqref>F4:F13</xm:sqref>
        </x14:conditionalFormatting>
        <x14:conditionalFormatting xmlns:xm="http://schemas.microsoft.com/office/excel/2006/main">
          <x14:cfRule type="expression" priority="92" id="{D76C0181-2FF1-4669-92C5-A9F08E8125CB}">
            <xm:f>AND(COUNTIF('State Depts'!$A$2:$A$20,A21)=0,A21&lt;&gt;"")</xm:f>
            <x14:dxf>
              <fill>
                <patternFill>
                  <bgColor rgb="FFFF0000"/>
                </patternFill>
              </fill>
            </x14:dxf>
          </x14:cfRule>
          <xm:sqref>A21</xm:sqref>
        </x14:conditionalFormatting>
        <x14:conditionalFormatting xmlns:xm="http://schemas.microsoft.com/office/excel/2006/main">
          <x14:cfRule type="expression" priority="91" id="{93B0D4A2-4CD8-4350-B756-E592F7F6C75D}">
            <xm:f>AND(COUNTIF('Building Classifications'!#REF!,F21)=0,F21&lt;&gt;"")</xm:f>
            <x14:dxf>
              <fill>
                <patternFill>
                  <bgColor rgb="FFFF0000"/>
                </patternFill>
              </fill>
            </x14:dxf>
          </x14:cfRule>
          <xm:sqref>F21</xm:sqref>
        </x14:conditionalFormatting>
        <x14:conditionalFormatting xmlns:xm="http://schemas.microsoft.com/office/excel/2006/main">
          <x14:cfRule type="expression" priority="67" id="{B90C14B7-C5BD-4675-8ADC-370F8BED0975}">
            <xm:f>AND(COUNTIF('Building Classifications'!#REF!,F28)=0,F28&lt;&gt;"")</xm:f>
            <x14:dxf>
              <fill>
                <patternFill>
                  <bgColor rgb="FFFF0000"/>
                </patternFill>
              </fill>
            </x14:dxf>
          </x14:cfRule>
          <xm:sqref>F28</xm:sqref>
        </x14:conditionalFormatting>
        <x14:conditionalFormatting xmlns:xm="http://schemas.microsoft.com/office/excel/2006/main">
          <x14:cfRule type="expression" priority="63" id="{73270565-FD17-430E-A821-8E55E57ECA42}">
            <xm:f>AND(COUNTIF('Building Classifications'!#REF!,F29)=0,F29&lt;&gt;"")</xm:f>
            <x14:dxf>
              <fill>
                <patternFill>
                  <bgColor rgb="FFFF0000"/>
                </patternFill>
              </fill>
            </x14:dxf>
          </x14:cfRule>
          <xm:sqref>F29</xm:sqref>
        </x14:conditionalFormatting>
        <x14:conditionalFormatting xmlns:xm="http://schemas.microsoft.com/office/excel/2006/main">
          <x14:cfRule type="expression" priority="59" id="{99484469-0956-4670-8E2E-97289E308828}">
            <xm:f>AND(COUNTIF('Building Classifications'!#REF!,F30)=0,F30&lt;&gt;"")</xm:f>
            <x14:dxf>
              <fill>
                <patternFill>
                  <bgColor rgb="FFFF0000"/>
                </patternFill>
              </fill>
            </x14:dxf>
          </x14:cfRule>
          <xm:sqref>F30</xm:sqref>
        </x14:conditionalFormatting>
        <x14:conditionalFormatting xmlns:xm="http://schemas.microsoft.com/office/excel/2006/main">
          <x14:cfRule type="expression" priority="55" id="{7FA7E76E-589E-425D-B36E-3877129F3CDD}">
            <xm:f>AND(COUNTIF('Building Classifications'!#REF!,F31)=0,F31&lt;&gt;"")</xm:f>
            <x14:dxf>
              <fill>
                <patternFill>
                  <bgColor rgb="FFFF0000"/>
                </patternFill>
              </fill>
            </x14:dxf>
          </x14:cfRule>
          <xm:sqref>F31</xm:sqref>
        </x14:conditionalFormatting>
        <x14:conditionalFormatting xmlns:xm="http://schemas.microsoft.com/office/excel/2006/main">
          <x14:cfRule type="expression" priority="51" id="{BF822844-5A46-4A11-87BF-C5E3BBAA85DB}">
            <xm:f>AND(COUNTIF('State Depts'!$A$2:$A$20,A28)=0,A28&lt;&gt;"")</xm:f>
            <x14:dxf>
              <fill>
                <patternFill>
                  <bgColor rgb="FFFF0000"/>
                </patternFill>
              </fill>
            </x14:dxf>
          </x14:cfRule>
          <xm:sqref>A28</xm:sqref>
        </x14:conditionalFormatting>
        <x14:conditionalFormatting xmlns:xm="http://schemas.microsoft.com/office/excel/2006/main">
          <x14:cfRule type="expression" priority="50" id="{1CFC857A-587E-41D2-8C18-0D33C8E8A6C1}">
            <xm:f>AND(COUNTIF('State Depts'!$A$2:$A$20,A29)=0,A29&lt;&gt;"")</xm:f>
            <x14:dxf>
              <fill>
                <patternFill>
                  <bgColor rgb="FFFF0000"/>
                </patternFill>
              </fill>
            </x14:dxf>
          </x14:cfRule>
          <xm:sqref>A29</xm:sqref>
        </x14:conditionalFormatting>
        <x14:conditionalFormatting xmlns:xm="http://schemas.microsoft.com/office/excel/2006/main">
          <x14:cfRule type="expression" priority="49" id="{BDB553B6-E789-45CA-98F0-FBB331B9AF5F}">
            <xm:f>AND(COUNTIF('State Depts'!$A$2:$A$20,A30)=0,A30&lt;&gt;"")</xm:f>
            <x14:dxf>
              <fill>
                <patternFill>
                  <bgColor rgb="FFFF0000"/>
                </patternFill>
              </fill>
            </x14:dxf>
          </x14:cfRule>
          <xm:sqref>A30</xm:sqref>
        </x14:conditionalFormatting>
      </x14:conditionalFormattings>
    </ext>
    <ext xmlns:x14="http://schemas.microsoft.com/office/spreadsheetml/2009/9/main" uri="{CCE6A557-97BC-4b89-ADB6-D9C93CAAB3DF}">
      <x14:dataValidations xmlns:xm="http://schemas.microsoft.com/office/excel/2006/main" xWindow="239" yWindow="274" count="12">
        <x14:dataValidation type="list" errorStyle="information" allowBlank="1" showInputMessage="1" promptTitle="Specific Item" prompt="Select specific item, application or product from dropdown list. See also the handout provided." xr:uid="{00000000-0002-0000-0200-00001F000000}">
          <x14:formula1>
            <xm:f>'Specific Uses'!$A$2:$A$310</xm:f>
          </x14:formula1>
          <xm:sqref>X4:X492</xm:sqref>
        </x14:dataValidation>
        <x14:dataValidation type="list" allowBlank="1" showInputMessage="1" showErrorMessage="1" promptTitle="Friability" prompt="Friable ACMs can be easily reduced to powder by hand when dry. Non-friable or bonded ACMs are materials where the asbestos is firmly bound in the material." xr:uid="{00000000-0002-0000-0200-000020000000}">
          <x14:formula1>
            <xm:f>'Other Lists'!$K$1:$L$1</xm:f>
          </x14:formula1>
          <xm:sqref>Y4:Y492</xm:sqref>
        </x14:dataValidation>
        <x14:dataValidation type="list" allowBlank="1" showInputMessage="1" showErrorMessage="1" xr:uid="{00000000-0002-0000-0200-000021000000}">
          <x14:formula1>
            <xm:f>'Other Lists'!$M$2:$M$124</xm:f>
          </x14:formula1>
          <xm:sqref>F4:F492</xm:sqref>
        </x14:dataValidation>
        <x14:dataValidation type="list" allowBlank="1" showInputMessage="1" showErrorMessage="1" promptTitle="Hygiene Company" prompt="Enter the most recent hygiene or consulting company that conducted an inspection" xr:uid="{00000000-0002-0000-0200-000022000000}">
          <x14:formula1>
            <xm:f>'Hygienist Company Names'!$A$3:$A$64</xm:f>
          </x14:formula1>
          <xm:sqref>AF4:AF492</xm:sqref>
        </x14:dataValidation>
        <x14:dataValidation type="list" allowBlank="1" showInputMessage="1" showErrorMessage="1" xr:uid="{00000000-0002-0000-0200-000023000000}">
          <x14:formula1>
            <xm:f>'Construction &amp; roof types'!$A$2:$A$5</xm:f>
          </x14:formula1>
          <xm:sqref>R4:R492</xm:sqref>
        </x14:dataValidation>
        <x14:dataValidation type="list" allowBlank="1" showInputMessage="1" showErrorMessage="1" xr:uid="{00000000-0002-0000-0200-000024000000}">
          <x14:formula1>
            <xm:f>'Construction &amp; roof types'!$B$2:$B$6</xm:f>
          </x14:formula1>
          <xm:sqref>S4:S493</xm:sqref>
        </x14:dataValidation>
        <x14:dataValidation type="list" allowBlank="1" showInputMessage="1" showErrorMessage="1" promptTitle="Suburb" prompt="Enter the correct suburb for this building" xr:uid="{00000000-0002-0000-0200-000025000000}">
          <x14:formula1>
            <xm:f>'Other Lists'!$O$2:$O$3123</xm:f>
          </x14:formula1>
          <xm:sqref>H4 H6:H492</xm:sqref>
        </x14:dataValidation>
        <x14:dataValidation type="list" allowBlank="1" showInputMessage="1" showErrorMessage="1" xr:uid="{00000000-0002-0000-0200-000026000000}">
          <x14:formula1>
            <xm:f>'State Depts'!$D$2:$D$80</xm:f>
          </x14:formula1>
          <xm:sqref>B504:B505</xm:sqref>
        </x14:dataValidation>
        <x14:dataValidation type="list" allowBlank="1" showInputMessage="1" showErrorMessage="1" xr:uid="{00000000-0002-0000-0200-000027000000}">
          <x14:formula1>
            <xm:f>'State Depts'!$C$1:$K$1</xm:f>
          </x14:formula1>
          <xm:sqref>A1:A1048576</xm:sqref>
        </x14:dataValidation>
        <x14:dataValidation type="list" allowBlank="1" showInputMessage="1" showErrorMessage="1" xr:uid="{00000000-0002-0000-0200-000028000000}">
          <x14:formula1>
            <xm:f>IF(A4="DELWP",'State Depts'!$M$2:$M$2024,INDIRECT(SUBSTITUTE(SUBSTITUTE(SUBSTITUTE(SUBSTITUTE(B4," ","_"),"(","_"),")",""),"/","_")))</xm:f>
          </x14:formula1>
          <xm:sqref>C4:C603</xm:sqref>
        </x14:dataValidation>
        <x14:dataValidation type="list" allowBlank="1" showInputMessage="1" showErrorMessage="1" xr:uid="{00000000-0002-0000-0200-000029000000}">
          <x14:formula1>
            <xm:f>'Other Lists'!$Q$2:$Q$55</xm:f>
          </x14:formula1>
          <xm:sqref>U4:U503</xm:sqref>
        </x14:dataValidation>
        <x14:dataValidation type="list" allowBlank="1" showErrorMessage="1" promptTitle="Suburb" prompt="Enter the correct suburb for this building" xr:uid="{00000000-0002-0000-0200-00002A000000}">
          <x14:formula1>
            <xm:f>'Other Lists'!$O$2:$O$3123</xm:f>
          </x14:formula1>
          <xm:sqref>H5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D37"/>
  <sheetViews>
    <sheetView zoomScale="85" zoomScaleNormal="85" workbookViewId="0">
      <pane ySplit="1" topLeftCell="A2" activePane="bottomLeft" state="frozen"/>
      <selection pane="bottomLeft"/>
    </sheetView>
  </sheetViews>
  <sheetFormatPr defaultRowHeight="14.25" x14ac:dyDescent="0.45"/>
  <cols>
    <col min="1" max="1" width="47.3984375" bestFit="1" customWidth="1"/>
    <col min="2" max="2" width="35.3984375" bestFit="1" customWidth="1"/>
    <col min="3" max="3" width="24.1328125" bestFit="1" customWidth="1"/>
    <col min="4" max="4" width="9.59765625" bestFit="1" customWidth="1"/>
  </cols>
  <sheetData>
    <row r="1" spans="1:4" x14ac:dyDescent="0.45">
      <c r="A1" t="s">
        <v>654</v>
      </c>
      <c r="B1" t="s">
        <v>675</v>
      </c>
      <c r="C1" t="s">
        <v>655</v>
      </c>
      <c r="D1" t="s">
        <v>676</v>
      </c>
    </row>
    <row r="2" spans="1:4" x14ac:dyDescent="0.45">
      <c r="A2" t="s">
        <v>50</v>
      </c>
      <c r="B2" t="s">
        <v>17</v>
      </c>
      <c r="C2" t="s">
        <v>20</v>
      </c>
    </row>
    <row r="3" spans="1:4" x14ac:dyDescent="0.45">
      <c r="A3" t="s">
        <v>690</v>
      </c>
      <c r="B3" t="s">
        <v>18</v>
      </c>
      <c r="C3" t="s">
        <v>37</v>
      </c>
    </row>
    <row r="4" spans="1:4" x14ac:dyDescent="0.45">
      <c r="A4" t="s">
        <v>691</v>
      </c>
      <c r="B4" t="s">
        <v>19</v>
      </c>
      <c r="C4" t="s">
        <v>38</v>
      </c>
    </row>
    <row r="5" spans="1:4" x14ac:dyDescent="0.45">
      <c r="A5" t="s">
        <v>41</v>
      </c>
      <c r="B5" t="s">
        <v>21</v>
      </c>
    </row>
    <row r="6" spans="1:4" x14ac:dyDescent="0.45">
      <c r="A6" t="s">
        <v>42</v>
      </c>
      <c r="B6" t="s">
        <v>22</v>
      </c>
    </row>
    <row r="7" spans="1:4" x14ac:dyDescent="0.45">
      <c r="A7" t="s">
        <v>44</v>
      </c>
      <c r="B7" t="s">
        <v>23</v>
      </c>
    </row>
    <row r="8" spans="1:4" x14ac:dyDescent="0.45">
      <c r="A8" t="s">
        <v>45</v>
      </c>
      <c r="B8" t="s">
        <v>24</v>
      </c>
    </row>
    <row r="9" spans="1:4" x14ac:dyDescent="0.45">
      <c r="A9" t="s">
        <v>46</v>
      </c>
      <c r="B9" t="s">
        <v>25</v>
      </c>
    </row>
    <row r="10" spans="1:4" x14ac:dyDescent="0.45">
      <c r="A10" t="s">
        <v>47</v>
      </c>
      <c r="B10" t="s">
        <v>692</v>
      </c>
    </row>
    <row r="11" spans="1:4" x14ac:dyDescent="0.45">
      <c r="A11" t="s">
        <v>48</v>
      </c>
      <c r="B11" t="s">
        <v>27</v>
      </c>
    </row>
    <row r="12" spans="1:4" x14ac:dyDescent="0.45">
      <c r="A12" t="s">
        <v>49</v>
      </c>
      <c r="B12" t="s">
        <v>28</v>
      </c>
    </row>
    <row r="13" spans="1:4" x14ac:dyDescent="0.45">
      <c r="A13" t="s">
        <v>693</v>
      </c>
      <c r="B13" t="s">
        <v>29</v>
      </c>
    </row>
    <row r="14" spans="1:4" x14ac:dyDescent="0.45">
      <c r="A14" t="s">
        <v>56</v>
      </c>
      <c r="B14" t="s">
        <v>121</v>
      </c>
    </row>
    <row r="15" spans="1:4" x14ac:dyDescent="0.45">
      <c r="A15" t="s">
        <v>57</v>
      </c>
      <c r="B15" t="s">
        <v>30</v>
      </c>
    </row>
    <row r="16" spans="1:4" x14ac:dyDescent="0.45">
      <c r="A16" t="s">
        <v>58</v>
      </c>
      <c r="B16" t="s">
        <v>31</v>
      </c>
    </row>
    <row r="17" spans="1:2" x14ac:dyDescent="0.45">
      <c r="A17" t="s">
        <v>694</v>
      </c>
      <c r="B17" t="s">
        <v>32</v>
      </c>
    </row>
    <row r="18" spans="1:2" x14ac:dyDescent="0.45">
      <c r="A18" t="s">
        <v>59</v>
      </c>
      <c r="B18" t="s">
        <v>33</v>
      </c>
    </row>
    <row r="19" spans="1:2" x14ac:dyDescent="0.45">
      <c r="A19" t="s">
        <v>60</v>
      </c>
      <c r="B19" t="s">
        <v>34</v>
      </c>
    </row>
    <row r="20" spans="1:2" x14ac:dyDescent="0.45">
      <c r="A20" t="s">
        <v>61</v>
      </c>
      <c r="B20" t="s">
        <v>35</v>
      </c>
    </row>
    <row r="21" spans="1:2" x14ac:dyDescent="0.45">
      <c r="A21" t="s">
        <v>62</v>
      </c>
      <c r="B21" t="s">
        <v>36</v>
      </c>
    </row>
    <row r="22" spans="1:2" x14ac:dyDescent="0.45">
      <c r="A22" t="s">
        <v>63</v>
      </c>
      <c r="B22" t="s">
        <v>40</v>
      </c>
    </row>
    <row r="23" spans="1:2" x14ac:dyDescent="0.45">
      <c r="A23" t="s">
        <v>64</v>
      </c>
      <c r="B23" t="s">
        <v>43</v>
      </c>
    </row>
    <row r="24" spans="1:2" x14ac:dyDescent="0.45">
      <c r="A24" t="s">
        <v>695</v>
      </c>
    </row>
    <row r="25" spans="1:2" x14ac:dyDescent="0.45">
      <c r="A25" t="s">
        <v>65</v>
      </c>
    </row>
    <row r="26" spans="1:2" x14ac:dyDescent="0.45">
      <c r="A26" t="s">
        <v>66</v>
      </c>
    </row>
    <row r="27" spans="1:2" x14ac:dyDescent="0.45">
      <c r="A27" t="s">
        <v>67</v>
      </c>
    </row>
    <row r="28" spans="1:2" x14ac:dyDescent="0.45">
      <c r="A28" t="s">
        <v>68</v>
      </c>
    </row>
    <row r="29" spans="1:2" x14ac:dyDescent="0.45">
      <c r="A29" t="s">
        <v>69</v>
      </c>
    </row>
    <row r="30" spans="1:2" x14ac:dyDescent="0.45">
      <c r="A30" t="s">
        <v>70</v>
      </c>
    </row>
    <row r="31" spans="1:2" x14ac:dyDescent="0.45">
      <c r="A31" t="s">
        <v>71</v>
      </c>
    </row>
    <row r="32" spans="1:2" x14ac:dyDescent="0.45">
      <c r="A32" t="s">
        <v>72</v>
      </c>
    </row>
    <row r="33" spans="1:1" x14ac:dyDescent="0.45">
      <c r="A33" t="s">
        <v>73</v>
      </c>
    </row>
    <row r="34" spans="1:1" x14ac:dyDescent="0.45">
      <c r="A34" t="s">
        <v>696</v>
      </c>
    </row>
    <row r="35" spans="1:1" x14ac:dyDescent="0.45">
      <c r="A35" t="s">
        <v>697</v>
      </c>
    </row>
    <row r="36" spans="1:1" x14ac:dyDescent="0.45">
      <c r="A36" t="s">
        <v>627</v>
      </c>
    </row>
    <row r="37" spans="1:1" x14ac:dyDescent="0.45">
      <c r="A37" t="s">
        <v>698</v>
      </c>
    </row>
  </sheetData>
  <sheetProtection sheet="1" objects="1" scenarios="1" selectLockedCells="1" selectUn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D39"/>
  <sheetViews>
    <sheetView zoomScale="85" zoomScaleNormal="85" workbookViewId="0">
      <pane ySplit="1" topLeftCell="A11" activePane="bottomLeft" state="frozen"/>
      <selection pane="bottomLeft"/>
    </sheetView>
  </sheetViews>
  <sheetFormatPr defaultRowHeight="14.25" x14ac:dyDescent="0.45"/>
  <cols>
    <col min="1" max="1" width="30.86328125" bestFit="1" customWidth="1"/>
    <col min="2" max="2" width="25.1328125" bestFit="1" customWidth="1"/>
    <col min="3" max="3" width="44.1328125" bestFit="1" customWidth="1"/>
    <col min="4" max="4" width="49.59765625" bestFit="1" customWidth="1"/>
  </cols>
  <sheetData>
    <row r="1" spans="1:4" x14ac:dyDescent="0.45">
      <c r="A1" t="s">
        <v>654</v>
      </c>
      <c r="B1" t="s">
        <v>675</v>
      </c>
      <c r="C1" t="s">
        <v>655</v>
      </c>
      <c r="D1" t="s">
        <v>676</v>
      </c>
    </row>
    <row r="2" spans="1:4" x14ac:dyDescent="0.45">
      <c r="A2" t="s">
        <v>93</v>
      </c>
      <c r="B2" t="s">
        <v>90</v>
      </c>
      <c r="C2" t="s">
        <v>17</v>
      </c>
      <c r="D2" t="s">
        <v>80</v>
      </c>
    </row>
    <row r="3" spans="1:4" x14ac:dyDescent="0.45">
      <c r="A3" t="s">
        <v>105</v>
      </c>
      <c r="B3" t="s">
        <v>91</v>
      </c>
      <c r="C3" t="s">
        <v>18</v>
      </c>
      <c r="D3" t="s">
        <v>82</v>
      </c>
    </row>
    <row r="4" spans="1:4" x14ac:dyDescent="0.45">
      <c r="B4" t="s">
        <v>92</v>
      </c>
      <c r="C4" t="s">
        <v>19</v>
      </c>
      <c r="D4" t="s">
        <v>83</v>
      </c>
    </row>
    <row r="5" spans="1:4" x14ac:dyDescent="0.45">
      <c r="B5" t="s">
        <v>699</v>
      </c>
      <c r="C5" t="s">
        <v>700</v>
      </c>
      <c r="D5" t="s">
        <v>84</v>
      </c>
    </row>
    <row r="6" spans="1:4" x14ac:dyDescent="0.45">
      <c r="C6" t="s">
        <v>21</v>
      </c>
      <c r="D6" t="s">
        <v>85</v>
      </c>
    </row>
    <row r="7" spans="1:4" x14ac:dyDescent="0.45">
      <c r="C7" t="s">
        <v>22</v>
      </c>
      <c r="D7" t="s">
        <v>86</v>
      </c>
    </row>
    <row r="8" spans="1:4" x14ac:dyDescent="0.45">
      <c r="C8" t="s">
        <v>23</v>
      </c>
      <c r="D8" t="s">
        <v>87</v>
      </c>
    </row>
    <row r="9" spans="1:4" x14ac:dyDescent="0.45">
      <c r="C9" t="s">
        <v>24</v>
      </c>
      <c r="D9" t="s">
        <v>95</v>
      </c>
    </row>
    <row r="10" spans="1:4" x14ac:dyDescent="0.45">
      <c r="C10" t="s">
        <v>25</v>
      </c>
      <c r="D10" t="s">
        <v>96</v>
      </c>
    </row>
    <row r="11" spans="1:4" x14ac:dyDescent="0.45">
      <c r="C11" t="s">
        <v>692</v>
      </c>
      <c r="D11" t="s">
        <v>100</v>
      </c>
    </row>
    <row r="12" spans="1:4" x14ac:dyDescent="0.45">
      <c r="C12" t="s">
        <v>27</v>
      </c>
      <c r="D12" t="s">
        <v>38</v>
      </c>
    </row>
    <row r="13" spans="1:4" x14ac:dyDescent="0.45">
      <c r="C13" t="s">
        <v>28</v>
      </c>
    </row>
    <row r="14" spans="1:4" x14ac:dyDescent="0.45">
      <c r="C14" t="s">
        <v>29</v>
      </c>
    </row>
    <row r="15" spans="1:4" x14ac:dyDescent="0.45">
      <c r="C15" t="s">
        <v>121</v>
      </c>
    </row>
    <row r="16" spans="1:4" x14ac:dyDescent="0.45">
      <c r="C16" t="s">
        <v>30</v>
      </c>
    </row>
    <row r="17" spans="3:3" x14ac:dyDescent="0.45">
      <c r="C17" t="s">
        <v>31</v>
      </c>
    </row>
    <row r="18" spans="3:3" x14ac:dyDescent="0.45">
      <c r="C18" t="s">
        <v>32</v>
      </c>
    </row>
    <row r="19" spans="3:3" x14ac:dyDescent="0.45">
      <c r="C19" t="s">
        <v>33</v>
      </c>
    </row>
    <row r="20" spans="3:3" x14ac:dyDescent="0.45">
      <c r="C20" t="s">
        <v>34</v>
      </c>
    </row>
    <row r="21" spans="3:3" x14ac:dyDescent="0.45">
      <c r="C21" t="s">
        <v>79</v>
      </c>
    </row>
    <row r="22" spans="3:3" x14ac:dyDescent="0.45">
      <c r="C22" t="s">
        <v>81</v>
      </c>
    </row>
    <row r="23" spans="3:3" x14ac:dyDescent="0.45">
      <c r="C23" t="s">
        <v>88</v>
      </c>
    </row>
    <row r="24" spans="3:3" x14ac:dyDescent="0.45">
      <c r="C24" t="s">
        <v>89</v>
      </c>
    </row>
    <row r="25" spans="3:3" x14ac:dyDescent="0.45">
      <c r="C25" t="s">
        <v>701</v>
      </c>
    </row>
    <row r="26" spans="3:3" x14ac:dyDescent="0.45">
      <c r="C26" t="s">
        <v>702</v>
      </c>
    </row>
    <row r="27" spans="3:3" x14ac:dyDescent="0.45">
      <c r="C27" t="s">
        <v>703</v>
      </c>
    </row>
    <row r="28" spans="3:3" x14ac:dyDescent="0.45">
      <c r="C28" t="s">
        <v>704</v>
      </c>
    </row>
    <row r="29" spans="3:3" x14ac:dyDescent="0.45">
      <c r="C29" t="s">
        <v>94</v>
      </c>
    </row>
    <row r="30" spans="3:3" x14ac:dyDescent="0.45">
      <c r="C30" t="s">
        <v>97</v>
      </c>
    </row>
    <row r="31" spans="3:3" x14ac:dyDescent="0.45">
      <c r="C31" t="s">
        <v>98</v>
      </c>
    </row>
    <row r="32" spans="3:3" x14ac:dyDescent="0.45">
      <c r="C32" t="s">
        <v>99</v>
      </c>
    </row>
    <row r="33" spans="3:3" x14ac:dyDescent="0.45">
      <c r="C33" t="s">
        <v>101</v>
      </c>
    </row>
    <row r="34" spans="3:3" x14ac:dyDescent="0.45">
      <c r="C34" t="s">
        <v>102</v>
      </c>
    </row>
    <row r="35" spans="3:3" x14ac:dyDescent="0.45">
      <c r="C35" t="s">
        <v>103</v>
      </c>
    </row>
    <row r="36" spans="3:3" x14ac:dyDescent="0.45">
      <c r="C36" t="s">
        <v>104</v>
      </c>
    </row>
    <row r="37" spans="3:3" x14ac:dyDescent="0.45">
      <c r="C37" t="s">
        <v>17</v>
      </c>
    </row>
    <row r="38" spans="3:3" x14ac:dyDescent="0.45">
      <c r="C38" t="s">
        <v>106</v>
      </c>
    </row>
    <row r="39" spans="3:3" x14ac:dyDescent="0.45">
      <c r="C39" t="s">
        <v>107</v>
      </c>
    </row>
  </sheetData>
  <sheetProtection sheet="1" objects="1" scenarios="1"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35"/>
  <sheetViews>
    <sheetView zoomScale="85" zoomScaleNormal="85" workbookViewId="0">
      <pane ySplit="1" topLeftCell="A2" activePane="bottomLeft" state="frozen"/>
      <selection pane="bottomLeft" activeCell="F24" sqref="F24"/>
    </sheetView>
  </sheetViews>
  <sheetFormatPr defaultRowHeight="14.25" x14ac:dyDescent="0.45"/>
  <cols>
    <col min="2" max="2" width="56.86328125" customWidth="1"/>
    <col min="3" max="3" width="34.59765625" bestFit="1" customWidth="1"/>
    <col min="4" max="4" width="45" bestFit="1" customWidth="1"/>
    <col min="5" max="5" width="38.1328125" bestFit="1" customWidth="1"/>
    <col min="6" max="6" width="39.1328125" bestFit="1" customWidth="1"/>
    <col min="7" max="7" width="35.1328125" bestFit="1" customWidth="1"/>
    <col min="8" max="8" width="54.1328125" bestFit="1" customWidth="1"/>
    <col min="9" max="9" width="33" customWidth="1"/>
    <col min="10" max="10" width="36" customWidth="1"/>
  </cols>
  <sheetData>
    <row r="1" spans="1:10" s="39" customFormat="1" x14ac:dyDescent="0.45">
      <c r="A1" s="39" t="s">
        <v>1</v>
      </c>
      <c r="B1" s="39" t="s">
        <v>0</v>
      </c>
      <c r="C1" s="39" t="s">
        <v>16</v>
      </c>
      <c r="D1" s="39" t="s">
        <v>39</v>
      </c>
      <c r="E1" s="39" t="s">
        <v>51</v>
      </c>
      <c r="F1" s="39" t="s">
        <v>52</v>
      </c>
      <c r="G1" s="39" t="s">
        <v>53</v>
      </c>
      <c r="H1" s="39" t="s">
        <v>54</v>
      </c>
      <c r="I1" s="39" t="s">
        <v>55</v>
      </c>
      <c r="J1" s="39" t="s">
        <v>10019</v>
      </c>
    </row>
    <row r="2" spans="1:10" s="85" customFormat="1" x14ac:dyDescent="0.45">
      <c r="A2" s="85" t="s">
        <v>2</v>
      </c>
      <c r="B2" s="85" t="s">
        <v>10</v>
      </c>
      <c r="C2" s="84" t="s">
        <v>5546</v>
      </c>
      <c r="D2" s="84" t="s">
        <v>5545</v>
      </c>
      <c r="E2" s="86" t="s">
        <v>5554</v>
      </c>
      <c r="F2" s="84" t="s">
        <v>60</v>
      </c>
      <c r="G2" s="84" t="s">
        <v>5554</v>
      </c>
      <c r="H2" s="84" t="s">
        <v>5549</v>
      </c>
      <c r="I2" s="2" t="s">
        <v>103</v>
      </c>
      <c r="J2" s="84" t="s">
        <v>5548</v>
      </c>
    </row>
    <row r="3" spans="1:10" s="85" customFormat="1" x14ac:dyDescent="0.45">
      <c r="A3" s="85" t="s">
        <v>3</v>
      </c>
      <c r="B3" s="85" t="s">
        <v>9</v>
      </c>
      <c r="C3" s="84" t="s">
        <v>5550</v>
      </c>
      <c r="D3" s="84" t="s">
        <v>5547</v>
      </c>
      <c r="E3" s="86" t="s">
        <v>1036</v>
      </c>
      <c r="F3" s="84" t="s">
        <v>5258</v>
      </c>
      <c r="G3" s="84" t="s">
        <v>532</v>
      </c>
      <c r="H3" s="84" t="s">
        <v>5554</v>
      </c>
      <c r="I3" s="85" t="s">
        <v>739</v>
      </c>
      <c r="J3" s="84" t="s">
        <v>5546</v>
      </c>
    </row>
    <row r="4" spans="1:10" s="85" customFormat="1" x14ac:dyDescent="0.45">
      <c r="A4" s="85" t="s">
        <v>4</v>
      </c>
      <c r="B4" s="85" t="s">
        <v>13</v>
      </c>
      <c r="C4" s="84" t="s">
        <v>5553</v>
      </c>
      <c r="D4" s="84" t="s">
        <v>5253</v>
      </c>
      <c r="E4" s="86" t="s">
        <v>10029</v>
      </c>
      <c r="F4" s="84" t="s">
        <v>5559</v>
      </c>
      <c r="G4" s="84" t="s">
        <v>5565</v>
      </c>
      <c r="H4" s="84" t="s">
        <v>532</v>
      </c>
      <c r="I4" s="84" t="s">
        <v>5556</v>
      </c>
      <c r="J4" s="84" t="s">
        <v>5555</v>
      </c>
    </row>
    <row r="5" spans="1:10" x14ac:dyDescent="0.45">
      <c r="A5" t="s">
        <v>5</v>
      </c>
      <c r="B5" t="s">
        <v>12</v>
      </c>
      <c r="C5" s="2" t="s">
        <v>5558</v>
      </c>
      <c r="D5" s="2" t="s">
        <v>5557</v>
      </c>
      <c r="E5" s="84" t="s">
        <v>10028</v>
      </c>
      <c r="F5" s="2" t="s">
        <v>5554</v>
      </c>
      <c r="G5" s="2" t="s">
        <v>5284</v>
      </c>
      <c r="H5" s="84" t="s">
        <v>1036</v>
      </c>
      <c r="I5" s="84" t="s">
        <v>5560</v>
      </c>
      <c r="J5" s="2" t="s">
        <v>5554</v>
      </c>
    </row>
    <row r="6" spans="1:10" s="85" customFormat="1" x14ac:dyDescent="0.45">
      <c r="A6" s="85" t="s">
        <v>6</v>
      </c>
      <c r="B6" s="85" t="s">
        <v>14</v>
      </c>
      <c r="C6" s="84" t="s">
        <v>5562</v>
      </c>
      <c r="D6" s="84" t="s">
        <v>5561</v>
      </c>
      <c r="E6" s="84" t="s">
        <v>10027</v>
      </c>
      <c r="F6" s="84" t="s">
        <v>532</v>
      </c>
      <c r="G6" s="84" t="s">
        <v>5568</v>
      </c>
      <c r="H6" s="84" t="s">
        <v>5565</v>
      </c>
      <c r="I6" s="2" t="s">
        <v>5554</v>
      </c>
      <c r="J6" s="84" t="s">
        <v>532</v>
      </c>
    </row>
    <row r="7" spans="1:10" s="85" customFormat="1" x14ac:dyDescent="0.45">
      <c r="A7" s="85" t="s">
        <v>7</v>
      </c>
      <c r="B7" s="85" t="s">
        <v>11</v>
      </c>
      <c r="C7" s="84" t="s">
        <v>5564</v>
      </c>
      <c r="D7" s="84" t="s">
        <v>5563</v>
      </c>
      <c r="E7" s="86" t="s">
        <v>10030</v>
      </c>
      <c r="F7" s="84" t="s">
        <v>5565</v>
      </c>
      <c r="G7" s="84" t="s">
        <v>627</v>
      </c>
      <c r="H7" s="84" t="s">
        <v>5567</v>
      </c>
      <c r="I7" s="84" t="s">
        <v>532</v>
      </c>
      <c r="J7" s="84" t="s">
        <v>86</v>
      </c>
    </row>
    <row r="8" spans="1:10" x14ac:dyDescent="0.45">
      <c r="A8" t="s">
        <v>8</v>
      </c>
      <c r="B8" t="s">
        <v>15</v>
      </c>
      <c r="C8" s="2" t="s">
        <v>5554</v>
      </c>
      <c r="D8" s="2" t="s">
        <v>5566</v>
      </c>
      <c r="E8" s="86" t="s">
        <v>627</v>
      </c>
      <c r="F8" s="2" t="s">
        <v>5572</v>
      </c>
      <c r="H8" s="84" t="s">
        <v>5570</v>
      </c>
      <c r="I8" s="84" t="s">
        <v>1036</v>
      </c>
      <c r="J8" s="2" t="s">
        <v>1036</v>
      </c>
    </row>
    <row r="9" spans="1:10" s="85" customFormat="1" x14ac:dyDescent="0.45">
      <c r="C9" s="84" t="s">
        <v>700</v>
      </c>
      <c r="D9" s="84" t="s">
        <v>5295</v>
      </c>
      <c r="E9" s="84" t="s">
        <v>10022</v>
      </c>
      <c r="F9" s="84" t="s">
        <v>5576</v>
      </c>
      <c r="H9" s="84" t="s">
        <v>5287</v>
      </c>
      <c r="I9" s="84" t="s">
        <v>5565</v>
      </c>
      <c r="J9" s="84" t="s">
        <v>5565</v>
      </c>
    </row>
    <row r="10" spans="1:10" s="85" customFormat="1" x14ac:dyDescent="0.45">
      <c r="C10" s="84" t="s">
        <v>532</v>
      </c>
      <c r="D10" s="84" t="s">
        <v>5571</v>
      </c>
      <c r="E10" s="84" t="s">
        <v>10023</v>
      </c>
      <c r="F10" s="84" t="s">
        <v>695</v>
      </c>
      <c r="H10" s="85" t="s">
        <v>69</v>
      </c>
      <c r="I10" s="84" t="s">
        <v>5574</v>
      </c>
      <c r="J10" s="84" t="s">
        <v>5569</v>
      </c>
    </row>
    <row r="11" spans="1:10" s="85" customFormat="1" x14ac:dyDescent="0.45">
      <c r="C11" s="84" t="s">
        <v>1036</v>
      </c>
      <c r="D11" s="84" t="s">
        <v>5575</v>
      </c>
      <c r="E11" s="84" t="s">
        <v>10024</v>
      </c>
      <c r="F11" s="84" t="s">
        <v>49</v>
      </c>
      <c r="H11" s="84" t="s">
        <v>5578</v>
      </c>
      <c r="I11" s="85" t="s">
        <v>697</v>
      </c>
      <c r="J11" s="84" t="s">
        <v>5573</v>
      </c>
    </row>
    <row r="12" spans="1:10" s="85" customFormat="1" x14ac:dyDescent="0.45">
      <c r="C12" s="84" t="s">
        <v>5565</v>
      </c>
      <c r="D12" s="84" t="s">
        <v>5258</v>
      </c>
      <c r="E12" s="84" t="s">
        <v>10025</v>
      </c>
      <c r="F12" s="84" t="s">
        <v>5288</v>
      </c>
      <c r="H12" s="84" t="s">
        <v>5580</v>
      </c>
      <c r="I12" s="86" t="s">
        <v>96</v>
      </c>
      <c r="J12" s="84" t="s">
        <v>5567</v>
      </c>
    </row>
    <row r="13" spans="1:10" s="85" customFormat="1" x14ac:dyDescent="0.45">
      <c r="C13" s="84" t="s">
        <v>5569</v>
      </c>
      <c r="D13" s="84" t="s">
        <v>5581</v>
      </c>
      <c r="E13" s="84" t="s">
        <v>10026</v>
      </c>
      <c r="F13" s="84" t="s">
        <v>5589</v>
      </c>
      <c r="H13" s="84" t="s">
        <v>5584</v>
      </c>
      <c r="I13" s="86" t="s">
        <v>10020</v>
      </c>
      <c r="J13" s="84" t="s">
        <v>5579</v>
      </c>
    </row>
    <row r="14" spans="1:10" s="85" customFormat="1" x14ac:dyDescent="0.45">
      <c r="C14" s="84" t="s">
        <v>5585</v>
      </c>
      <c r="D14" s="84" t="s">
        <v>5549</v>
      </c>
      <c r="F14" s="84" t="s">
        <v>5595</v>
      </c>
      <c r="H14" s="84" t="s">
        <v>5587</v>
      </c>
      <c r="I14" s="84" t="s">
        <v>5577</v>
      </c>
      <c r="J14" s="84" t="s">
        <v>5582</v>
      </c>
    </row>
    <row r="15" spans="1:10" s="85" customFormat="1" x14ac:dyDescent="0.45">
      <c r="C15" s="84" t="s">
        <v>5588</v>
      </c>
      <c r="D15" s="84" t="s">
        <v>5554</v>
      </c>
      <c r="F15" s="84" t="s">
        <v>5580</v>
      </c>
      <c r="H15" s="84" t="s">
        <v>5593</v>
      </c>
      <c r="I15" s="84" t="s">
        <v>5274</v>
      </c>
      <c r="J15" s="84" t="s">
        <v>5586</v>
      </c>
    </row>
    <row r="16" spans="1:10" s="85" customFormat="1" x14ac:dyDescent="0.45">
      <c r="C16" s="84" t="s">
        <v>5594</v>
      </c>
      <c r="D16" s="84" t="s">
        <v>532</v>
      </c>
      <c r="F16" s="84" t="s">
        <v>5292</v>
      </c>
      <c r="H16" s="84" t="s">
        <v>627</v>
      </c>
      <c r="I16" s="84" t="s">
        <v>5280</v>
      </c>
      <c r="J16" s="84" t="s">
        <v>5591</v>
      </c>
    </row>
    <row r="17" spans="3:10" s="85" customFormat="1" x14ac:dyDescent="0.45">
      <c r="C17" s="84" t="s">
        <v>5597</v>
      </c>
      <c r="D17" s="84" t="s">
        <v>1036</v>
      </c>
      <c r="F17" s="84" t="s">
        <v>627</v>
      </c>
      <c r="H17" s="84" t="s">
        <v>5599</v>
      </c>
      <c r="I17" s="84" t="s">
        <v>85</v>
      </c>
      <c r="J17" s="84" t="s">
        <v>5596</v>
      </c>
    </row>
    <row r="18" spans="3:10" s="85" customFormat="1" x14ac:dyDescent="0.45">
      <c r="C18" s="84" t="s">
        <v>5600</v>
      </c>
      <c r="D18" s="84" t="s">
        <v>5565</v>
      </c>
      <c r="F18" s="84" t="s">
        <v>5272</v>
      </c>
      <c r="I18" s="84" t="s">
        <v>5592</v>
      </c>
      <c r="J18" s="84" t="s">
        <v>854</v>
      </c>
    </row>
    <row r="19" spans="3:10" s="85" customFormat="1" x14ac:dyDescent="0.45">
      <c r="C19" s="84" t="s">
        <v>5601</v>
      </c>
      <c r="D19" s="84" t="s">
        <v>5573</v>
      </c>
      <c r="I19" s="84" t="s">
        <v>5283</v>
      </c>
      <c r="J19" s="84" t="s">
        <v>4959</v>
      </c>
    </row>
    <row r="20" spans="3:10" s="85" customFormat="1" x14ac:dyDescent="0.45">
      <c r="C20" s="84" t="s">
        <v>5602</v>
      </c>
      <c r="D20" s="84" t="s">
        <v>5567</v>
      </c>
      <c r="I20" s="84" t="s">
        <v>5598</v>
      </c>
      <c r="J20" s="84" t="s">
        <v>5275</v>
      </c>
    </row>
    <row r="21" spans="3:10" s="85" customFormat="1" x14ac:dyDescent="0.45">
      <c r="C21" s="84" t="s">
        <v>10018</v>
      </c>
      <c r="D21" s="84" t="s">
        <v>5570</v>
      </c>
      <c r="I21" s="86" t="s">
        <v>10021</v>
      </c>
      <c r="J21" s="84" t="s">
        <v>702</v>
      </c>
    </row>
    <row r="22" spans="3:10" s="85" customFormat="1" x14ac:dyDescent="0.45">
      <c r="C22" s="84" t="s">
        <v>692</v>
      </c>
      <c r="D22" s="84" t="s">
        <v>46</v>
      </c>
      <c r="I22" s="84" t="s">
        <v>5286</v>
      </c>
      <c r="J22" s="84" t="s">
        <v>5603</v>
      </c>
    </row>
    <row r="23" spans="3:10" s="85" customFormat="1" x14ac:dyDescent="0.45">
      <c r="C23" s="84" t="s">
        <v>5605</v>
      </c>
      <c r="D23" s="84" t="s">
        <v>5600</v>
      </c>
      <c r="H23"/>
      <c r="I23" s="86" t="s">
        <v>5288</v>
      </c>
      <c r="J23" s="84" t="s">
        <v>5604</v>
      </c>
    </row>
    <row r="24" spans="3:10" s="85" customFormat="1" x14ac:dyDescent="0.45">
      <c r="C24" s="84" t="s">
        <v>5606</v>
      </c>
      <c r="D24" s="84" t="s">
        <v>42</v>
      </c>
      <c r="H24"/>
      <c r="I24" s="84" t="s">
        <v>5289</v>
      </c>
      <c r="J24" s="84" t="s">
        <v>5600</v>
      </c>
    </row>
    <row r="25" spans="3:10" s="85" customFormat="1" x14ac:dyDescent="0.45">
      <c r="C25" s="84" t="s">
        <v>5608</v>
      </c>
      <c r="D25" s="84" t="s">
        <v>49</v>
      </c>
      <c r="E25"/>
      <c r="H25"/>
      <c r="I25" s="84" t="s">
        <v>5578</v>
      </c>
      <c r="J25" s="84" t="s">
        <v>5278</v>
      </c>
    </row>
    <row r="26" spans="3:10" s="85" customFormat="1" x14ac:dyDescent="0.45">
      <c r="C26" s="84" t="s">
        <v>5587</v>
      </c>
      <c r="D26" s="84" t="s">
        <v>5607</v>
      </c>
      <c r="E26"/>
      <c r="H26"/>
      <c r="I26" s="84" t="s">
        <v>5294</v>
      </c>
      <c r="J26" s="84" t="s">
        <v>80</v>
      </c>
    </row>
    <row r="27" spans="3:10" s="85" customFormat="1" x14ac:dyDescent="0.45">
      <c r="C27" s="84" t="s">
        <v>627</v>
      </c>
      <c r="D27" s="84" t="s">
        <v>5587</v>
      </c>
      <c r="E27"/>
      <c r="H27"/>
      <c r="I27" s="84" t="s">
        <v>627</v>
      </c>
      <c r="J27" s="84" t="s">
        <v>5609</v>
      </c>
    </row>
    <row r="28" spans="3:10" s="85" customFormat="1" ht="28.5" x14ac:dyDescent="0.45">
      <c r="C28" s="84" t="s">
        <v>5611</v>
      </c>
      <c r="D28" s="84" t="s">
        <v>5593</v>
      </c>
      <c r="E28"/>
      <c r="H28"/>
      <c r="J28" s="84" t="s">
        <v>5610</v>
      </c>
    </row>
    <row r="29" spans="3:10" s="85" customFormat="1" x14ac:dyDescent="0.45">
      <c r="C29" s="84" t="s">
        <v>32</v>
      </c>
      <c r="D29" s="84" t="s">
        <v>627</v>
      </c>
      <c r="E29"/>
      <c r="H29"/>
      <c r="J29" s="84" t="s">
        <v>89</v>
      </c>
    </row>
    <row r="30" spans="3:10" s="85" customFormat="1" x14ac:dyDescent="0.45">
      <c r="C30" s="84" t="s">
        <v>5599</v>
      </c>
      <c r="D30" s="84" t="s">
        <v>5272</v>
      </c>
      <c r="E30"/>
      <c r="H30"/>
      <c r="I30"/>
      <c r="J30" s="84" t="s">
        <v>5607</v>
      </c>
    </row>
    <row r="31" spans="3:10" x14ac:dyDescent="0.45">
      <c r="C31" s="84" t="s">
        <v>34</v>
      </c>
      <c r="J31" s="84" t="s">
        <v>704</v>
      </c>
    </row>
    <row r="32" spans="3:10" x14ac:dyDescent="0.45">
      <c r="J32" s="84" t="s">
        <v>92</v>
      </c>
    </row>
    <row r="33" spans="10:10" x14ac:dyDescent="0.45">
      <c r="J33" s="84" t="s">
        <v>91</v>
      </c>
    </row>
    <row r="34" spans="10:10" x14ac:dyDescent="0.45">
      <c r="J34" s="84" t="s">
        <v>627</v>
      </c>
    </row>
    <row r="35" spans="10:10" x14ac:dyDescent="0.45">
      <c r="J35" s="84" t="s">
        <v>81</v>
      </c>
    </row>
  </sheetData>
  <sheetProtection sheet="1" objects="1" scenarios="1" selectLockedCells="1" selectUnlockedCells="1"/>
  <sortState xmlns:xlrd2="http://schemas.microsoft.com/office/spreadsheetml/2017/richdata2" ref="E2:E14">
    <sortCondition ref="E2"/>
  </sortState>
  <conditionalFormatting sqref="H2:H17">
    <cfRule type="duplicateValues" dxfId="25" priority="1630"/>
  </conditionalFormatting>
  <conditionalFormatting sqref="E2:E7">
    <cfRule type="duplicateValues" dxfId="24" priority="1645"/>
    <cfRule type="duplicateValues" dxfId="23" priority="1646"/>
    <cfRule type="duplicateValues" dxfId="22" priority="1647"/>
    <cfRule type="duplicateValues" dxfId="21" priority="1648"/>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H45"/>
  <sheetViews>
    <sheetView zoomScale="85" zoomScaleNormal="85" workbookViewId="0">
      <pane ySplit="1" topLeftCell="A2" activePane="bottomLeft" state="frozen"/>
      <selection pane="bottomLeft" activeCell="J19" sqref="J19"/>
    </sheetView>
  </sheetViews>
  <sheetFormatPr defaultRowHeight="14.25" x14ac:dyDescent="0.45"/>
  <cols>
    <col min="1" max="1" width="8.1328125" bestFit="1" customWidth="1"/>
    <col min="2" max="2" width="28" customWidth="1"/>
    <col min="3" max="3" width="39" customWidth="1"/>
    <col min="4" max="4" width="33.3984375" bestFit="1" customWidth="1"/>
    <col min="5" max="5" width="46.86328125" style="10" bestFit="1" customWidth="1"/>
    <col min="6" max="6" width="28.3984375" bestFit="1" customWidth="1"/>
    <col min="7" max="7" width="21.1328125" bestFit="1" customWidth="1"/>
    <col min="8" max="8" width="28.3984375" bestFit="1" customWidth="1"/>
  </cols>
  <sheetData>
    <row r="1" spans="1:8" s="1" customFormat="1" x14ac:dyDescent="0.45">
      <c r="A1" s="1" t="s">
        <v>1</v>
      </c>
      <c r="B1" s="1" t="s">
        <v>0</v>
      </c>
      <c r="C1" s="1" t="s">
        <v>16</v>
      </c>
      <c r="D1" s="1" t="s">
        <v>74</v>
      </c>
      <c r="E1" s="9" t="s">
        <v>75</v>
      </c>
      <c r="F1" s="1" t="s">
        <v>76</v>
      </c>
      <c r="G1" s="1" t="s">
        <v>78</v>
      </c>
      <c r="H1" s="1" t="s">
        <v>77</v>
      </c>
    </row>
    <row r="2" spans="1:8" x14ac:dyDescent="0.45">
      <c r="A2" t="s">
        <v>2</v>
      </c>
      <c r="B2" t="s">
        <v>663</v>
      </c>
      <c r="C2" s="84" t="s">
        <v>5546</v>
      </c>
      <c r="D2" t="s">
        <v>79</v>
      </c>
      <c r="E2" s="10" t="s">
        <v>88</v>
      </c>
      <c r="F2" s="84" t="s">
        <v>5547</v>
      </c>
      <c r="G2" t="s">
        <v>99</v>
      </c>
      <c r="H2" s="84" t="s">
        <v>103</v>
      </c>
    </row>
    <row r="3" spans="1:8" x14ac:dyDescent="0.45">
      <c r="A3" t="s">
        <v>3</v>
      </c>
      <c r="B3" t="s">
        <v>660</v>
      </c>
      <c r="C3" s="84" t="s">
        <v>5550</v>
      </c>
      <c r="D3" s="86" t="s">
        <v>10033</v>
      </c>
      <c r="E3" s="84" t="s">
        <v>5548</v>
      </c>
      <c r="F3" s="84" t="s">
        <v>60</v>
      </c>
      <c r="G3" t="s">
        <v>95</v>
      </c>
      <c r="H3" t="s">
        <v>17</v>
      </c>
    </row>
    <row r="4" spans="1:8" x14ac:dyDescent="0.45">
      <c r="A4" t="s">
        <v>4</v>
      </c>
      <c r="B4" t="s">
        <v>661</v>
      </c>
      <c r="C4" t="s">
        <v>18</v>
      </c>
      <c r="D4" s="86" t="s">
        <v>10034</v>
      </c>
      <c r="E4" s="84" t="s">
        <v>5546</v>
      </c>
      <c r="F4" s="84" t="s">
        <v>5258</v>
      </c>
      <c r="G4" s="85" t="s">
        <v>97</v>
      </c>
      <c r="H4" s="84" t="s">
        <v>5552</v>
      </c>
    </row>
    <row r="5" spans="1:8" x14ac:dyDescent="0.45">
      <c r="A5" t="s">
        <v>5</v>
      </c>
      <c r="B5" t="s">
        <v>659</v>
      </c>
      <c r="C5" s="84" t="s">
        <v>5553</v>
      </c>
      <c r="D5" s="86" t="s">
        <v>10035</v>
      </c>
      <c r="E5" s="84" t="s">
        <v>5555</v>
      </c>
      <c r="F5" s="84" t="s">
        <v>5559</v>
      </c>
      <c r="G5" t="s">
        <v>100</v>
      </c>
      <c r="H5" s="84" t="s">
        <v>5556</v>
      </c>
    </row>
    <row r="6" spans="1:8" s="85" customFormat="1" x14ac:dyDescent="0.45">
      <c r="A6" s="85" t="s">
        <v>6</v>
      </c>
      <c r="B6" s="85" t="s">
        <v>662</v>
      </c>
      <c r="C6" s="84" t="s">
        <v>5558</v>
      </c>
      <c r="D6" s="86" t="s">
        <v>10036</v>
      </c>
      <c r="E6" s="84" t="s">
        <v>5551</v>
      </c>
      <c r="F6" s="84" t="s">
        <v>5551</v>
      </c>
      <c r="G6" t="s">
        <v>102</v>
      </c>
      <c r="H6" s="84" t="s">
        <v>5560</v>
      </c>
    </row>
    <row r="7" spans="1:8" x14ac:dyDescent="0.45">
      <c r="A7" t="s">
        <v>7</v>
      </c>
      <c r="B7" t="s">
        <v>664</v>
      </c>
      <c r="C7" s="84" t="s">
        <v>5562</v>
      </c>
      <c r="D7" s="86" t="s">
        <v>532</v>
      </c>
      <c r="E7" s="84" t="s">
        <v>532</v>
      </c>
      <c r="F7" s="84" t="s">
        <v>532</v>
      </c>
      <c r="G7" t="s">
        <v>98</v>
      </c>
      <c r="H7" s="84" t="s">
        <v>5551</v>
      </c>
    </row>
    <row r="8" spans="1:8" x14ac:dyDescent="0.45">
      <c r="C8" s="84" t="s">
        <v>5564</v>
      </c>
      <c r="D8" s="86" t="s">
        <v>10031</v>
      </c>
      <c r="E8" s="84" t="s">
        <v>86</v>
      </c>
      <c r="F8" s="84" t="s">
        <v>1036</v>
      </c>
      <c r="H8" s="84" t="s">
        <v>532</v>
      </c>
    </row>
    <row r="9" spans="1:8" x14ac:dyDescent="0.45">
      <c r="C9" s="84" t="s">
        <v>5551</v>
      </c>
      <c r="D9" s="86" t="s">
        <v>10029</v>
      </c>
      <c r="E9" s="84" t="s">
        <v>1036</v>
      </c>
      <c r="F9" s="84" t="s">
        <v>5565</v>
      </c>
      <c r="H9" s="84" t="s">
        <v>1036</v>
      </c>
    </row>
    <row r="10" spans="1:8" x14ac:dyDescent="0.45">
      <c r="C10" s="84" t="s">
        <v>700</v>
      </c>
      <c r="D10" s="86" t="s">
        <v>5276</v>
      </c>
      <c r="E10" s="84" t="s">
        <v>5565</v>
      </c>
      <c r="F10" s="84" t="s">
        <v>5572</v>
      </c>
      <c r="H10" s="84" t="s">
        <v>5565</v>
      </c>
    </row>
    <row r="11" spans="1:8" x14ac:dyDescent="0.45">
      <c r="C11" s="84" t="s">
        <v>532</v>
      </c>
      <c r="D11" s="86" t="s">
        <v>10032</v>
      </c>
      <c r="E11" s="84" t="s">
        <v>5569</v>
      </c>
      <c r="F11" s="84" t="s">
        <v>5576</v>
      </c>
      <c r="H11" s="84" t="s">
        <v>5574</v>
      </c>
    </row>
    <row r="12" spans="1:8" x14ac:dyDescent="0.45">
      <c r="C12" s="84" t="s">
        <v>1036</v>
      </c>
      <c r="D12" s="86" t="s">
        <v>10037</v>
      </c>
      <c r="E12" s="84" t="s">
        <v>5573</v>
      </c>
      <c r="F12" s="84" t="s">
        <v>695</v>
      </c>
      <c r="H12" s="84" t="s">
        <v>5577</v>
      </c>
    </row>
    <row r="13" spans="1:8" x14ac:dyDescent="0.45">
      <c r="C13" s="84" t="s">
        <v>5565</v>
      </c>
      <c r="E13" s="84" t="s">
        <v>5567</v>
      </c>
      <c r="F13" s="84" t="s">
        <v>49</v>
      </c>
      <c r="H13" s="84" t="s">
        <v>5274</v>
      </c>
    </row>
    <row r="14" spans="1:8" x14ac:dyDescent="0.45">
      <c r="C14" s="84" t="s">
        <v>5569</v>
      </c>
      <c r="E14" s="84" t="s">
        <v>5574</v>
      </c>
      <c r="F14" s="84" t="s">
        <v>5288</v>
      </c>
      <c r="H14" s="84" t="s">
        <v>5280</v>
      </c>
    </row>
    <row r="15" spans="1:8" x14ac:dyDescent="0.45">
      <c r="C15" s="84" t="s">
        <v>5585</v>
      </c>
      <c r="E15" s="84" t="s">
        <v>5583</v>
      </c>
      <c r="F15" s="84" t="s">
        <v>5590</v>
      </c>
      <c r="H15" s="84" t="s">
        <v>85</v>
      </c>
    </row>
    <row r="16" spans="1:8" x14ac:dyDescent="0.45">
      <c r="C16" t="s">
        <v>23</v>
      </c>
      <c r="E16" s="84" t="s">
        <v>5579</v>
      </c>
      <c r="F16" s="84" t="s">
        <v>5589</v>
      </c>
      <c r="H16" s="84" t="s">
        <v>5592</v>
      </c>
    </row>
    <row r="17" spans="3:8" x14ac:dyDescent="0.45">
      <c r="C17" s="84" t="s">
        <v>5588</v>
      </c>
      <c r="E17" s="84" t="s">
        <v>5582</v>
      </c>
      <c r="F17" s="84" t="s">
        <v>5595</v>
      </c>
      <c r="H17" s="84" t="s">
        <v>5283</v>
      </c>
    </row>
    <row r="18" spans="3:8" x14ac:dyDescent="0.45">
      <c r="C18" s="84" t="s">
        <v>5594</v>
      </c>
      <c r="E18" s="10" t="s">
        <v>87</v>
      </c>
      <c r="F18" s="84" t="s">
        <v>627</v>
      </c>
      <c r="H18" s="84" t="s">
        <v>5598</v>
      </c>
    </row>
    <row r="19" spans="3:8" x14ac:dyDescent="0.45">
      <c r="C19" s="84" t="s">
        <v>5597</v>
      </c>
      <c r="E19" s="84" t="s">
        <v>5586</v>
      </c>
      <c r="H19" s="84" t="s">
        <v>5286</v>
      </c>
    </row>
    <row r="20" spans="3:8" x14ac:dyDescent="0.45">
      <c r="C20" t="s">
        <v>25</v>
      </c>
      <c r="E20" s="84" t="s">
        <v>5591</v>
      </c>
      <c r="H20" t="s">
        <v>105</v>
      </c>
    </row>
    <row r="21" spans="3:8" x14ac:dyDescent="0.45">
      <c r="C21" s="84" t="s">
        <v>5600</v>
      </c>
      <c r="E21" s="84" t="s">
        <v>5596</v>
      </c>
      <c r="H21" s="84" t="s">
        <v>5289</v>
      </c>
    </row>
    <row r="22" spans="3:8" x14ac:dyDescent="0.45">
      <c r="C22" s="84" t="s">
        <v>5601</v>
      </c>
      <c r="E22" s="84" t="s">
        <v>854</v>
      </c>
      <c r="H22" s="84" t="s">
        <v>5578</v>
      </c>
    </row>
    <row r="23" spans="3:8" x14ac:dyDescent="0.45">
      <c r="C23" s="84" t="s">
        <v>5602</v>
      </c>
      <c r="E23" s="84" t="s">
        <v>4959</v>
      </c>
      <c r="H23" s="84" t="s">
        <v>5294</v>
      </c>
    </row>
    <row r="24" spans="3:8" x14ac:dyDescent="0.45">
      <c r="C24" s="84" t="s">
        <v>10018</v>
      </c>
      <c r="E24" s="84" t="s">
        <v>5275</v>
      </c>
      <c r="H24" s="84" t="s">
        <v>627</v>
      </c>
    </row>
    <row r="25" spans="3:8" x14ac:dyDescent="0.45">
      <c r="C25" s="84" t="s">
        <v>692</v>
      </c>
      <c r="E25" s="84" t="s">
        <v>702</v>
      </c>
    </row>
    <row r="26" spans="3:8" x14ac:dyDescent="0.45">
      <c r="C26" s="84" t="s">
        <v>5605</v>
      </c>
      <c r="E26" s="10" t="s">
        <v>701</v>
      </c>
    </row>
    <row r="27" spans="3:8" x14ac:dyDescent="0.45">
      <c r="C27" t="s">
        <v>28</v>
      </c>
      <c r="E27" s="84" t="s">
        <v>5603</v>
      </c>
    </row>
    <row r="28" spans="3:8" x14ac:dyDescent="0.45">
      <c r="C28" t="s">
        <v>29</v>
      </c>
      <c r="E28" s="84" t="s">
        <v>5604</v>
      </c>
    </row>
    <row r="29" spans="3:8" x14ac:dyDescent="0.45">
      <c r="C29" s="84" t="s">
        <v>5608</v>
      </c>
      <c r="E29" s="84" t="s">
        <v>5600</v>
      </c>
    </row>
    <row r="30" spans="3:8" x14ac:dyDescent="0.45">
      <c r="C30" t="s">
        <v>121</v>
      </c>
      <c r="E30" s="84" t="s">
        <v>5278</v>
      </c>
    </row>
    <row r="31" spans="3:8" x14ac:dyDescent="0.45">
      <c r="C31" t="s">
        <v>30</v>
      </c>
      <c r="E31" s="10" t="s">
        <v>711</v>
      </c>
    </row>
    <row r="32" spans="3:8" x14ac:dyDescent="0.45">
      <c r="C32" s="84" t="s">
        <v>5587</v>
      </c>
      <c r="E32" s="84" t="s">
        <v>80</v>
      </c>
    </row>
    <row r="33" spans="3:5" x14ac:dyDescent="0.45">
      <c r="C33" s="84" t="s">
        <v>627</v>
      </c>
      <c r="E33" s="84" t="s">
        <v>5609</v>
      </c>
    </row>
    <row r="34" spans="3:5" ht="28.5" x14ac:dyDescent="0.45">
      <c r="C34" s="84" t="s">
        <v>5611</v>
      </c>
      <c r="E34" s="84" t="s">
        <v>5610</v>
      </c>
    </row>
    <row r="35" spans="3:5" x14ac:dyDescent="0.45">
      <c r="C35" s="84" t="s">
        <v>32</v>
      </c>
      <c r="E35" s="10" t="s">
        <v>85</v>
      </c>
    </row>
    <row r="36" spans="3:5" x14ac:dyDescent="0.45">
      <c r="C36" s="84" t="s">
        <v>5599</v>
      </c>
      <c r="E36" s="84" t="s">
        <v>89</v>
      </c>
    </row>
    <row r="37" spans="3:5" x14ac:dyDescent="0.45">
      <c r="C37" s="84" t="s">
        <v>34</v>
      </c>
      <c r="E37" s="84" t="s">
        <v>5607</v>
      </c>
    </row>
    <row r="38" spans="3:5" x14ac:dyDescent="0.45">
      <c r="E38" s="10" t="s">
        <v>83</v>
      </c>
    </row>
    <row r="39" spans="3:5" x14ac:dyDescent="0.45">
      <c r="E39" s="84" t="s">
        <v>704</v>
      </c>
    </row>
    <row r="40" spans="3:5" x14ac:dyDescent="0.45">
      <c r="E40" s="84" t="s">
        <v>5612</v>
      </c>
    </row>
    <row r="41" spans="3:5" x14ac:dyDescent="0.45">
      <c r="E41" s="10" t="s">
        <v>703</v>
      </c>
    </row>
    <row r="42" spans="3:5" x14ac:dyDescent="0.45">
      <c r="E42" s="84" t="s">
        <v>92</v>
      </c>
    </row>
    <row r="43" spans="3:5" x14ac:dyDescent="0.45">
      <c r="E43" s="84" t="s">
        <v>91</v>
      </c>
    </row>
    <row r="44" spans="3:5" x14ac:dyDescent="0.45">
      <c r="E44" s="84" t="s">
        <v>627</v>
      </c>
    </row>
    <row r="45" spans="3:5" x14ac:dyDescent="0.45">
      <c r="E45" s="84" t="s">
        <v>81</v>
      </c>
    </row>
  </sheetData>
  <sheetProtection sheet="1" objects="1" scenarios="1" selectLockedCells="1" selectUnlockedCells="1"/>
  <sortState xmlns:xlrd2="http://schemas.microsoft.com/office/spreadsheetml/2017/richdata2" ref="H2:H28">
    <sortCondition ref="H2"/>
  </sortState>
  <conditionalFormatting sqref="C2:C37">
    <cfRule type="duplicateValues" dxfId="20" priority="1642"/>
  </conditionalFormatting>
  <conditionalFormatting sqref="E2:E45">
    <cfRule type="duplicateValues" dxfId="19" priority="1662"/>
  </conditionalFormatting>
  <conditionalFormatting sqref="H2:H24">
    <cfRule type="duplicateValues" dxfId="18" priority="1666"/>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O25"/>
  <sheetViews>
    <sheetView topLeftCell="H1" zoomScale="85" zoomScaleNormal="85" workbookViewId="0">
      <pane ySplit="1" topLeftCell="A2" activePane="bottomLeft" state="frozen"/>
      <selection pane="bottomLeft" activeCell="O42" sqref="O42:X43"/>
    </sheetView>
  </sheetViews>
  <sheetFormatPr defaultRowHeight="14.25" x14ac:dyDescent="0.45"/>
  <cols>
    <col min="1" max="1" width="5.59765625" bestFit="1" customWidth="1"/>
    <col min="2" max="2" width="30.86328125" bestFit="1" customWidth="1"/>
    <col min="3" max="3" width="21.1328125" bestFit="1" customWidth="1"/>
    <col min="4" max="4" width="20.86328125" bestFit="1" customWidth="1"/>
    <col min="5" max="5" width="30.59765625" bestFit="1" customWidth="1"/>
    <col min="6" max="6" width="30.86328125" bestFit="1" customWidth="1"/>
    <col min="7" max="7" width="31" bestFit="1" customWidth="1"/>
    <col min="8" max="8" width="32.3984375" customWidth="1"/>
    <col min="9" max="9" width="24" bestFit="1" customWidth="1"/>
    <col min="10" max="10" width="27" bestFit="1" customWidth="1"/>
    <col min="11" max="11" width="21.86328125" bestFit="1" customWidth="1"/>
    <col min="12" max="12" width="30.86328125" bestFit="1" customWidth="1"/>
    <col min="13" max="13" width="24.1328125" bestFit="1" customWidth="1"/>
    <col min="14" max="14" width="28.86328125" bestFit="1" customWidth="1"/>
    <col min="15" max="15" width="21.86328125" bestFit="1" customWidth="1"/>
  </cols>
  <sheetData>
    <row r="1" spans="1:15" s="1" customFormat="1" x14ac:dyDescent="0.45">
      <c r="A1" s="1" t="s">
        <v>150</v>
      </c>
      <c r="B1" s="1" t="s">
        <v>110</v>
      </c>
      <c r="C1" s="1" t="s">
        <v>134</v>
      </c>
      <c r="D1" s="1" t="s">
        <v>135</v>
      </c>
      <c r="E1" s="1" t="s">
        <v>136</v>
      </c>
      <c r="F1" s="1" t="s">
        <v>137</v>
      </c>
      <c r="G1" s="1" t="s">
        <v>138</v>
      </c>
      <c r="H1" s="1" t="s">
        <v>4966</v>
      </c>
      <c r="I1" s="1" t="s">
        <v>140</v>
      </c>
      <c r="J1" s="1" t="s">
        <v>141</v>
      </c>
      <c r="K1" s="1" t="s">
        <v>142</v>
      </c>
      <c r="L1" s="1" t="s">
        <v>143</v>
      </c>
      <c r="M1" s="1" t="s">
        <v>144</v>
      </c>
      <c r="N1" s="1" t="s">
        <v>145</v>
      </c>
      <c r="O1" s="1" t="s">
        <v>146</v>
      </c>
    </row>
    <row r="2" spans="1:15" x14ac:dyDescent="0.45">
      <c r="A2" t="s">
        <v>2</v>
      </c>
      <c r="B2" t="s">
        <v>134</v>
      </c>
      <c r="C2" t="s">
        <v>903</v>
      </c>
      <c r="D2" t="s">
        <v>918</v>
      </c>
      <c r="E2" t="s">
        <v>930</v>
      </c>
      <c r="F2" t="s">
        <v>934</v>
      </c>
      <c r="G2" t="s">
        <v>955</v>
      </c>
      <c r="H2" t="s">
        <v>969</v>
      </c>
      <c r="I2" t="s">
        <v>973</v>
      </c>
      <c r="J2" t="s">
        <v>902</v>
      </c>
      <c r="K2" t="s">
        <v>989</v>
      </c>
      <c r="L2" t="s">
        <v>933</v>
      </c>
      <c r="M2" t="s">
        <v>952</v>
      </c>
      <c r="N2" t="s">
        <v>1011</v>
      </c>
      <c r="O2" t="s">
        <v>950</v>
      </c>
    </row>
    <row r="3" spans="1:15" x14ac:dyDescent="0.45">
      <c r="A3" t="s">
        <v>3</v>
      </c>
      <c r="B3" t="s">
        <v>135</v>
      </c>
      <c r="C3" t="s">
        <v>905</v>
      </c>
      <c r="D3" t="s">
        <v>919</v>
      </c>
      <c r="E3" t="s">
        <v>931</v>
      </c>
      <c r="F3" t="s">
        <v>935</v>
      </c>
      <c r="G3" t="s">
        <v>957</v>
      </c>
      <c r="H3" t="s">
        <v>962</v>
      </c>
      <c r="I3" t="s">
        <v>974</v>
      </c>
      <c r="J3" t="s">
        <v>984</v>
      </c>
      <c r="K3" t="s">
        <v>939</v>
      </c>
      <c r="L3" t="s">
        <v>992</v>
      </c>
      <c r="M3" t="s">
        <v>998</v>
      </c>
      <c r="N3" t="s">
        <v>1012</v>
      </c>
      <c r="O3" t="s">
        <v>918</v>
      </c>
    </row>
    <row r="4" spans="1:15" x14ac:dyDescent="0.45">
      <c r="A4" t="s">
        <v>4</v>
      </c>
      <c r="B4" t="s">
        <v>136</v>
      </c>
      <c r="C4" t="s">
        <v>906</v>
      </c>
      <c r="D4" t="s">
        <v>920</v>
      </c>
      <c r="E4" t="s">
        <v>932</v>
      </c>
      <c r="F4" t="s">
        <v>936</v>
      </c>
      <c r="G4" t="s">
        <v>965</v>
      </c>
      <c r="H4" t="s">
        <v>963</v>
      </c>
      <c r="I4" t="s">
        <v>975</v>
      </c>
      <c r="J4" t="s">
        <v>951</v>
      </c>
      <c r="K4" t="s">
        <v>990</v>
      </c>
      <c r="L4" t="s">
        <v>993</v>
      </c>
      <c r="M4" t="s">
        <v>954</v>
      </c>
      <c r="N4" t="s">
        <v>904</v>
      </c>
      <c r="O4" t="s">
        <v>937</v>
      </c>
    </row>
    <row r="5" spans="1:15" x14ac:dyDescent="0.45">
      <c r="A5" t="s">
        <v>5</v>
      </c>
      <c r="B5" t="s">
        <v>137</v>
      </c>
      <c r="C5" t="s">
        <v>907</v>
      </c>
      <c r="D5" t="s">
        <v>921</v>
      </c>
      <c r="F5" t="s">
        <v>938</v>
      </c>
      <c r="G5" t="s">
        <v>966</v>
      </c>
      <c r="H5" t="s">
        <v>964</v>
      </c>
      <c r="I5" t="s">
        <v>976</v>
      </c>
      <c r="J5" t="s">
        <v>985</v>
      </c>
      <c r="K5" t="s">
        <v>991</v>
      </c>
      <c r="L5" t="s">
        <v>994</v>
      </c>
      <c r="M5" t="s">
        <v>999</v>
      </c>
      <c r="N5" t="s">
        <v>968</v>
      </c>
      <c r="O5" t="s">
        <v>1020</v>
      </c>
    </row>
    <row r="6" spans="1:15" x14ac:dyDescent="0.45">
      <c r="A6" t="s">
        <v>6</v>
      </c>
      <c r="B6" t="s">
        <v>138</v>
      </c>
      <c r="C6" t="s">
        <v>909</v>
      </c>
      <c r="D6" t="s">
        <v>922</v>
      </c>
      <c r="F6" t="s">
        <v>940</v>
      </c>
      <c r="G6" t="s">
        <v>967</v>
      </c>
      <c r="H6" t="s">
        <v>972</v>
      </c>
      <c r="I6" t="s">
        <v>977</v>
      </c>
      <c r="J6" t="s">
        <v>986</v>
      </c>
      <c r="L6" t="s">
        <v>943</v>
      </c>
      <c r="M6" t="s">
        <v>1000</v>
      </c>
      <c r="N6" t="s">
        <v>1013</v>
      </c>
      <c r="O6" t="s">
        <v>953</v>
      </c>
    </row>
    <row r="7" spans="1:15" x14ac:dyDescent="0.45">
      <c r="A7" t="s">
        <v>7</v>
      </c>
      <c r="B7" t="s">
        <v>139</v>
      </c>
      <c r="C7" t="s">
        <v>910</v>
      </c>
      <c r="D7" t="s">
        <v>923</v>
      </c>
      <c r="F7" t="s">
        <v>941</v>
      </c>
      <c r="G7" t="s">
        <v>949</v>
      </c>
      <c r="H7" t="s">
        <v>929</v>
      </c>
      <c r="I7" t="s">
        <v>978</v>
      </c>
      <c r="J7" t="s">
        <v>908</v>
      </c>
      <c r="L7" t="s">
        <v>995</v>
      </c>
      <c r="M7" t="s">
        <v>956</v>
      </c>
      <c r="N7" t="s">
        <v>1014</v>
      </c>
      <c r="O7" t="s">
        <v>956</v>
      </c>
    </row>
    <row r="8" spans="1:15" x14ac:dyDescent="0.45">
      <c r="A8" t="s">
        <v>8</v>
      </c>
      <c r="B8" t="s">
        <v>140</v>
      </c>
      <c r="C8" t="s">
        <v>911</v>
      </c>
      <c r="D8" t="s">
        <v>925</v>
      </c>
      <c r="F8" t="s">
        <v>945</v>
      </c>
      <c r="H8" t="s">
        <v>4963</v>
      </c>
      <c r="I8" t="s">
        <v>979</v>
      </c>
      <c r="J8" t="s">
        <v>980</v>
      </c>
      <c r="L8" t="s">
        <v>913</v>
      </c>
      <c r="M8" t="s">
        <v>976</v>
      </c>
      <c r="N8" t="s">
        <v>1015</v>
      </c>
      <c r="O8" t="s">
        <v>978</v>
      </c>
    </row>
    <row r="9" spans="1:15" x14ac:dyDescent="0.45">
      <c r="A9" t="s">
        <v>128</v>
      </c>
      <c r="B9" t="s">
        <v>141</v>
      </c>
      <c r="C9" t="s">
        <v>914</v>
      </c>
      <c r="D9" t="s">
        <v>926</v>
      </c>
      <c r="F9" t="s">
        <v>947</v>
      </c>
      <c r="I9" t="s">
        <v>924</v>
      </c>
      <c r="J9" t="s">
        <v>942</v>
      </c>
      <c r="L9" t="s">
        <v>996</v>
      </c>
      <c r="M9" t="s">
        <v>978</v>
      </c>
      <c r="N9" t="s">
        <v>1009</v>
      </c>
      <c r="O9" t="s">
        <v>944</v>
      </c>
    </row>
    <row r="10" spans="1:15" x14ac:dyDescent="0.45">
      <c r="A10" t="s">
        <v>129</v>
      </c>
      <c r="B10" t="s">
        <v>142</v>
      </c>
      <c r="C10" t="s">
        <v>915</v>
      </c>
      <c r="D10" t="s">
        <v>927</v>
      </c>
      <c r="I10" t="s">
        <v>981</v>
      </c>
      <c r="J10" t="s">
        <v>987</v>
      </c>
      <c r="L10" t="s">
        <v>997</v>
      </c>
      <c r="M10" t="s">
        <v>1001</v>
      </c>
      <c r="N10" t="s">
        <v>1016</v>
      </c>
      <c r="O10" t="s">
        <v>1021</v>
      </c>
    </row>
    <row r="11" spans="1:15" x14ac:dyDescent="0.45">
      <c r="A11" t="s">
        <v>130</v>
      </c>
      <c r="B11" t="s">
        <v>143</v>
      </c>
      <c r="C11" t="s">
        <v>916</v>
      </c>
      <c r="D11" t="s">
        <v>928</v>
      </c>
      <c r="I11" t="s">
        <v>982</v>
      </c>
      <c r="J11" t="s">
        <v>912</v>
      </c>
      <c r="M11" t="s">
        <v>958</v>
      </c>
      <c r="N11" t="s">
        <v>1017</v>
      </c>
      <c r="O11" t="s">
        <v>948</v>
      </c>
    </row>
    <row r="12" spans="1:15" x14ac:dyDescent="0.45">
      <c r="A12" t="s">
        <v>131</v>
      </c>
      <c r="B12" t="s">
        <v>144</v>
      </c>
      <c r="C12" t="s">
        <v>917</v>
      </c>
      <c r="I12" t="s">
        <v>983</v>
      </c>
      <c r="J12" t="s">
        <v>988</v>
      </c>
      <c r="M12" t="s">
        <v>1002</v>
      </c>
      <c r="N12" t="s">
        <v>1018</v>
      </c>
    </row>
    <row r="13" spans="1:15" x14ac:dyDescent="0.45">
      <c r="A13" t="s">
        <v>132</v>
      </c>
      <c r="B13" t="s">
        <v>145</v>
      </c>
      <c r="J13" t="s">
        <v>946</v>
      </c>
      <c r="M13" t="s">
        <v>912</v>
      </c>
      <c r="N13" t="s">
        <v>1019</v>
      </c>
    </row>
    <row r="14" spans="1:15" x14ac:dyDescent="0.45">
      <c r="A14" t="s">
        <v>133</v>
      </c>
      <c r="B14" t="s">
        <v>146</v>
      </c>
      <c r="M14" t="s">
        <v>1003</v>
      </c>
      <c r="N14" t="s">
        <v>971</v>
      </c>
    </row>
    <row r="15" spans="1:15" x14ac:dyDescent="0.45">
      <c r="M15" t="s">
        <v>1004</v>
      </c>
    </row>
    <row r="16" spans="1:15" x14ac:dyDescent="0.45">
      <c r="M16" t="s">
        <v>959</v>
      </c>
    </row>
    <row r="17" spans="13:13" x14ac:dyDescent="0.45">
      <c r="M17" t="s">
        <v>960</v>
      </c>
    </row>
    <row r="18" spans="13:13" x14ac:dyDescent="0.45">
      <c r="M18" t="s">
        <v>970</v>
      </c>
    </row>
    <row r="19" spans="13:13" x14ac:dyDescent="0.45">
      <c r="M19" t="s">
        <v>913</v>
      </c>
    </row>
    <row r="20" spans="13:13" x14ac:dyDescent="0.45">
      <c r="M20" t="s">
        <v>961</v>
      </c>
    </row>
    <row r="21" spans="13:13" x14ac:dyDescent="0.45">
      <c r="M21" t="s">
        <v>1005</v>
      </c>
    </row>
    <row r="22" spans="13:13" x14ac:dyDescent="0.45">
      <c r="M22" t="s">
        <v>1006</v>
      </c>
    </row>
    <row r="23" spans="13:13" x14ac:dyDescent="0.45">
      <c r="M23" t="s">
        <v>1007</v>
      </c>
    </row>
    <row r="24" spans="13:13" x14ac:dyDescent="0.45">
      <c r="M24" t="s">
        <v>1008</v>
      </c>
    </row>
    <row r="25" spans="13:13" x14ac:dyDescent="0.45">
      <c r="M25" t="s">
        <v>1010</v>
      </c>
    </row>
  </sheetData>
  <sheetProtection sheet="1" objects="1" scenarios="1" selectLockedCells="1" selectUnlockedCells="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E48"/>
  <sheetViews>
    <sheetView workbookViewId="0">
      <pane ySplit="1" topLeftCell="A2" activePane="bottomLeft" state="frozen"/>
      <selection pane="bottomLeft"/>
    </sheetView>
  </sheetViews>
  <sheetFormatPr defaultRowHeight="14.25" x14ac:dyDescent="0.45"/>
  <cols>
    <col min="1" max="1" width="26.59765625" bestFit="1" customWidth="1"/>
    <col min="2" max="2" width="18.59765625" bestFit="1" customWidth="1"/>
    <col min="3" max="3" width="56.3984375" bestFit="1" customWidth="1"/>
    <col min="4" max="4" width="34.1328125" bestFit="1" customWidth="1"/>
    <col min="5" max="6" width="15" customWidth="1"/>
  </cols>
  <sheetData>
    <row r="1" spans="1:5" x14ac:dyDescent="0.45">
      <c r="A1" t="s">
        <v>705</v>
      </c>
      <c r="B1" t="s">
        <v>706</v>
      </c>
      <c r="C1" t="s">
        <v>707</v>
      </c>
      <c r="D1" t="s">
        <v>708</v>
      </c>
      <c r="E1" t="s">
        <v>709</v>
      </c>
    </row>
    <row r="2" spans="1:5" x14ac:dyDescent="0.45">
      <c r="A2" t="s">
        <v>48</v>
      </c>
      <c r="B2" t="s">
        <v>713</v>
      </c>
      <c r="C2" t="s">
        <v>714</v>
      </c>
      <c r="D2" t="s">
        <v>691</v>
      </c>
      <c r="E2" t="s">
        <v>704</v>
      </c>
    </row>
    <row r="3" spans="1:5" x14ac:dyDescent="0.45">
      <c r="A3" t="s">
        <v>18</v>
      </c>
      <c r="C3" t="s">
        <v>715</v>
      </c>
      <c r="D3" t="s">
        <v>41</v>
      </c>
    </row>
    <row r="4" spans="1:5" x14ac:dyDescent="0.45">
      <c r="A4" t="s">
        <v>44</v>
      </c>
      <c r="C4" t="s">
        <v>43</v>
      </c>
      <c r="D4" t="s">
        <v>60</v>
      </c>
    </row>
    <row r="5" spans="1:5" x14ac:dyDescent="0.45">
      <c r="A5" t="s">
        <v>699</v>
      </c>
      <c r="C5" t="s">
        <v>716</v>
      </c>
      <c r="D5" t="s">
        <v>45</v>
      </c>
    </row>
    <row r="6" spans="1:5" x14ac:dyDescent="0.45">
      <c r="A6" t="s">
        <v>710</v>
      </c>
      <c r="C6" t="s">
        <v>103</v>
      </c>
      <c r="D6" t="s">
        <v>62</v>
      </c>
    </row>
    <row r="7" spans="1:5" x14ac:dyDescent="0.45">
      <c r="A7" t="s">
        <v>711</v>
      </c>
      <c r="C7" t="s">
        <v>717</v>
      </c>
      <c r="D7" t="s">
        <v>35</v>
      </c>
    </row>
    <row r="8" spans="1:5" x14ac:dyDescent="0.45">
      <c r="A8" t="s">
        <v>27</v>
      </c>
      <c r="C8" t="s">
        <v>17</v>
      </c>
      <c r="D8" t="s">
        <v>724</v>
      </c>
    </row>
    <row r="9" spans="1:5" x14ac:dyDescent="0.45">
      <c r="A9" t="s">
        <v>28</v>
      </c>
      <c r="C9" t="s">
        <v>99</v>
      </c>
      <c r="D9" t="s">
        <v>21</v>
      </c>
    </row>
    <row r="10" spans="1:5" x14ac:dyDescent="0.45">
      <c r="A10" t="s">
        <v>712</v>
      </c>
      <c r="C10" t="s">
        <v>19</v>
      </c>
      <c r="D10" t="s">
        <v>21</v>
      </c>
    </row>
    <row r="11" spans="1:5" x14ac:dyDescent="0.45">
      <c r="A11" t="s">
        <v>98</v>
      </c>
      <c r="C11" t="s">
        <v>698</v>
      </c>
      <c r="D11" t="s">
        <v>71</v>
      </c>
    </row>
    <row r="12" spans="1:5" x14ac:dyDescent="0.45">
      <c r="A12" t="s">
        <v>31</v>
      </c>
      <c r="C12" t="s">
        <v>106</v>
      </c>
      <c r="D12" t="s">
        <v>70</v>
      </c>
    </row>
    <row r="13" spans="1:5" x14ac:dyDescent="0.45">
      <c r="C13" t="s">
        <v>718</v>
      </c>
      <c r="D13" t="s">
        <v>95</v>
      </c>
    </row>
    <row r="14" spans="1:5" x14ac:dyDescent="0.45">
      <c r="C14" t="s">
        <v>20</v>
      </c>
      <c r="D14" t="s">
        <v>96</v>
      </c>
    </row>
    <row r="15" spans="1:5" x14ac:dyDescent="0.45">
      <c r="C15" t="s">
        <v>38</v>
      </c>
      <c r="D15" t="s">
        <v>90</v>
      </c>
    </row>
    <row r="16" spans="1:5" x14ac:dyDescent="0.45">
      <c r="C16" t="s">
        <v>22</v>
      </c>
      <c r="D16" t="s">
        <v>725</v>
      </c>
    </row>
    <row r="17" spans="3:4" x14ac:dyDescent="0.45">
      <c r="C17" t="s">
        <v>23</v>
      </c>
      <c r="D17" t="s">
        <v>87</v>
      </c>
    </row>
    <row r="18" spans="3:4" x14ac:dyDescent="0.45">
      <c r="C18" t="s">
        <v>24</v>
      </c>
      <c r="D18" t="s">
        <v>710</v>
      </c>
    </row>
    <row r="19" spans="3:4" x14ac:dyDescent="0.45">
      <c r="C19" t="s">
        <v>46</v>
      </c>
      <c r="D19" t="s">
        <v>695</v>
      </c>
    </row>
    <row r="20" spans="3:4" x14ac:dyDescent="0.45">
      <c r="C20" t="s">
        <v>694</v>
      </c>
      <c r="D20" t="s">
        <v>101</v>
      </c>
    </row>
    <row r="21" spans="3:4" x14ac:dyDescent="0.45">
      <c r="C21" t="s">
        <v>702</v>
      </c>
      <c r="D21" t="s">
        <v>100</v>
      </c>
    </row>
    <row r="22" spans="3:4" x14ac:dyDescent="0.45">
      <c r="C22" t="s">
        <v>701</v>
      </c>
      <c r="D22" t="s">
        <v>93</v>
      </c>
    </row>
    <row r="23" spans="3:4" x14ac:dyDescent="0.45">
      <c r="C23" t="s">
        <v>80</v>
      </c>
      <c r="D23" t="s">
        <v>726</v>
      </c>
    </row>
    <row r="24" spans="3:4" x14ac:dyDescent="0.45">
      <c r="C24" t="s">
        <v>42</v>
      </c>
      <c r="D24" t="s">
        <v>69</v>
      </c>
    </row>
    <row r="25" spans="3:4" x14ac:dyDescent="0.45">
      <c r="C25" t="s">
        <v>49</v>
      </c>
      <c r="D25" t="s">
        <v>696</v>
      </c>
    </row>
    <row r="26" spans="3:4" x14ac:dyDescent="0.45">
      <c r="C26" t="s">
        <v>89</v>
      </c>
      <c r="D26" t="s">
        <v>727</v>
      </c>
    </row>
    <row r="27" spans="3:4" x14ac:dyDescent="0.45">
      <c r="C27" t="s">
        <v>719</v>
      </c>
      <c r="D27" t="s">
        <v>727</v>
      </c>
    </row>
    <row r="28" spans="3:4" x14ac:dyDescent="0.45">
      <c r="C28" t="s">
        <v>36</v>
      </c>
      <c r="D28" t="s">
        <v>63</v>
      </c>
    </row>
    <row r="29" spans="3:4" x14ac:dyDescent="0.45">
      <c r="C29" t="s">
        <v>720</v>
      </c>
      <c r="D29" t="s">
        <v>72</v>
      </c>
    </row>
    <row r="30" spans="3:4" x14ac:dyDescent="0.45">
      <c r="C30" t="s">
        <v>47</v>
      </c>
      <c r="D30" t="s">
        <v>68</v>
      </c>
    </row>
    <row r="31" spans="3:4" x14ac:dyDescent="0.45">
      <c r="C31" t="s">
        <v>102</v>
      </c>
      <c r="D31" t="s">
        <v>32</v>
      </c>
    </row>
    <row r="32" spans="3:4" x14ac:dyDescent="0.45">
      <c r="C32" t="s">
        <v>721</v>
      </c>
      <c r="D32" t="s">
        <v>32</v>
      </c>
    </row>
    <row r="33" spans="3:4" x14ac:dyDescent="0.45">
      <c r="C33" t="s">
        <v>722</v>
      </c>
      <c r="D33" t="s">
        <v>33</v>
      </c>
    </row>
    <row r="34" spans="3:4" x14ac:dyDescent="0.45">
      <c r="C34" t="s">
        <v>692</v>
      </c>
      <c r="D34" t="s">
        <v>33</v>
      </c>
    </row>
    <row r="35" spans="3:4" x14ac:dyDescent="0.45">
      <c r="C35" t="s">
        <v>37</v>
      </c>
    </row>
    <row r="36" spans="3:4" x14ac:dyDescent="0.45">
      <c r="C36" t="s">
        <v>121</v>
      </c>
    </row>
    <row r="37" spans="3:4" x14ac:dyDescent="0.45">
      <c r="C37" t="s">
        <v>703</v>
      </c>
    </row>
    <row r="38" spans="3:4" x14ac:dyDescent="0.45">
      <c r="C38" t="s">
        <v>723</v>
      </c>
    </row>
    <row r="39" spans="3:4" x14ac:dyDescent="0.45">
      <c r="C39" t="s">
        <v>92</v>
      </c>
    </row>
    <row r="40" spans="3:4" x14ac:dyDescent="0.45">
      <c r="C40" t="s">
        <v>91</v>
      </c>
    </row>
    <row r="41" spans="3:4" x14ac:dyDescent="0.45">
      <c r="C41" t="s">
        <v>30</v>
      </c>
    </row>
    <row r="42" spans="3:4" x14ac:dyDescent="0.45">
      <c r="C42" t="s">
        <v>81</v>
      </c>
    </row>
    <row r="43" spans="3:4" x14ac:dyDescent="0.45">
      <c r="C43" t="s">
        <v>56</v>
      </c>
    </row>
    <row r="44" spans="3:4" x14ac:dyDescent="0.45">
      <c r="C44" t="s">
        <v>58</v>
      </c>
    </row>
    <row r="45" spans="3:4" x14ac:dyDescent="0.45">
      <c r="C45" t="s">
        <v>57</v>
      </c>
    </row>
    <row r="46" spans="3:4" x14ac:dyDescent="0.45">
      <c r="C46" t="s">
        <v>690</v>
      </c>
    </row>
    <row r="47" spans="3:4" x14ac:dyDescent="0.45">
      <c r="C47" t="s">
        <v>34</v>
      </c>
    </row>
    <row r="48" spans="3:4" x14ac:dyDescent="0.45">
      <c r="C48" t="s">
        <v>34</v>
      </c>
    </row>
  </sheetData>
  <sheetProtection sheet="1" objects="1" scenarios="1" selectLockedCells="1" selectUnlockedCells="1"/>
  <conditionalFormatting sqref="A2:A12">
    <cfRule type="duplicateValues" dxfId="17" priority="3"/>
  </conditionalFormatting>
  <conditionalFormatting sqref="B2">
    <cfRule type="duplicateValues" dxfId="16" priority="2"/>
  </conditionalFormatting>
  <conditionalFormatting sqref="E2">
    <cfRule type="duplicateValues" dxfId="15"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2024"/>
  <sheetViews>
    <sheetView topLeftCell="C1" zoomScale="85" zoomScaleNormal="85" workbookViewId="0">
      <pane ySplit="1" topLeftCell="A1977" activePane="bottomLeft" state="frozen"/>
      <selection pane="bottomLeft" activeCell="M2009" sqref="M2009"/>
    </sheetView>
  </sheetViews>
  <sheetFormatPr defaultColWidth="9.1328125" defaultRowHeight="14.25" x14ac:dyDescent="0.45"/>
  <cols>
    <col min="2" max="11" width="26" customWidth="1"/>
    <col min="12" max="12" width="5.86328125" customWidth="1"/>
    <col min="13" max="13" width="54.1328125" bestFit="1" customWidth="1"/>
  </cols>
  <sheetData>
    <row r="1" spans="1:13" s="1" customFormat="1" x14ac:dyDescent="0.45">
      <c r="A1" s="1" t="s">
        <v>122</v>
      </c>
      <c r="B1" s="1" t="s">
        <v>108</v>
      </c>
      <c r="C1" s="1" t="s">
        <v>123</v>
      </c>
      <c r="D1" s="1" t="s">
        <v>125</v>
      </c>
      <c r="E1" s="1" t="s">
        <v>124</v>
      </c>
      <c r="F1" s="1" t="s">
        <v>894</v>
      </c>
      <c r="G1" s="1" t="s">
        <v>126</v>
      </c>
      <c r="H1" s="1" t="s">
        <v>895</v>
      </c>
      <c r="I1" s="1" t="s">
        <v>127</v>
      </c>
      <c r="J1" s="1" t="s">
        <v>893</v>
      </c>
      <c r="K1" s="1" t="s">
        <v>899</v>
      </c>
      <c r="M1" s="1" t="s">
        <v>10292</v>
      </c>
    </row>
    <row r="2" spans="1:13" x14ac:dyDescent="0.45">
      <c r="A2" t="s">
        <v>123</v>
      </c>
      <c r="B2" t="s">
        <v>151</v>
      </c>
      <c r="C2" t="s">
        <v>1095</v>
      </c>
      <c r="D2" s="90" t="s">
        <v>9938</v>
      </c>
      <c r="E2" t="s">
        <v>1120</v>
      </c>
      <c r="F2" t="s">
        <v>212</v>
      </c>
      <c r="G2" t="s">
        <v>213</v>
      </c>
      <c r="H2" t="s">
        <v>4216</v>
      </c>
      <c r="I2" t="s">
        <v>4658</v>
      </c>
      <c r="J2" t="s">
        <v>10317</v>
      </c>
      <c r="K2" t="s">
        <v>4953</v>
      </c>
      <c r="M2" t="s">
        <v>3529</v>
      </c>
    </row>
    <row r="3" spans="1:13" x14ac:dyDescent="0.45">
      <c r="A3" t="s">
        <v>124</v>
      </c>
      <c r="B3" t="s">
        <v>152</v>
      </c>
      <c r="C3" t="s">
        <v>156</v>
      </c>
      <c r="D3" s="90" t="s">
        <v>9939</v>
      </c>
      <c r="E3" t="s">
        <v>164</v>
      </c>
      <c r="F3" t="s">
        <v>3862</v>
      </c>
      <c r="G3" t="s">
        <v>4125</v>
      </c>
      <c r="H3" t="s">
        <v>4198</v>
      </c>
      <c r="I3" t="s">
        <v>235</v>
      </c>
      <c r="J3" t="s">
        <v>10318</v>
      </c>
      <c r="K3" t="s">
        <v>4956</v>
      </c>
      <c r="M3" t="s">
        <v>5736</v>
      </c>
    </row>
    <row r="4" spans="1:13" x14ac:dyDescent="0.45">
      <c r="A4" t="s">
        <v>125</v>
      </c>
      <c r="B4" t="s">
        <v>153</v>
      </c>
      <c r="C4" t="s">
        <v>157</v>
      </c>
      <c r="D4" s="90" t="s">
        <v>9940</v>
      </c>
      <c r="E4" t="s">
        <v>2538</v>
      </c>
      <c r="F4" t="s">
        <v>3863</v>
      </c>
      <c r="G4" t="s">
        <v>4116</v>
      </c>
      <c r="H4" t="s">
        <v>5457</v>
      </c>
      <c r="I4" t="s">
        <v>236</v>
      </c>
      <c r="J4" t="s">
        <v>10319</v>
      </c>
      <c r="K4" t="s">
        <v>4954</v>
      </c>
      <c r="M4" t="s">
        <v>5737</v>
      </c>
    </row>
    <row r="5" spans="1:13" x14ac:dyDescent="0.45">
      <c r="A5" t="s">
        <v>894</v>
      </c>
      <c r="B5" t="s">
        <v>896</v>
      </c>
      <c r="C5" t="s">
        <v>1075</v>
      </c>
      <c r="D5" s="90" t="s">
        <v>9941</v>
      </c>
      <c r="E5" t="s">
        <v>1106</v>
      </c>
      <c r="F5" t="s">
        <v>3864</v>
      </c>
      <c r="G5" t="s">
        <v>4127</v>
      </c>
      <c r="H5" t="s">
        <v>4169</v>
      </c>
      <c r="I5" t="s">
        <v>237</v>
      </c>
      <c r="J5" t="s">
        <v>10320</v>
      </c>
      <c r="K5" t="s">
        <v>4955</v>
      </c>
      <c r="M5" t="s">
        <v>3530</v>
      </c>
    </row>
    <row r="6" spans="1:13" x14ac:dyDescent="0.45">
      <c r="A6" t="s">
        <v>126</v>
      </c>
      <c r="B6" t="s">
        <v>154</v>
      </c>
      <c r="C6" t="s">
        <v>1094</v>
      </c>
      <c r="D6" s="90" t="s">
        <v>9942</v>
      </c>
      <c r="E6" t="s">
        <v>1117</v>
      </c>
      <c r="F6" t="s">
        <v>3866</v>
      </c>
      <c r="G6" t="s">
        <v>4126</v>
      </c>
      <c r="H6" t="s">
        <v>216</v>
      </c>
      <c r="I6" t="s">
        <v>238</v>
      </c>
      <c r="J6" t="s">
        <v>10321</v>
      </c>
      <c r="K6" t="s">
        <v>161</v>
      </c>
      <c r="M6" t="s">
        <v>3531</v>
      </c>
    </row>
    <row r="7" spans="1:13" x14ac:dyDescent="0.45">
      <c r="A7" t="s">
        <v>895</v>
      </c>
      <c r="B7" t="s">
        <v>897</v>
      </c>
      <c r="C7" t="s">
        <v>10303</v>
      </c>
      <c r="D7" s="90" t="s">
        <v>9943</v>
      </c>
      <c r="E7" t="s">
        <v>165</v>
      </c>
      <c r="F7" t="s">
        <v>202</v>
      </c>
      <c r="G7" t="s">
        <v>4131</v>
      </c>
      <c r="H7" t="s">
        <v>4209</v>
      </c>
      <c r="I7" t="s">
        <v>5739</v>
      </c>
      <c r="J7" t="s">
        <v>4952</v>
      </c>
      <c r="M7" t="s">
        <v>5738</v>
      </c>
    </row>
    <row r="8" spans="1:13" x14ac:dyDescent="0.45">
      <c r="A8" t="s">
        <v>127</v>
      </c>
      <c r="B8" t="s">
        <v>155</v>
      </c>
      <c r="C8" t="s">
        <v>1077</v>
      </c>
      <c r="D8" s="90" t="s">
        <v>9944</v>
      </c>
      <c r="E8" t="s">
        <v>166</v>
      </c>
      <c r="F8" t="s">
        <v>3867</v>
      </c>
      <c r="G8" t="s">
        <v>214</v>
      </c>
      <c r="H8" t="s">
        <v>4210</v>
      </c>
      <c r="I8" t="s">
        <v>4659</v>
      </c>
      <c r="J8" t="s">
        <v>10322</v>
      </c>
      <c r="M8" t="s">
        <v>5740</v>
      </c>
    </row>
    <row r="9" spans="1:13" x14ac:dyDescent="0.45">
      <c r="A9" t="s">
        <v>893</v>
      </c>
      <c r="B9" t="s">
        <v>898</v>
      </c>
      <c r="C9" t="s">
        <v>1097</v>
      </c>
      <c r="D9" s="90" t="s">
        <v>10015</v>
      </c>
      <c r="E9" t="s">
        <v>1112</v>
      </c>
      <c r="F9" t="s">
        <v>203</v>
      </c>
      <c r="G9" t="s">
        <v>4130</v>
      </c>
      <c r="H9" t="s">
        <v>217</v>
      </c>
      <c r="I9" t="s">
        <v>4660</v>
      </c>
      <c r="M9" t="s">
        <v>3532</v>
      </c>
    </row>
    <row r="10" spans="1:13" x14ac:dyDescent="0.45">
      <c r="A10" t="s">
        <v>899</v>
      </c>
      <c r="B10" t="s">
        <v>900</v>
      </c>
      <c r="C10" t="s">
        <v>1093</v>
      </c>
      <c r="D10" s="90" t="s">
        <v>9945</v>
      </c>
      <c r="E10" t="s">
        <v>167</v>
      </c>
      <c r="F10" t="s">
        <v>3833</v>
      </c>
      <c r="G10" t="s">
        <v>4129</v>
      </c>
      <c r="H10" t="s">
        <v>4170</v>
      </c>
      <c r="I10" t="s">
        <v>239</v>
      </c>
      <c r="M10" t="s">
        <v>3533</v>
      </c>
    </row>
    <row r="11" spans="1:13" x14ac:dyDescent="0.45">
      <c r="C11" t="s">
        <v>1098</v>
      </c>
      <c r="D11" s="90" t="s">
        <v>9946</v>
      </c>
      <c r="E11" t="s">
        <v>168</v>
      </c>
      <c r="F11" t="s">
        <v>3868</v>
      </c>
      <c r="G11" t="s">
        <v>4122</v>
      </c>
      <c r="H11" t="s">
        <v>4192</v>
      </c>
      <c r="I11" t="s">
        <v>4661</v>
      </c>
      <c r="M11" t="s">
        <v>5741</v>
      </c>
    </row>
    <row r="12" spans="1:13" x14ac:dyDescent="0.45">
      <c r="C12" t="s">
        <v>1100</v>
      </c>
      <c r="D12" s="90" t="s">
        <v>9947</v>
      </c>
      <c r="E12" t="s">
        <v>1113</v>
      </c>
      <c r="F12" t="s">
        <v>5431</v>
      </c>
      <c r="G12" t="s">
        <v>4123</v>
      </c>
      <c r="H12" t="s">
        <v>5458</v>
      </c>
      <c r="I12" t="s">
        <v>240</v>
      </c>
      <c r="M12" t="s">
        <v>5742</v>
      </c>
    </row>
    <row r="13" spans="1:13" x14ac:dyDescent="0.45">
      <c r="C13" t="s">
        <v>10304</v>
      </c>
      <c r="D13" s="90" t="s">
        <v>9948</v>
      </c>
      <c r="E13" t="s">
        <v>1102</v>
      </c>
      <c r="F13" t="s">
        <v>4115</v>
      </c>
      <c r="G13" t="s">
        <v>215</v>
      </c>
      <c r="H13" t="s">
        <v>4211</v>
      </c>
      <c r="I13" t="s">
        <v>241</v>
      </c>
      <c r="M13" t="s">
        <v>5743</v>
      </c>
    </row>
    <row r="14" spans="1:13" x14ac:dyDescent="0.45">
      <c r="C14" t="s">
        <v>5302</v>
      </c>
      <c r="D14" s="90" t="s">
        <v>9949</v>
      </c>
      <c r="E14" t="s">
        <v>1107</v>
      </c>
      <c r="F14" t="s">
        <v>3876</v>
      </c>
      <c r="G14" t="s">
        <v>4124</v>
      </c>
      <c r="H14" t="s">
        <v>4175</v>
      </c>
      <c r="I14" t="s">
        <v>242</v>
      </c>
      <c r="M14" t="s">
        <v>3534</v>
      </c>
    </row>
    <row r="15" spans="1:13" x14ac:dyDescent="0.45">
      <c r="C15" t="s">
        <v>159</v>
      </c>
      <c r="D15" s="90" t="s">
        <v>9951</v>
      </c>
      <c r="E15" t="s">
        <v>2537</v>
      </c>
      <c r="F15" t="s">
        <v>3869</v>
      </c>
      <c r="G15" t="s">
        <v>5454</v>
      </c>
      <c r="H15" t="s">
        <v>4176</v>
      </c>
      <c r="I15" t="s">
        <v>4691</v>
      </c>
      <c r="M15" t="s">
        <v>3756</v>
      </c>
    </row>
    <row r="16" spans="1:13" x14ac:dyDescent="0.45">
      <c r="C16" t="s">
        <v>1089</v>
      </c>
      <c r="D16" s="90" t="s">
        <v>9950</v>
      </c>
      <c r="E16" t="s">
        <v>1119</v>
      </c>
      <c r="F16" t="s">
        <v>3839</v>
      </c>
      <c r="G16" t="s">
        <v>5455</v>
      </c>
      <c r="H16" t="s">
        <v>218</v>
      </c>
      <c r="I16" t="s">
        <v>243</v>
      </c>
      <c r="M16" t="s">
        <v>5744</v>
      </c>
    </row>
    <row r="17" spans="3:13" x14ac:dyDescent="0.45">
      <c r="C17" t="s">
        <v>1091</v>
      </c>
      <c r="D17" s="90" t="s">
        <v>9952</v>
      </c>
      <c r="E17" t="s">
        <v>169</v>
      </c>
      <c r="F17" t="s">
        <v>3877</v>
      </c>
      <c r="G17" t="s">
        <v>4132</v>
      </c>
      <c r="H17" t="s">
        <v>219</v>
      </c>
      <c r="I17" t="s">
        <v>4692</v>
      </c>
      <c r="M17" t="s">
        <v>3594</v>
      </c>
    </row>
    <row r="18" spans="3:13" x14ac:dyDescent="0.45">
      <c r="C18" t="s">
        <v>1088</v>
      </c>
      <c r="D18" s="90" t="s">
        <v>9953</v>
      </c>
      <c r="E18" t="s">
        <v>1118</v>
      </c>
      <c r="F18" t="s">
        <v>5441</v>
      </c>
      <c r="G18" t="s">
        <v>4118</v>
      </c>
      <c r="H18" t="s">
        <v>220</v>
      </c>
      <c r="I18" t="s">
        <v>4693</v>
      </c>
      <c r="M18" t="s">
        <v>3595</v>
      </c>
    </row>
    <row r="19" spans="3:13" x14ac:dyDescent="0.45">
      <c r="C19" t="s">
        <v>1099</v>
      </c>
      <c r="D19" s="90" t="s">
        <v>9954</v>
      </c>
      <c r="E19" t="s">
        <v>170</v>
      </c>
      <c r="F19" t="s">
        <v>3870</v>
      </c>
      <c r="G19" t="s">
        <v>5456</v>
      </c>
      <c r="H19" t="s">
        <v>4189</v>
      </c>
      <c r="I19" t="s">
        <v>244</v>
      </c>
      <c r="M19" t="s">
        <v>3596</v>
      </c>
    </row>
    <row r="20" spans="3:13" x14ac:dyDescent="0.45">
      <c r="C20" t="s">
        <v>10305</v>
      </c>
      <c r="D20" s="90" t="s">
        <v>9955</v>
      </c>
      <c r="E20" t="s">
        <v>171</v>
      </c>
      <c r="F20" t="s">
        <v>10309</v>
      </c>
      <c r="G20" t="s">
        <v>4119</v>
      </c>
      <c r="H20" t="s">
        <v>4168</v>
      </c>
      <c r="I20" t="s">
        <v>4719</v>
      </c>
      <c r="M20" t="s">
        <v>5745</v>
      </c>
    </row>
    <row r="21" spans="3:13" x14ac:dyDescent="0.45">
      <c r="C21" t="s">
        <v>160</v>
      </c>
      <c r="D21" s="90" t="s">
        <v>9956</v>
      </c>
      <c r="E21" t="s">
        <v>5307</v>
      </c>
      <c r="F21" t="s">
        <v>3871</v>
      </c>
      <c r="G21" t="s">
        <v>4120</v>
      </c>
      <c r="H21" t="s">
        <v>4134</v>
      </c>
      <c r="I21" t="s">
        <v>4232</v>
      </c>
      <c r="M21" t="s">
        <v>3597</v>
      </c>
    </row>
    <row r="22" spans="3:13" x14ac:dyDescent="0.45">
      <c r="C22" t="s">
        <v>1096</v>
      </c>
      <c r="D22" s="90" t="s">
        <v>9957</v>
      </c>
      <c r="E22" t="s">
        <v>1104</v>
      </c>
      <c r="F22" t="s">
        <v>3838</v>
      </c>
      <c r="G22" t="s">
        <v>4117</v>
      </c>
      <c r="H22" t="s">
        <v>810</v>
      </c>
      <c r="I22" t="s">
        <v>4720</v>
      </c>
      <c r="M22" t="s">
        <v>3390</v>
      </c>
    </row>
    <row r="23" spans="3:13" x14ac:dyDescent="0.45">
      <c r="C23" t="s">
        <v>1078</v>
      </c>
      <c r="D23" s="90" t="s">
        <v>9958</v>
      </c>
      <c r="E23" t="s">
        <v>1110</v>
      </c>
      <c r="F23" t="s">
        <v>3874</v>
      </c>
      <c r="G23" t="s">
        <v>4128</v>
      </c>
      <c r="H23" t="s">
        <v>4196</v>
      </c>
      <c r="I23" t="s">
        <v>4233</v>
      </c>
      <c r="M23" t="s">
        <v>5746</v>
      </c>
    </row>
    <row r="24" spans="3:13" x14ac:dyDescent="0.45">
      <c r="C24" t="s">
        <v>1076</v>
      </c>
      <c r="D24" s="90" t="s">
        <v>9959</v>
      </c>
      <c r="E24" t="s">
        <v>172</v>
      </c>
      <c r="F24" t="s">
        <v>3875</v>
      </c>
      <c r="H24" t="s">
        <v>221</v>
      </c>
      <c r="I24" t="s">
        <v>4234</v>
      </c>
      <c r="M24" t="s">
        <v>5747</v>
      </c>
    </row>
    <row r="25" spans="3:13" x14ac:dyDescent="0.45">
      <c r="C25" t="s">
        <v>10306</v>
      </c>
      <c r="D25" s="90" t="s">
        <v>9960</v>
      </c>
      <c r="E25" t="s">
        <v>5308</v>
      </c>
      <c r="F25" t="s">
        <v>5445</v>
      </c>
      <c r="H25" t="s">
        <v>4202</v>
      </c>
      <c r="I25" t="s">
        <v>4290</v>
      </c>
      <c r="M25" t="s">
        <v>3598</v>
      </c>
    </row>
    <row r="26" spans="3:13" x14ac:dyDescent="0.45">
      <c r="C26" t="s">
        <v>1079</v>
      </c>
      <c r="D26" s="90" t="s">
        <v>9961</v>
      </c>
      <c r="E26" t="s">
        <v>1111</v>
      </c>
      <c r="F26" t="s">
        <v>3841</v>
      </c>
      <c r="H26" t="s">
        <v>223</v>
      </c>
      <c r="I26" t="s">
        <v>245</v>
      </c>
      <c r="M26" t="s">
        <v>3535</v>
      </c>
    </row>
    <row r="27" spans="3:13" x14ac:dyDescent="0.45">
      <c r="C27" t="s">
        <v>1080</v>
      </c>
      <c r="D27" s="90" t="s">
        <v>9962</v>
      </c>
      <c r="E27" t="s">
        <v>173</v>
      </c>
      <c r="F27" t="s">
        <v>3842</v>
      </c>
      <c r="H27" t="s">
        <v>4182</v>
      </c>
      <c r="I27" t="s">
        <v>246</v>
      </c>
      <c r="M27" t="s">
        <v>5748</v>
      </c>
    </row>
    <row r="28" spans="3:13" x14ac:dyDescent="0.45">
      <c r="C28" t="s">
        <v>1081</v>
      </c>
      <c r="D28" s="90" t="s">
        <v>9963</v>
      </c>
      <c r="E28" t="s">
        <v>174</v>
      </c>
      <c r="F28" t="s">
        <v>3843</v>
      </c>
      <c r="H28" t="s">
        <v>4183</v>
      </c>
      <c r="I28" t="s">
        <v>247</v>
      </c>
      <c r="M28" t="s">
        <v>3599</v>
      </c>
    </row>
    <row r="29" spans="3:13" x14ac:dyDescent="0.45">
      <c r="C29" t="s">
        <v>1101</v>
      </c>
      <c r="D29" s="90" t="s">
        <v>9964</v>
      </c>
      <c r="E29" t="s">
        <v>10308</v>
      </c>
      <c r="F29" t="s">
        <v>3865</v>
      </c>
      <c r="H29" t="s">
        <v>4188</v>
      </c>
      <c r="I29" t="s">
        <v>4291</v>
      </c>
      <c r="M29" t="s">
        <v>3662</v>
      </c>
    </row>
    <row r="30" spans="3:13" x14ac:dyDescent="0.45">
      <c r="C30" t="s">
        <v>10307</v>
      </c>
      <c r="D30" s="90" t="s">
        <v>9965</v>
      </c>
      <c r="E30" t="s">
        <v>5310</v>
      </c>
      <c r="F30" t="s">
        <v>3844</v>
      </c>
      <c r="H30" t="s">
        <v>4191</v>
      </c>
      <c r="I30" t="s">
        <v>4231</v>
      </c>
      <c r="M30" t="s">
        <v>5749</v>
      </c>
    </row>
    <row r="31" spans="3:13" x14ac:dyDescent="0.45">
      <c r="C31" t="s">
        <v>1082</v>
      </c>
      <c r="D31" s="90" t="s">
        <v>9966</v>
      </c>
      <c r="E31" t="s">
        <v>175</v>
      </c>
      <c r="F31" t="s">
        <v>3834</v>
      </c>
      <c r="H31" t="s">
        <v>225</v>
      </c>
      <c r="I31" t="s">
        <v>4315</v>
      </c>
      <c r="M31" t="s">
        <v>5750</v>
      </c>
    </row>
    <row r="32" spans="3:13" x14ac:dyDescent="0.45">
      <c r="C32" t="s">
        <v>162</v>
      </c>
      <c r="D32" s="90" t="s">
        <v>9967</v>
      </c>
      <c r="E32" t="s">
        <v>1115</v>
      </c>
      <c r="F32" t="s">
        <v>206</v>
      </c>
      <c r="H32" t="s">
        <v>182</v>
      </c>
      <c r="I32" t="s">
        <v>248</v>
      </c>
      <c r="M32" t="s">
        <v>3663</v>
      </c>
    </row>
    <row r="33" spans="3:13" x14ac:dyDescent="0.45">
      <c r="C33" t="s">
        <v>210</v>
      </c>
      <c r="D33" s="90" t="s">
        <v>9968</v>
      </c>
      <c r="E33" t="s">
        <v>1103</v>
      </c>
      <c r="F33" t="s">
        <v>5449</v>
      </c>
      <c r="H33" t="s">
        <v>4197</v>
      </c>
      <c r="I33" t="s">
        <v>249</v>
      </c>
      <c r="M33" t="s">
        <v>5751</v>
      </c>
    </row>
    <row r="34" spans="3:13" x14ac:dyDescent="0.45">
      <c r="C34" t="s">
        <v>1086</v>
      </c>
      <c r="D34" s="90" t="s">
        <v>9969</v>
      </c>
      <c r="E34" t="s">
        <v>1116</v>
      </c>
      <c r="F34" t="s">
        <v>3845</v>
      </c>
      <c r="H34" t="s">
        <v>4177</v>
      </c>
      <c r="I34" t="s">
        <v>4341</v>
      </c>
      <c r="M34" t="s">
        <v>3664</v>
      </c>
    </row>
    <row r="35" spans="3:13" x14ac:dyDescent="0.45">
      <c r="C35" t="s">
        <v>1083</v>
      </c>
      <c r="D35" s="90" t="s">
        <v>9970</v>
      </c>
      <c r="E35" t="s">
        <v>1105</v>
      </c>
      <c r="F35" t="s">
        <v>3859</v>
      </c>
      <c r="H35" t="s">
        <v>4179</v>
      </c>
      <c r="I35" t="s">
        <v>4342</v>
      </c>
      <c r="M35" t="s">
        <v>3665</v>
      </c>
    </row>
    <row r="36" spans="3:13" x14ac:dyDescent="0.45">
      <c r="C36" t="s">
        <v>163</v>
      </c>
      <c r="D36" s="90" t="s">
        <v>9971</v>
      </c>
      <c r="E36" t="s">
        <v>1108</v>
      </c>
      <c r="F36" t="s">
        <v>3846</v>
      </c>
      <c r="H36" t="s">
        <v>4180</v>
      </c>
      <c r="I36" t="s">
        <v>250</v>
      </c>
      <c r="M36" t="s">
        <v>3666</v>
      </c>
    </row>
    <row r="37" spans="3:13" x14ac:dyDescent="0.45">
      <c r="C37" t="s">
        <v>1084</v>
      </c>
      <c r="D37" s="90" t="s">
        <v>9972</v>
      </c>
      <c r="E37" t="s">
        <v>1109</v>
      </c>
      <c r="F37" t="s">
        <v>3848</v>
      </c>
      <c r="H37" t="s">
        <v>3872</v>
      </c>
      <c r="I37" t="s">
        <v>251</v>
      </c>
      <c r="M37" t="s">
        <v>5752</v>
      </c>
    </row>
    <row r="38" spans="3:13" x14ac:dyDescent="0.45">
      <c r="C38" t="s">
        <v>1087</v>
      </c>
      <c r="D38" s="90" t="s">
        <v>9973</v>
      </c>
      <c r="E38" t="s">
        <v>176</v>
      </c>
      <c r="F38" t="s">
        <v>3849</v>
      </c>
      <c r="H38" t="s">
        <v>3873</v>
      </c>
      <c r="I38" t="s">
        <v>252</v>
      </c>
      <c r="M38" t="s">
        <v>3667</v>
      </c>
    </row>
    <row r="39" spans="3:13" x14ac:dyDescent="0.45">
      <c r="C39" t="s">
        <v>1092</v>
      </c>
      <c r="D39" s="90" t="s">
        <v>9974</v>
      </c>
      <c r="E39" t="s">
        <v>1114</v>
      </c>
      <c r="F39" t="s">
        <v>3850</v>
      </c>
      <c r="H39" t="s">
        <v>3600</v>
      </c>
      <c r="I39" t="s">
        <v>253</v>
      </c>
      <c r="M39" t="s">
        <v>3684</v>
      </c>
    </row>
    <row r="40" spans="3:13" x14ac:dyDescent="0.45">
      <c r="C40" t="s">
        <v>1085</v>
      </c>
      <c r="D40" s="90" t="s">
        <v>9975</v>
      </c>
      <c r="E40" t="s">
        <v>177</v>
      </c>
      <c r="F40" t="s">
        <v>3851</v>
      </c>
      <c r="H40" t="s">
        <v>4204</v>
      </c>
      <c r="I40" t="s">
        <v>254</v>
      </c>
      <c r="M40" t="s">
        <v>3807</v>
      </c>
    </row>
    <row r="41" spans="3:13" x14ac:dyDescent="0.45">
      <c r="D41" s="90" t="s">
        <v>9976</v>
      </c>
      <c r="F41" t="s">
        <v>207</v>
      </c>
      <c r="H41" t="s">
        <v>4199</v>
      </c>
      <c r="I41" t="s">
        <v>255</v>
      </c>
      <c r="M41" t="s">
        <v>5753</v>
      </c>
    </row>
    <row r="42" spans="3:13" x14ac:dyDescent="0.45">
      <c r="D42" s="90" t="s">
        <v>10014</v>
      </c>
      <c r="F42" t="s">
        <v>4114</v>
      </c>
      <c r="H42" t="s">
        <v>4214</v>
      </c>
      <c r="I42" t="s">
        <v>256</v>
      </c>
      <c r="M42" t="s">
        <v>3782</v>
      </c>
    </row>
    <row r="43" spans="3:13" x14ac:dyDescent="0.45">
      <c r="D43" s="90" t="s">
        <v>9977</v>
      </c>
      <c r="F43" t="s">
        <v>5450</v>
      </c>
      <c r="H43" t="s">
        <v>4305</v>
      </c>
      <c r="I43" t="s">
        <v>4366</v>
      </c>
      <c r="M43" t="s">
        <v>3668</v>
      </c>
    </row>
    <row r="44" spans="3:13" x14ac:dyDescent="0.45">
      <c r="D44" s="90" t="s">
        <v>9978</v>
      </c>
      <c r="F44" t="s">
        <v>3853</v>
      </c>
      <c r="H44" t="s">
        <v>348</v>
      </c>
      <c r="I44" t="s">
        <v>257</v>
      </c>
      <c r="M44" t="s">
        <v>3669</v>
      </c>
    </row>
    <row r="45" spans="3:13" x14ac:dyDescent="0.45">
      <c r="D45" s="90" t="s">
        <v>9979</v>
      </c>
      <c r="F45" t="s">
        <v>3854</v>
      </c>
      <c r="H45" t="s">
        <v>1090</v>
      </c>
      <c r="I45" t="s">
        <v>4367</v>
      </c>
      <c r="M45" t="s">
        <v>2611</v>
      </c>
    </row>
    <row r="46" spans="3:13" x14ac:dyDescent="0.45">
      <c r="D46" s="90" t="s">
        <v>9980</v>
      </c>
      <c r="F46" t="s">
        <v>6121</v>
      </c>
      <c r="H46" t="s">
        <v>4193</v>
      </c>
      <c r="I46" t="s">
        <v>4368</v>
      </c>
      <c r="M46" t="s">
        <v>2612</v>
      </c>
    </row>
    <row r="47" spans="3:13" x14ac:dyDescent="0.45">
      <c r="D47" s="90" t="s">
        <v>9982</v>
      </c>
      <c r="F47" t="s">
        <v>208</v>
      </c>
      <c r="H47" t="s">
        <v>4200</v>
      </c>
      <c r="I47" t="s">
        <v>4257</v>
      </c>
      <c r="M47" t="s">
        <v>2613</v>
      </c>
    </row>
    <row r="48" spans="3:13" x14ac:dyDescent="0.45">
      <c r="D48" s="90" t="s">
        <v>9983</v>
      </c>
      <c r="F48" t="s">
        <v>209</v>
      </c>
      <c r="H48" t="s">
        <v>4201</v>
      </c>
      <c r="I48" t="s">
        <v>258</v>
      </c>
      <c r="M48" t="s">
        <v>3724</v>
      </c>
    </row>
    <row r="49" spans="4:13" x14ac:dyDescent="0.45">
      <c r="D49" s="90" t="s">
        <v>9984</v>
      </c>
      <c r="F49" t="s">
        <v>3840</v>
      </c>
      <c r="H49" t="s">
        <v>5459</v>
      </c>
      <c r="I49" t="s">
        <v>4369</v>
      </c>
      <c r="M49" t="s">
        <v>2614</v>
      </c>
    </row>
    <row r="50" spans="4:13" x14ac:dyDescent="0.45">
      <c r="D50" s="90" t="s">
        <v>9985</v>
      </c>
      <c r="F50" t="s">
        <v>3852</v>
      </c>
      <c r="H50" t="s">
        <v>4208</v>
      </c>
      <c r="I50" t="s">
        <v>4370</v>
      </c>
      <c r="M50" t="s">
        <v>2615</v>
      </c>
    </row>
    <row r="51" spans="4:13" x14ac:dyDescent="0.45">
      <c r="D51" s="90" t="s">
        <v>9986</v>
      </c>
      <c r="F51" t="s">
        <v>3836</v>
      </c>
      <c r="H51" t="s">
        <v>4151</v>
      </c>
      <c r="I51" t="s">
        <v>4371</v>
      </c>
      <c r="M51" t="s">
        <v>2616</v>
      </c>
    </row>
    <row r="52" spans="4:13" x14ac:dyDescent="0.45">
      <c r="D52" s="90" t="s">
        <v>9987</v>
      </c>
      <c r="F52" t="s">
        <v>3895</v>
      </c>
      <c r="H52" t="s">
        <v>226</v>
      </c>
      <c r="I52" t="s">
        <v>4252</v>
      </c>
      <c r="M52" t="s">
        <v>2617</v>
      </c>
    </row>
    <row r="53" spans="4:13" x14ac:dyDescent="0.45">
      <c r="D53" s="90" t="s">
        <v>9988</v>
      </c>
      <c r="F53" t="s">
        <v>3855</v>
      </c>
      <c r="H53" t="s">
        <v>227</v>
      </c>
      <c r="I53" t="s">
        <v>259</v>
      </c>
      <c r="M53" t="s">
        <v>2618</v>
      </c>
    </row>
    <row r="54" spans="4:13" x14ac:dyDescent="0.45">
      <c r="D54" s="90" t="s">
        <v>9989</v>
      </c>
      <c r="F54" t="s">
        <v>3856</v>
      </c>
      <c r="H54" t="s">
        <v>4229</v>
      </c>
      <c r="I54" t="s">
        <v>260</v>
      </c>
      <c r="M54" t="s">
        <v>3805</v>
      </c>
    </row>
    <row r="55" spans="4:13" x14ac:dyDescent="0.45">
      <c r="D55" s="90" t="s">
        <v>9990</v>
      </c>
      <c r="F55" t="s">
        <v>3857</v>
      </c>
      <c r="H55" t="s">
        <v>4185</v>
      </c>
      <c r="I55" t="s">
        <v>261</v>
      </c>
      <c r="M55" t="s">
        <v>5754</v>
      </c>
    </row>
    <row r="56" spans="4:13" x14ac:dyDescent="0.45">
      <c r="D56" s="90" t="s">
        <v>9991</v>
      </c>
      <c r="F56" t="s">
        <v>3858</v>
      </c>
      <c r="H56" t="s">
        <v>4186</v>
      </c>
      <c r="I56" t="s">
        <v>4442</v>
      </c>
      <c r="M56" t="s">
        <v>2684</v>
      </c>
    </row>
    <row r="57" spans="4:13" x14ac:dyDescent="0.45">
      <c r="D57" s="90" t="s">
        <v>9992</v>
      </c>
      <c r="F57" t="s">
        <v>3860</v>
      </c>
      <c r="H57" t="s">
        <v>4171</v>
      </c>
      <c r="I57" t="s">
        <v>4217</v>
      </c>
      <c r="M57" t="s">
        <v>3779</v>
      </c>
    </row>
    <row r="58" spans="4:13" x14ac:dyDescent="0.45">
      <c r="D58" s="90" t="s">
        <v>9993</v>
      </c>
      <c r="F58" t="s">
        <v>3861</v>
      </c>
      <c r="H58" t="s">
        <v>4172</v>
      </c>
      <c r="I58" t="s">
        <v>4443</v>
      </c>
      <c r="M58" t="s">
        <v>5755</v>
      </c>
    </row>
    <row r="59" spans="4:13" x14ac:dyDescent="0.45">
      <c r="D59" s="90" t="s">
        <v>9994</v>
      </c>
      <c r="F59" t="s">
        <v>211</v>
      </c>
      <c r="H59" t="s">
        <v>4139</v>
      </c>
      <c r="I59" t="s">
        <v>262</v>
      </c>
      <c r="M59" t="s">
        <v>2685</v>
      </c>
    </row>
    <row r="60" spans="4:13" x14ac:dyDescent="0.45">
      <c r="D60" s="90" t="s">
        <v>9995</v>
      </c>
      <c r="F60" t="s">
        <v>5453</v>
      </c>
      <c r="H60" t="s">
        <v>4140</v>
      </c>
      <c r="I60" t="s">
        <v>263</v>
      </c>
      <c r="M60" t="s">
        <v>2686</v>
      </c>
    </row>
    <row r="61" spans="4:13" x14ac:dyDescent="0.45">
      <c r="D61" s="90" t="s">
        <v>9996</v>
      </c>
      <c r="F61" t="s">
        <v>4121</v>
      </c>
      <c r="H61" t="s">
        <v>4150</v>
      </c>
      <c r="I61" t="s">
        <v>4478</v>
      </c>
      <c r="M61" t="s">
        <v>2687</v>
      </c>
    </row>
    <row r="62" spans="4:13" x14ac:dyDescent="0.45">
      <c r="D62" s="90" t="s">
        <v>9997</v>
      </c>
      <c r="H62" t="s">
        <v>4166</v>
      </c>
      <c r="I62" t="s">
        <v>264</v>
      </c>
      <c r="M62" t="s">
        <v>5756</v>
      </c>
    </row>
    <row r="63" spans="4:13" x14ac:dyDescent="0.45">
      <c r="D63" s="90" t="s">
        <v>9998</v>
      </c>
      <c r="H63" t="s">
        <v>5460</v>
      </c>
      <c r="I63" t="s">
        <v>4479</v>
      </c>
      <c r="M63" t="s">
        <v>2688</v>
      </c>
    </row>
    <row r="64" spans="4:13" x14ac:dyDescent="0.45">
      <c r="D64" s="90" t="s">
        <v>9999</v>
      </c>
      <c r="H64" t="s">
        <v>4141</v>
      </c>
      <c r="I64" t="s">
        <v>4480</v>
      </c>
      <c r="M64" t="s">
        <v>5757</v>
      </c>
    </row>
    <row r="65" spans="4:13" x14ac:dyDescent="0.45">
      <c r="D65" s="90" t="s">
        <v>10000</v>
      </c>
      <c r="H65" t="s">
        <v>4213</v>
      </c>
      <c r="I65" t="s">
        <v>4259</v>
      </c>
      <c r="M65" t="s">
        <v>3754</v>
      </c>
    </row>
    <row r="66" spans="4:13" x14ac:dyDescent="0.45">
      <c r="D66" s="90" t="s">
        <v>10001</v>
      </c>
      <c r="H66" t="s">
        <v>4190</v>
      </c>
      <c r="I66" t="s">
        <v>265</v>
      </c>
      <c r="M66" t="s">
        <v>2689</v>
      </c>
    </row>
    <row r="67" spans="4:13" x14ac:dyDescent="0.45">
      <c r="D67" s="90" t="s">
        <v>10002</v>
      </c>
      <c r="H67" t="s">
        <v>5461</v>
      </c>
      <c r="I67" t="s">
        <v>4503</v>
      </c>
      <c r="M67" t="s">
        <v>2690</v>
      </c>
    </row>
    <row r="68" spans="4:13" x14ac:dyDescent="0.45">
      <c r="D68" s="90" t="s">
        <v>10003</v>
      </c>
      <c r="H68" t="s">
        <v>5462</v>
      </c>
      <c r="I68" t="s">
        <v>266</v>
      </c>
      <c r="M68" t="s">
        <v>5758</v>
      </c>
    </row>
    <row r="69" spans="4:13" x14ac:dyDescent="0.45">
      <c r="D69" s="90" t="s">
        <v>10004</v>
      </c>
      <c r="H69" t="s">
        <v>5463</v>
      </c>
      <c r="I69" t="s">
        <v>4504</v>
      </c>
      <c r="M69" t="s">
        <v>5759</v>
      </c>
    </row>
    <row r="70" spans="4:13" x14ac:dyDescent="0.45">
      <c r="D70" s="90" t="s">
        <v>9981</v>
      </c>
      <c r="H70" t="s">
        <v>4203</v>
      </c>
      <c r="I70" t="s">
        <v>5469</v>
      </c>
      <c r="M70" t="s">
        <v>5760</v>
      </c>
    </row>
    <row r="71" spans="4:13" x14ac:dyDescent="0.45">
      <c r="D71" s="90" t="s">
        <v>5725</v>
      </c>
      <c r="H71" t="s">
        <v>4138</v>
      </c>
      <c r="I71" t="s">
        <v>4505</v>
      </c>
      <c r="M71" t="s">
        <v>2691</v>
      </c>
    </row>
    <row r="72" spans="4:13" x14ac:dyDescent="0.45">
      <c r="D72" s="90" t="s">
        <v>10005</v>
      </c>
      <c r="H72" t="s">
        <v>4142</v>
      </c>
      <c r="I72" t="s">
        <v>267</v>
      </c>
      <c r="M72" t="s">
        <v>5761</v>
      </c>
    </row>
    <row r="73" spans="4:13" x14ac:dyDescent="0.45">
      <c r="D73" s="90" t="s">
        <v>10006</v>
      </c>
      <c r="H73" t="s">
        <v>4137</v>
      </c>
      <c r="I73" t="s">
        <v>4525</v>
      </c>
      <c r="M73" t="s">
        <v>2692</v>
      </c>
    </row>
    <row r="74" spans="4:13" x14ac:dyDescent="0.45">
      <c r="D74" s="90" t="s">
        <v>10007</v>
      </c>
      <c r="H74" t="s">
        <v>230</v>
      </c>
      <c r="I74" t="s">
        <v>4526</v>
      </c>
      <c r="M74" t="s">
        <v>2753</v>
      </c>
    </row>
    <row r="75" spans="4:13" x14ac:dyDescent="0.45">
      <c r="D75" s="90" t="s">
        <v>10008</v>
      </c>
      <c r="H75" t="s">
        <v>4205</v>
      </c>
      <c r="I75" t="s">
        <v>4235</v>
      </c>
      <c r="M75" t="s">
        <v>2752</v>
      </c>
    </row>
    <row r="76" spans="4:13" x14ac:dyDescent="0.45">
      <c r="D76" s="90" t="s">
        <v>10009</v>
      </c>
      <c r="H76" t="s">
        <v>4212</v>
      </c>
      <c r="I76" t="s">
        <v>4527</v>
      </c>
      <c r="M76" t="s">
        <v>3796</v>
      </c>
    </row>
    <row r="77" spans="4:13" x14ac:dyDescent="0.45">
      <c r="D77" s="90" t="s">
        <v>10010</v>
      </c>
      <c r="H77" t="s">
        <v>4694</v>
      </c>
      <c r="I77" t="s">
        <v>4552</v>
      </c>
      <c r="M77" t="s">
        <v>2754</v>
      </c>
    </row>
    <row r="78" spans="4:13" x14ac:dyDescent="0.45">
      <c r="D78" s="90" t="s">
        <v>10011</v>
      </c>
      <c r="H78" t="s">
        <v>4206</v>
      </c>
      <c r="I78" t="s">
        <v>4581</v>
      </c>
      <c r="M78" t="s">
        <v>2755</v>
      </c>
    </row>
    <row r="79" spans="4:13" x14ac:dyDescent="0.45">
      <c r="D79" s="90" t="s">
        <v>10012</v>
      </c>
      <c r="H79" t="s">
        <v>4207</v>
      </c>
      <c r="I79" t="s">
        <v>4582</v>
      </c>
      <c r="M79" t="s">
        <v>2756</v>
      </c>
    </row>
    <row r="80" spans="4:13" x14ac:dyDescent="0.45">
      <c r="D80" s="90" t="s">
        <v>10013</v>
      </c>
      <c r="H80" t="s">
        <v>231</v>
      </c>
      <c r="I80" t="s">
        <v>4583</v>
      </c>
      <c r="M80" t="s">
        <v>3788</v>
      </c>
    </row>
    <row r="81" spans="8:13" x14ac:dyDescent="0.45">
      <c r="H81" t="s">
        <v>3847</v>
      </c>
      <c r="I81" t="s">
        <v>4584</v>
      </c>
      <c r="M81" t="s">
        <v>3680</v>
      </c>
    </row>
    <row r="82" spans="8:13" x14ac:dyDescent="0.45">
      <c r="H82" t="s">
        <v>4178</v>
      </c>
      <c r="I82" t="s">
        <v>4585</v>
      </c>
      <c r="M82" t="s">
        <v>3792</v>
      </c>
    </row>
    <row r="83" spans="8:13" x14ac:dyDescent="0.45">
      <c r="H83" t="s">
        <v>4181</v>
      </c>
      <c r="I83" t="s">
        <v>4586</v>
      </c>
      <c r="M83" t="s">
        <v>2757</v>
      </c>
    </row>
    <row r="84" spans="8:13" x14ac:dyDescent="0.45">
      <c r="H84" t="s">
        <v>4194</v>
      </c>
      <c r="I84" t="s">
        <v>268</v>
      </c>
      <c r="M84" t="s">
        <v>2758</v>
      </c>
    </row>
    <row r="85" spans="8:13" x14ac:dyDescent="0.45">
      <c r="H85" t="s">
        <v>4195</v>
      </c>
      <c r="I85" t="s">
        <v>4618</v>
      </c>
      <c r="M85" t="s">
        <v>2759</v>
      </c>
    </row>
    <row r="86" spans="8:13" x14ac:dyDescent="0.45">
      <c r="H86" t="s">
        <v>4152</v>
      </c>
      <c r="I86" t="s">
        <v>269</v>
      </c>
      <c r="M86" t="s">
        <v>2760</v>
      </c>
    </row>
    <row r="87" spans="8:13" x14ac:dyDescent="0.45">
      <c r="H87" t="s">
        <v>4153</v>
      </c>
      <c r="I87" t="s">
        <v>4619</v>
      </c>
      <c r="M87" t="s">
        <v>2761</v>
      </c>
    </row>
    <row r="88" spans="8:13" x14ac:dyDescent="0.45">
      <c r="H88" t="s">
        <v>4155</v>
      </c>
      <c r="I88" t="s">
        <v>270</v>
      </c>
      <c r="M88" t="s">
        <v>2827</v>
      </c>
    </row>
    <row r="89" spans="8:13" x14ac:dyDescent="0.45">
      <c r="H89" t="s">
        <v>4156</v>
      </c>
      <c r="I89" t="s">
        <v>4620</v>
      </c>
      <c r="M89" t="s">
        <v>2828</v>
      </c>
    </row>
    <row r="90" spans="8:13" x14ac:dyDescent="0.45">
      <c r="H90" t="s">
        <v>4215</v>
      </c>
      <c r="I90" t="s">
        <v>10310</v>
      </c>
      <c r="M90" t="s">
        <v>2829</v>
      </c>
    </row>
    <row r="91" spans="8:13" x14ac:dyDescent="0.45">
      <c r="H91" t="s">
        <v>4167</v>
      </c>
      <c r="I91" t="s">
        <v>4621</v>
      </c>
      <c r="M91" t="s">
        <v>5762</v>
      </c>
    </row>
    <row r="92" spans="8:13" x14ac:dyDescent="0.45">
      <c r="H92" t="s">
        <v>4548</v>
      </c>
      <c r="I92" t="s">
        <v>4639</v>
      </c>
      <c r="M92" t="s">
        <v>2830</v>
      </c>
    </row>
    <row r="93" spans="8:13" x14ac:dyDescent="0.45">
      <c r="H93" t="s">
        <v>5766</v>
      </c>
      <c r="I93" t="s">
        <v>4260</v>
      </c>
      <c r="M93" t="s">
        <v>2831</v>
      </c>
    </row>
    <row r="94" spans="8:13" x14ac:dyDescent="0.45">
      <c r="H94" t="s">
        <v>4149</v>
      </c>
      <c r="I94" t="s">
        <v>4640</v>
      </c>
      <c r="M94" t="s">
        <v>3827</v>
      </c>
    </row>
    <row r="95" spans="8:13" x14ac:dyDescent="0.45">
      <c r="H95" t="s">
        <v>232</v>
      </c>
      <c r="I95" t="s">
        <v>4641</v>
      </c>
      <c r="M95" t="s">
        <v>2832</v>
      </c>
    </row>
    <row r="96" spans="8:13" x14ac:dyDescent="0.45">
      <c r="H96" t="s">
        <v>4164</v>
      </c>
      <c r="I96" t="s">
        <v>4642</v>
      </c>
      <c r="M96" t="s">
        <v>5763</v>
      </c>
    </row>
    <row r="97" spans="8:13" x14ac:dyDescent="0.45">
      <c r="H97" t="s">
        <v>4173</v>
      </c>
      <c r="I97" t="s">
        <v>271</v>
      </c>
      <c r="M97" t="s">
        <v>2833</v>
      </c>
    </row>
    <row r="98" spans="8:13" x14ac:dyDescent="0.45">
      <c r="H98" t="s">
        <v>4174</v>
      </c>
      <c r="I98" t="s">
        <v>4603</v>
      </c>
      <c r="M98" t="s">
        <v>2834</v>
      </c>
    </row>
    <row r="99" spans="8:13" x14ac:dyDescent="0.45">
      <c r="H99" t="s">
        <v>197</v>
      </c>
      <c r="I99" t="s">
        <v>4604</v>
      </c>
      <c r="M99" t="s">
        <v>2835</v>
      </c>
    </row>
    <row r="100" spans="8:13" x14ac:dyDescent="0.45">
      <c r="H100" t="s">
        <v>4143</v>
      </c>
      <c r="I100" t="s">
        <v>272</v>
      </c>
      <c r="M100" t="s">
        <v>5764</v>
      </c>
    </row>
    <row r="101" spans="8:13" x14ac:dyDescent="0.45">
      <c r="H101" t="s">
        <v>4144</v>
      </c>
      <c r="I101" t="s">
        <v>4605</v>
      </c>
      <c r="M101" t="s">
        <v>2836</v>
      </c>
    </row>
    <row r="102" spans="8:13" x14ac:dyDescent="0.45">
      <c r="H102" t="s">
        <v>233</v>
      </c>
      <c r="I102" t="s">
        <v>273</v>
      </c>
      <c r="M102" t="s">
        <v>5765</v>
      </c>
    </row>
    <row r="103" spans="8:13" x14ac:dyDescent="0.45">
      <c r="H103" t="s">
        <v>4145</v>
      </c>
      <c r="I103" t="s">
        <v>274</v>
      </c>
      <c r="M103" t="s">
        <v>2902</v>
      </c>
    </row>
    <row r="104" spans="8:13" x14ac:dyDescent="0.45">
      <c r="H104" t="s">
        <v>4146</v>
      </c>
      <c r="I104" t="s">
        <v>4294</v>
      </c>
      <c r="M104" t="s">
        <v>796</v>
      </c>
    </row>
    <row r="105" spans="8:13" x14ac:dyDescent="0.45">
      <c r="H105" t="s">
        <v>4147</v>
      </c>
      <c r="I105" t="s">
        <v>4295</v>
      </c>
      <c r="M105" t="s">
        <v>3722</v>
      </c>
    </row>
    <row r="106" spans="8:13" x14ac:dyDescent="0.45">
      <c r="H106" t="s">
        <v>4148</v>
      </c>
      <c r="I106" t="s">
        <v>4322</v>
      </c>
      <c r="M106" t="s">
        <v>3808</v>
      </c>
    </row>
    <row r="107" spans="8:13" x14ac:dyDescent="0.45">
      <c r="H107" t="s">
        <v>4154</v>
      </c>
      <c r="I107" t="s">
        <v>4323</v>
      </c>
      <c r="M107" t="s">
        <v>2994</v>
      </c>
    </row>
    <row r="108" spans="8:13" x14ac:dyDescent="0.45">
      <c r="H108" t="s">
        <v>4227</v>
      </c>
      <c r="I108" t="s">
        <v>4324</v>
      </c>
      <c r="M108" t="s">
        <v>5767</v>
      </c>
    </row>
    <row r="109" spans="8:13" x14ac:dyDescent="0.45">
      <c r="H109" t="s">
        <v>5464</v>
      </c>
      <c r="I109" t="s">
        <v>4325</v>
      </c>
      <c r="M109" t="s">
        <v>2995</v>
      </c>
    </row>
    <row r="110" spans="8:13" x14ac:dyDescent="0.45">
      <c r="H110" t="s">
        <v>5465</v>
      </c>
      <c r="I110" t="s">
        <v>4276</v>
      </c>
      <c r="M110" t="s">
        <v>2996</v>
      </c>
    </row>
    <row r="111" spans="8:13" x14ac:dyDescent="0.45">
      <c r="H111" t="s">
        <v>4157</v>
      </c>
      <c r="I111" t="s">
        <v>4326</v>
      </c>
      <c r="M111" t="s">
        <v>5768</v>
      </c>
    </row>
    <row r="112" spans="8:13" x14ac:dyDescent="0.45">
      <c r="H112" t="s">
        <v>4158</v>
      </c>
      <c r="I112" t="s">
        <v>4327</v>
      </c>
      <c r="M112" t="s">
        <v>5769</v>
      </c>
    </row>
    <row r="113" spans="8:13" x14ac:dyDescent="0.45">
      <c r="H113" t="s">
        <v>4159</v>
      </c>
      <c r="I113" t="s">
        <v>275</v>
      </c>
      <c r="M113" t="s">
        <v>5770</v>
      </c>
    </row>
    <row r="114" spans="8:13" x14ac:dyDescent="0.45">
      <c r="H114" t="s">
        <v>4160</v>
      </c>
      <c r="I114" t="s">
        <v>4346</v>
      </c>
      <c r="M114" t="s">
        <v>2997</v>
      </c>
    </row>
    <row r="115" spans="8:13" x14ac:dyDescent="0.45">
      <c r="H115" t="s">
        <v>4161</v>
      </c>
      <c r="I115" t="s">
        <v>276</v>
      </c>
      <c r="M115" t="s">
        <v>2998</v>
      </c>
    </row>
    <row r="116" spans="8:13" x14ac:dyDescent="0.45">
      <c r="H116" t="s">
        <v>4162</v>
      </c>
      <c r="I116" t="s">
        <v>277</v>
      </c>
      <c r="M116" t="s">
        <v>3700</v>
      </c>
    </row>
    <row r="117" spans="8:13" x14ac:dyDescent="0.45">
      <c r="H117" t="s">
        <v>4163</v>
      </c>
      <c r="I117" t="s">
        <v>4261</v>
      </c>
      <c r="M117" t="s">
        <v>5771</v>
      </c>
    </row>
    <row r="118" spans="8:13" x14ac:dyDescent="0.45">
      <c r="H118" t="s">
        <v>5466</v>
      </c>
      <c r="I118" t="s">
        <v>278</v>
      </c>
      <c r="M118" t="s">
        <v>2999</v>
      </c>
    </row>
    <row r="119" spans="8:13" x14ac:dyDescent="0.45">
      <c r="H119" t="s">
        <v>5467</v>
      </c>
      <c r="I119" t="s">
        <v>4376</v>
      </c>
      <c r="M119" t="s">
        <v>3074</v>
      </c>
    </row>
    <row r="120" spans="8:13" x14ac:dyDescent="0.45">
      <c r="H120" t="s">
        <v>4184</v>
      </c>
      <c r="I120" t="s">
        <v>4377</v>
      </c>
      <c r="M120" t="s">
        <v>3075</v>
      </c>
    </row>
    <row r="121" spans="8:13" x14ac:dyDescent="0.45">
      <c r="H121" t="s">
        <v>4541</v>
      </c>
      <c r="I121" t="s">
        <v>4378</v>
      </c>
      <c r="M121" t="s">
        <v>3076</v>
      </c>
    </row>
    <row r="122" spans="8:13" x14ac:dyDescent="0.45">
      <c r="I122" t="s">
        <v>4379</v>
      </c>
      <c r="M122" t="s">
        <v>5772</v>
      </c>
    </row>
    <row r="123" spans="8:13" x14ac:dyDescent="0.45">
      <c r="I123" t="s">
        <v>4262</v>
      </c>
      <c r="M123" t="s">
        <v>3077</v>
      </c>
    </row>
    <row r="124" spans="8:13" x14ac:dyDescent="0.45">
      <c r="I124" t="s">
        <v>4401</v>
      </c>
      <c r="M124" t="s">
        <v>3078</v>
      </c>
    </row>
    <row r="125" spans="8:13" x14ac:dyDescent="0.45">
      <c r="I125" t="s">
        <v>4402</v>
      </c>
      <c r="M125" t="s">
        <v>3079</v>
      </c>
    </row>
    <row r="126" spans="8:13" x14ac:dyDescent="0.45">
      <c r="I126" t="s">
        <v>4403</v>
      </c>
      <c r="M126" t="s">
        <v>3080</v>
      </c>
    </row>
    <row r="127" spans="8:13" x14ac:dyDescent="0.45">
      <c r="I127" t="s">
        <v>4404</v>
      </c>
      <c r="M127" t="s">
        <v>5773</v>
      </c>
    </row>
    <row r="128" spans="8:13" x14ac:dyDescent="0.45">
      <c r="I128" t="s">
        <v>4405</v>
      </c>
      <c r="M128" t="s">
        <v>5774</v>
      </c>
    </row>
    <row r="129" spans="9:13" x14ac:dyDescent="0.45">
      <c r="I129" t="s">
        <v>4406</v>
      </c>
      <c r="M129" t="s">
        <v>5775</v>
      </c>
    </row>
    <row r="130" spans="9:13" x14ac:dyDescent="0.45">
      <c r="I130" t="s">
        <v>279</v>
      </c>
      <c r="M130" t="s">
        <v>5776</v>
      </c>
    </row>
    <row r="131" spans="9:13" x14ac:dyDescent="0.45">
      <c r="I131" t="s">
        <v>4407</v>
      </c>
      <c r="M131" t="s">
        <v>5777</v>
      </c>
    </row>
    <row r="132" spans="9:13" x14ac:dyDescent="0.45">
      <c r="I132" t="s">
        <v>280</v>
      </c>
      <c r="M132" t="s">
        <v>5778</v>
      </c>
    </row>
    <row r="133" spans="9:13" x14ac:dyDescent="0.45">
      <c r="I133" t="s">
        <v>281</v>
      </c>
      <c r="M133" t="s">
        <v>5779</v>
      </c>
    </row>
    <row r="134" spans="9:13" x14ac:dyDescent="0.45">
      <c r="I134" t="s">
        <v>4437</v>
      </c>
      <c r="M134" t="s">
        <v>3128</v>
      </c>
    </row>
    <row r="135" spans="9:13" x14ac:dyDescent="0.45">
      <c r="I135" t="s">
        <v>4438</v>
      </c>
      <c r="M135" t="s">
        <v>3129</v>
      </c>
    </row>
    <row r="136" spans="9:13" x14ac:dyDescent="0.45">
      <c r="I136" t="s">
        <v>4439</v>
      </c>
      <c r="M136" t="s">
        <v>5780</v>
      </c>
    </row>
    <row r="137" spans="9:13" x14ac:dyDescent="0.45">
      <c r="I137" t="s">
        <v>282</v>
      </c>
      <c r="M137" t="s">
        <v>3130</v>
      </c>
    </row>
    <row r="138" spans="9:13" x14ac:dyDescent="0.45">
      <c r="I138" t="s">
        <v>283</v>
      </c>
      <c r="M138" t="s">
        <v>5781</v>
      </c>
    </row>
    <row r="139" spans="9:13" x14ac:dyDescent="0.45">
      <c r="I139" t="s">
        <v>5790</v>
      </c>
      <c r="M139" t="s">
        <v>3131</v>
      </c>
    </row>
    <row r="140" spans="9:13" x14ac:dyDescent="0.45">
      <c r="I140" t="s">
        <v>10311</v>
      </c>
      <c r="M140" t="s">
        <v>3726</v>
      </c>
    </row>
    <row r="141" spans="9:13" x14ac:dyDescent="0.45">
      <c r="I141" t="s">
        <v>284</v>
      </c>
      <c r="M141" t="s">
        <v>5782</v>
      </c>
    </row>
    <row r="142" spans="9:13" x14ac:dyDescent="0.45">
      <c r="I142" t="s">
        <v>285</v>
      </c>
      <c r="M142" t="s">
        <v>5783</v>
      </c>
    </row>
    <row r="143" spans="9:13" x14ac:dyDescent="0.45">
      <c r="I143" t="s">
        <v>4464</v>
      </c>
      <c r="M143" t="s">
        <v>3697</v>
      </c>
    </row>
    <row r="144" spans="9:13" x14ac:dyDescent="0.45">
      <c r="I144" t="s">
        <v>4465</v>
      </c>
      <c r="M144" t="s">
        <v>3702</v>
      </c>
    </row>
    <row r="145" spans="9:13" x14ac:dyDescent="0.45">
      <c r="I145" t="s">
        <v>286</v>
      </c>
      <c r="M145" t="s">
        <v>5784</v>
      </c>
    </row>
    <row r="146" spans="9:13" x14ac:dyDescent="0.45">
      <c r="I146" t="s">
        <v>4466</v>
      </c>
      <c r="M146" t="s">
        <v>5785</v>
      </c>
    </row>
    <row r="147" spans="9:13" x14ac:dyDescent="0.45">
      <c r="I147" t="s">
        <v>10312</v>
      </c>
      <c r="M147" t="s">
        <v>5786</v>
      </c>
    </row>
    <row r="148" spans="9:13" x14ac:dyDescent="0.45">
      <c r="I148" t="s">
        <v>4467</v>
      </c>
      <c r="M148" t="s">
        <v>3132</v>
      </c>
    </row>
    <row r="149" spans="9:13" x14ac:dyDescent="0.45">
      <c r="I149" t="s">
        <v>4600</v>
      </c>
      <c r="M149" t="s">
        <v>5787</v>
      </c>
    </row>
    <row r="150" spans="9:13" x14ac:dyDescent="0.45">
      <c r="I150" t="s">
        <v>287</v>
      </c>
      <c r="M150" t="s">
        <v>3698</v>
      </c>
    </row>
    <row r="151" spans="9:13" x14ac:dyDescent="0.45">
      <c r="I151" t="s">
        <v>4601</v>
      </c>
      <c r="M151" t="s">
        <v>3133</v>
      </c>
    </row>
    <row r="152" spans="9:13" x14ac:dyDescent="0.45">
      <c r="I152" t="s">
        <v>4602</v>
      </c>
      <c r="M152" t="s">
        <v>3134</v>
      </c>
    </row>
    <row r="153" spans="9:13" x14ac:dyDescent="0.45">
      <c r="I153" t="s">
        <v>4236</v>
      </c>
      <c r="M153" t="s">
        <v>3135</v>
      </c>
    </row>
    <row r="154" spans="9:13" x14ac:dyDescent="0.45">
      <c r="I154" t="s">
        <v>288</v>
      </c>
      <c r="M154" t="s">
        <v>3193</v>
      </c>
    </row>
    <row r="155" spans="9:13" x14ac:dyDescent="0.45">
      <c r="I155" t="s">
        <v>4395</v>
      </c>
      <c r="M155" t="s">
        <v>3194</v>
      </c>
    </row>
    <row r="156" spans="9:13" x14ac:dyDescent="0.45">
      <c r="I156" t="s">
        <v>289</v>
      </c>
      <c r="M156" t="s">
        <v>3798</v>
      </c>
    </row>
    <row r="157" spans="9:13" x14ac:dyDescent="0.45">
      <c r="I157" t="s">
        <v>290</v>
      </c>
      <c r="M157" t="s">
        <v>3195</v>
      </c>
    </row>
    <row r="158" spans="9:13" x14ac:dyDescent="0.45">
      <c r="I158" t="s">
        <v>4430</v>
      </c>
      <c r="M158" t="s">
        <v>3196</v>
      </c>
    </row>
    <row r="159" spans="9:13" x14ac:dyDescent="0.45">
      <c r="I159" t="s">
        <v>10313</v>
      </c>
      <c r="M159" t="s">
        <v>3197</v>
      </c>
    </row>
    <row r="160" spans="9:13" x14ac:dyDescent="0.45">
      <c r="I160" t="s">
        <v>4431</v>
      </c>
      <c r="M160" t="s">
        <v>3198</v>
      </c>
    </row>
    <row r="161" spans="9:13" x14ac:dyDescent="0.45">
      <c r="I161" t="s">
        <v>5470</v>
      </c>
      <c r="M161" t="s">
        <v>3199</v>
      </c>
    </row>
    <row r="162" spans="9:13" x14ac:dyDescent="0.45">
      <c r="I162" t="s">
        <v>292</v>
      </c>
      <c r="M162" t="s">
        <v>3200</v>
      </c>
    </row>
    <row r="163" spans="9:13" x14ac:dyDescent="0.45">
      <c r="I163" t="s">
        <v>293</v>
      </c>
      <c r="M163" t="s">
        <v>3201</v>
      </c>
    </row>
    <row r="164" spans="9:13" x14ac:dyDescent="0.45">
      <c r="I164" t="s">
        <v>4432</v>
      </c>
      <c r="M164" t="s">
        <v>3202</v>
      </c>
    </row>
    <row r="165" spans="9:13" x14ac:dyDescent="0.45">
      <c r="I165" t="s">
        <v>4433</v>
      </c>
      <c r="M165" t="s">
        <v>3203</v>
      </c>
    </row>
    <row r="166" spans="9:13" x14ac:dyDescent="0.45">
      <c r="I166" t="s">
        <v>4457</v>
      </c>
      <c r="M166" t="s">
        <v>3269</v>
      </c>
    </row>
    <row r="167" spans="9:13" x14ac:dyDescent="0.45">
      <c r="I167" t="s">
        <v>4458</v>
      </c>
      <c r="M167" t="s">
        <v>3262</v>
      </c>
    </row>
    <row r="168" spans="9:13" x14ac:dyDescent="0.45">
      <c r="I168" t="s">
        <v>4459</v>
      </c>
      <c r="M168" t="s">
        <v>5788</v>
      </c>
    </row>
    <row r="169" spans="9:13" x14ac:dyDescent="0.45">
      <c r="I169" t="s">
        <v>294</v>
      </c>
      <c r="M169" t="s">
        <v>3263</v>
      </c>
    </row>
    <row r="170" spans="9:13" x14ac:dyDescent="0.45">
      <c r="I170" t="s">
        <v>4483</v>
      </c>
      <c r="M170" t="s">
        <v>3264</v>
      </c>
    </row>
    <row r="171" spans="9:13" x14ac:dyDescent="0.45">
      <c r="I171" t="s">
        <v>4484</v>
      </c>
      <c r="M171" t="s">
        <v>3265</v>
      </c>
    </row>
    <row r="172" spans="9:13" x14ac:dyDescent="0.45">
      <c r="I172" t="s">
        <v>4485</v>
      </c>
      <c r="M172" t="s">
        <v>3266</v>
      </c>
    </row>
    <row r="173" spans="9:13" x14ac:dyDescent="0.45">
      <c r="I173" t="s">
        <v>4486</v>
      </c>
      <c r="M173" t="s">
        <v>3267</v>
      </c>
    </row>
    <row r="174" spans="9:13" x14ac:dyDescent="0.45">
      <c r="I174" t="s">
        <v>4487</v>
      </c>
      <c r="M174" t="s">
        <v>3268</v>
      </c>
    </row>
    <row r="175" spans="9:13" x14ac:dyDescent="0.45">
      <c r="I175" t="s">
        <v>5474</v>
      </c>
      <c r="M175" t="s">
        <v>3331</v>
      </c>
    </row>
    <row r="176" spans="9:13" x14ac:dyDescent="0.45">
      <c r="I176" t="s">
        <v>4511</v>
      </c>
      <c r="M176" t="s">
        <v>3332</v>
      </c>
    </row>
    <row r="177" spans="9:13" x14ac:dyDescent="0.45">
      <c r="I177" t="s">
        <v>4512</v>
      </c>
      <c r="M177" t="s">
        <v>3391</v>
      </c>
    </row>
    <row r="178" spans="9:13" x14ac:dyDescent="0.45">
      <c r="I178" t="s">
        <v>4513</v>
      </c>
      <c r="M178" t="s">
        <v>3333</v>
      </c>
    </row>
    <row r="179" spans="9:13" x14ac:dyDescent="0.45">
      <c r="I179" t="s">
        <v>4514</v>
      </c>
      <c r="M179" t="s">
        <v>3334</v>
      </c>
    </row>
    <row r="180" spans="9:13" x14ac:dyDescent="0.45">
      <c r="I180" t="s">
        <v>295</v>
      </c>
      <c r="M180" t="s">
        <v>5789</v>
      </c>
    </row>
    <row r="181" spans="9:13" x14ac:dyDescent="0.45">
      <c r="I181" t="s">
        <v>4538</v>
      </c>
      <c r="M181" t="s">
        <v>3335</v>
      </c>
    </row>
    <row r="182" spans="9:13" x14ac:dyDescent="0.45">
      <c r="I182" t="s">
        <v>4539</v>
      </c>
      <c r="M182" t="s">
        <v>3336</v>
      </c>
    </row>
    <row r="183" spans="9:13" x14ac:dyDescent="0.45">
      <c r="I183" t="s">
        <v>5814</v>
      </c>
      <c r="M183" t="s">
        <v>3337</v>
      </c>
    </row>
    <row r="184" spans="9:13" x14ac:dyDescent="0.45">
      <c r="I184" t="s">
        <v>5816</v>
      </c>
      <c r="M184" t="s">
        <v>3338</v>
      </c>
    </row>
    <row r="185" spans="9:13" x14ac:dyDescent="0.45">
      <c r="I185" t="s">
        <v>4564</v>
      </c>
      <c r="M185" t="s">
        <v>5791</v>
      </c>
    </row>
    <row r="186" spans="9:13" x14ac:dyDescent="0.45">
      <c r="I186" t="s">
        <v>296</v>
      </c>
      <c r="M186" t="s">
        <v>5792</v>
      </c>
    </row>
    <row r="187" spans="9:13" x14ac:dyDescent="0.45">
      <c r="I187" t="s">
        <v>297</v>
      </c>
      <c r="M187" t="s">
        <v>3339</v>
      </c>
    </row>
    <row r="188" spans="9:13" x14ac:dyDescent="0.45">
      <c r="I188" t="s">
        <v>298</v>
      </c>
      <c r="M188" t="s">
        <v>3340</v>
      </c>
    </row>
    <row r="189" spans="9:13" x14ac:dyDescent="0.45">
      <c r="I189" t="s">
        <v>4565</v>
      </c>
      <c r="M189" t="s">
        <v>3341</v>
      </c>
    </row>
    <row r="190" spans="9:13" x14ac:dyDescent="0.45">
      <c r="I190" t="s">
        <v>299</v>
      </c>
      <c r="M190" t="s">
        <v>5793</v>
      </c>
    </row>
    <row r="191" spans="9:13" x14ac:dyDescent="0.45">
      <c r="I191" t="s">
        <v>300</v>
      </c>
      <c r="M191" t="s">
        <v>5794</v>
      </c>
    </row>
    <row r="192" spans="9:13" x14ac:dyDescent="0.45">
      <c r="I192" t="s">
        <v>4566</v>
      </c>
      <c r="M192" t="s">
        <v>3708</v>
      </c>
    </row>
    <row r="193" spans="9:13" x14ac:dyDescent="0.45">
      <c r="I193" t="s">
        <v>301</v>
      </c>
      <c r="M193" t="s">
        <v>3419</v>
      </c>
    </row>
    <row r="194" spans="9:13" x14ac:dyDescent="0.45">
      <c r="I194" t="s">
        <v>4567</v>
      </c>
      <c r="M194" t="s">
        <v>5795</v>
      </c>
    </row>
    <row r="195" spans="9:13" x14ac:dyDescent="0.45">
      <c r="I195" t="s">
        <v>302</v>
      </c>
      <c r="M195" t="s">
        <v>3420</v>
      </c>
    </row>
    <row r="196" spans="9:13" x14ac:dyDescent="0.45">
      <c r="I196" t="s">
        <v>4385</v>
      </c>
      <c r="M196" t="s">
        <v>5796</v>
      </c>
    </row>
    <row r="197" spans="9:13" x14ac:dyDescent="0.45">
      <c r="I197" t="s">
        <v>303</v>
      </c>
      <c r="M197" t="s">
        <v>5797</v>
      </c>
    </row>
    <row r="198" spans="9:13" x14ac:dyDescent="0.45">
      <c r="I198" t="s">
        <v>4218</v>
      </c>
      <c r="M198" t="s">
        <v>3421</v>
      </c>
    </row>
    <row r="199" spans="9:13" x14ac:dyDescent="0.45">
      <c r="I199" t="s">
        <v>4387</v>
      </c>
      <c r="M199" t="s">
        <v>5798</v>
      </c>
    </row>
    <row r="200" spans="9:13" x14ac:dyDescent="0.45">
      <c r="I200" t="s">
        <v>4388</v>
      </c>
      <c r="M200" t="s">
        <v>3422</v>
      </c>
    </row>
    <row r="201" spans="9:13" x14ac:dyDescent="0.45">
      <c r="I201" t="s">
        <v>4528</v>
      </c>
      <c r="M201" t="s">
        <v>3423</v>
      </c>
    </row>
    <row r="202" spans="9:13" x14ac:dyDescent="0.45">
      <c r="I202" t="s">
        <v>5827</v>
      </c>
      <c r="M202" t="s">
        <v>3424</v>
      </c>
    </row>
    <row r="203" spans="9:13" x14ac:dyDescent="0.45">
      <c r="I203" t="s">
        <v>304</v>
      </c>
      <c r="M203" t="s">
        <v>3425</v>
      </c>
    </row>
    <row r="204" spans="9:13" x14ac:dyDescent="0.45">
      <c r="I204" t="s">
        <v>4529</v>
      </c>
      <c r="M204" t="s">
        <v>5799</v>
      </c>
    </row>
    <row r="205" spans="9:13" x14ac:dyDescent="0.45">
      <c r="I205" t="s">
        <v>305</v>
      </c>
      <c r="M205" t="s">
        <v>5800</v>
      </c>
    </row>
    <row r="206" spans="9:13" x14ac:dyDescent="0.45">
      <c r="I206" t="s">
        <v>306</v>
      </c>
      <c r="M206" t="s">
        <v>5801</v>
      </c>
    </row>
    <row r="207" spans="9:13" x14ac:dyDescent="0.45">
      <c r="I207" t="s">
        <v>4530</v>
      </c>
      <c r="M207" t="s">
        <v>5802</v>
      </c>
    </row>
    <row r="208" spans="9:13" x14ac:dyDescent="0.45">
      <c r="I208" t="s">
        <v>4553</v>
      </c>
      <c r="M208" t="s">
        <v>3496</v>
      </c>
    </row>
    <row r="209" spans="9:13" x14ac:dyDescent="0.45">
      <c r="I209" t="s">
        <v>307</v>
      </c>
      <c r="M209" t="s">
        <v>3497</v>
      </c>
    </row>
    <row r="210" spans="9:13" x14ac:dyDescent="0.45">
      <c r="I210" t="s">
        <v>4263</v>
      </c>
      <c r="M210" t="s">
        <v>5803</v>
      </c>
    </row>
    <row r="211" spans="9:13" x14ac:dyDescent="0.45">
      <c r="I211" t="s">
        <v>4554</v>
      </c>
      <c r="M211" t="s">
        <v>5804</v>
      </c>
    </row>
    <row r="212" spans="9:13" x14ac:dyDescent="0.45">
      <c r="I212" t="s">
        <v>308</v>
      </c>
      <c r="M212" t="s">
        <v>3739</v>
      </c>
    </row>
    <row r="213" spans="9:13" x14ac:dyDescent="0.45">
      <c r="I213" t="s">
        <v>4555</v>
      </c>
      <c r="M213" t="s">
        <v>3498</v>
      </c>
    </row>
    <row r="214" spans="9:13" x14ac:dyDescent="0.45">
      <c r="I214" t="s">
        <v>4556</v>
      </c>
      <c r="M214" t="s">
        <v>3499</v>
      </c>
    </row>
    <row r="215" spans="9:13" x14ac:dyDescent="0.45">
      <c r="I215" t="s">
        <v>4587</v>
      </c>
      <c r="M215" t="s">
        <v>5805</v>
      </c>
    </row>
    <row r="216" spans="9:13" x14ac:dyDescent="0.45">
      <c r="I216" t="s">
        <v>4588</v>
      </c>
      <c r="M216" t="s">
        <v>5806</v>
      </c>
    </row>
    <row r="217" spans="9:13" x14ac:dyDescent="0.45">
      <c r="I217" t="s">
        <v>4237</v>
      </c>
      <c r="M217" t="s">
        <v>3380</v>
      </c>
    </row>
    <row r="218" spans="9:13" x14ac:dyDescent="0.45">
      <c r="I218" t="s">
        <v>4238</v>
      </c>
      <c r="M218" t="s">
        <v>3381</v>
      </c>
    </row>
    <row r="219" spans="9:13" x14ac:dyDescent="0.45">
      <c r="I219" t="s">
        <v>4589</v>
      </c>
      <c r="M219" t="s">
        <v>5807</v>
      </c>
    </row>
    <row r="220" spans="9:13" x14ac:dyDescent="0.45">
      <c r="I220" t="s">
        <v>4622</v>
      </c>
      <c r="M220" t="s">
        <v>3382</v>
      </c>
    </row>
    <row r="221" spans="9:13" x14ac:dyDescent="0.45">
      <c r="I221" t="s">
        <v>4623</v>
      </c>
      <c r="M221" t="s">
        <v>5808</v>
      </c>
    </row>
    <row r="222" spans="9:13" x14ac:dyDescent="0.45">
      <c r="I222" t="s">
        <v>4643</v>
      </c>
      <c r="M222" t="s">
        <v>3383</v>
      </c>
    </row>
    <row r="223" spans="9:13" x14ac:dyDescent="0.45">
      <c r="I223" t="s">
        <v>309</v>
      </c>
      <c r="M223" t="s">
        <v>5809</v>
      </c>
    </row>
    <row r="224" spans="9:13" x14ac:dyDescent="0.45">
      <c r="I224" t="s">
        <v>310</v>
      </c>
      <c r="M224" t="s">
        <v>5810</v>
      </c>
    </row>
    <row r="225" spans="9:13" x14ac:dyDescent="0.45">
      <c r="I225" t="s">
        <v>311</v>
      </c>
      <c r="M225" t="s">
        <v>5811</v>
      </c>
    </row>
    <row r="226" spans="9:13" x14ac:dyDescent="0.45">
      <c r="I226" t="s">
        <v>312</v>
      </c>
      <c r="M226" t="s">
        <v>3384</v>
      </c>
    </row>
    <row r="227" spans="9:13" x14ac:dyDescent="0.45">
      <c r="I227" t="s">
        <v>4644</v>
      </c>
      <c r="M227" t="s">
        <v>3385</v>
      </c>
    </row>
    <row r="228" spans="9:13" x14ac:dyDescent="0.45">
      <c r="I228" t="s">
        <v>313</v>
      </c>
      <c r="M228" t="s">
        <v>3386</v>
      </c>
    </row>
    <row r="229" spans="9:13" x14ac:dyDescent="0.45">
      <c r="I229" t="s">
        <v>4645</v>
      </c>
      <c r="M229" t="s">
        <v>3387</v>
      </c>
    </row>
    <row r="230" spans="9:13" x14ac:dyDescent="0.45">
      <c r="I230" t="s">
        <v>4219</v>
      </c>
      <c r="M230" t="s">
        <v>3388</v>
      </c>
    </row>
    <row r="231" spans="9:13" x14ac:dyDescent="0.45">
      <c r="I231" t="s">
        <v>4646</v>
      </c>
      <c r="M231" t="s">
        <v>3389</v>
      </c>
    </row>
    <row r="232" spans="9:13" x14ac:dyDescent="0.45">
      <c r="I232" t="s">
        <v>4647</v>
      </c>
      <c r="M232" t="s">
        <v>2625</v>
      </c>
    </row>
    <row r="233" spans="9:13" x14ac:dyDescent="0.45">
      <c r="I233" t="s">
        <v>4648</v>
      </c>
      <c r="M233" t="s">
        <v>5812</v>
      </c>
    </row>
    <row r="234" spans="9:13" x14ac:dyDescent="0.45">
      <c r="I234" t="s">
        <v>4264</v>
      </c>
      <c r="M234" t="s">
        <v>2626</v>
      </c>
    </row>
    <row r="235" spans="9:13" x14ac:dyDescent="0.45">
      <c r="I235" t="s">
        <v>4672</v>
      </c>
      <c r="M235" t="s">
        <v>2627</v>
      </c>
    </row>
    <row r="236" spans="9:13" x14ac:dyDescent="0.45">
      <c r="I236" t="s">
        <v>314</v>
      </c>
      <c r="M236" t="s">
        <v>2628</v>
      </c>
    </row>
    <row r="237" spans="9:13" x14ac:dyDescent="0.45">
      <c r="I237" t="s">
        <v>4239</v>
      </c>
      <c r="M237" t="s">
        <v>2629</v>
      </c>
    </row>
    <row r="238" spans="9:13" x14ac:dyDescent="0.45">
      <c r="I238" t="s">
        <v>4673</v>
      </c>
      <c r="M238" t="s">
        <v>2630</v>
      </c>
    </row>
    <row r="239" spans="9:13" x14ac:dyDescent="0.45">
      <c r="I239" t="s">
        <v>4674</v>
      </c>
      <c r="M239" t="s">
        <v>2631</v>
      </c>
    </row>
    <row r="240" spans="9:13" x14ac:dyDescent="0.45">
      <c r="I240" t="s">
        <v>315</v>
      </c>
      <c r="M240" t="s">
        <v>2632</v>
      </c>
    </row>
    <row r="241" spans="9:13" x14ac:dyDescent="0.45">
      <c r="I241" t="s">
        <v>316</v>
      </c>
      <c r="M241" t="s">
        <v>2633</v>
      </c>
    </row>
    <row r="242" spans="9:13" x14ac:dyDescent="0.45">
      <c r="I242" t="s">
        <v>4240</v>
      </c>
      <c r="M242" t="s">
        <v>2634</v>
      </c>
    </row>
    <row r="243" spans="9:13" x14ac:dyDescent="0.45">
      <c r="I243" t="s">
        <v>4241</v>
      </c>
      <c r="M243" t="s">
        <v>2635</v>
      </c>
    </row>
    <row r="244" spans="9:13" x14ac:dyDescent="0.45">
      <c r="I244" t="s">
        <v>4509</v>
      </c>
      <c r="M244" t="s">
        <v>2636</v>
      </c>
    </row>
    <row r="245" spans="9:13" x14ac:dyDescent="0.45">
      <c r="I245" t="s">
        <v>4510</v>
      </c>
      <c r="M245" t="s">
        <v>2637</v>
      </c>
    </row>
    <row r="246" spans="9:13" x14ac:dyDescent="0.45">
      <c r="I246" t="s">
        <v>317</v>
      </c>
      <c r="M246" t="s">
        <v>2638</v>
      </c>
    </row>
    <row r="247" spans="9:13" x14ac:dyDescent="0.45">
      <c r="I247" t="s">
        <v>318</v>
      </c>
      <c r="M247" t="s">
        <v>2639</v>
      </c>
    </row>
    <row r="248" spans="9:13" x14ac:dyDescent="0.45">
      <c r="I248" t="s">
        <v>5475</v>
      </c>
      <c r="M248" t="s">
        <v>3728</v>
      </c>
    </row>
    <row r="249" spans="9:13" x14ac:dyDescent="0.45">
      <c r="I249" t="s">
        <v>4537</v>
      </c>
      <c r="M249" t="s">
        <v>5815</v>
      </c>
    </row>
    <row r="250" spans="9:13" x14ac:dyDescent="0.45">
      <c r="I250" t="s">
        <v>4456</v>
      </c>
      <c r="M250" t="s">
        <v>2703</v>
      </c>
    </row>
    <row r="251" spans="9:13" x14ac:dyDescent="0.45">
      <c r="I251" t="s">
        <v>319</v>
      </c>
      <c r="M251" t="s">
        <v>2704</v>
      </c>
    </row>
    <row r="252" spans="9:13" x14ac:dyDescent="0.45">
      <c r="I252" t="s">
        <v>320</v>
      </c>
      <c r="M252" t="s">
        <v>2705</v>
      </c>
    </row>
    <row r="253" spans="9:13" x14ac:dyDescent="0.45">
      <c r="I253" t="s">
        <v>4563</v>
      </c>
      <c r="M253" t="s">
        <v>5817</v>
      </c>
    </row>
    <row r="254" spans="9:13" x14ac:dyDescent="0.45">
      <c r="I254" t="s">
        <v>4242</v>
      </c>
      <c r="M254" t="s">
        <v>2706</v>
      </c>
    </row>
    <row r="255" spans="9:13" x14ac:dyDescent="0.45">
      <c r="I255" t="s">
        <v>321</v>
      </c>
      <c r="M255" t="s">
        <v>5818</v>
      </c>
    </row>
    <row r="256" spans="9:13" x14ac:dyDescent="0.45">
      <c r="I256" t="s">
        <v>4596</v>
      </c>
      <c r="M256" t="s">
        <v>2707</v>
      </c>
    </row>
    <row r="257" spans="9:13" x14ac:dyDescent="0.45">
      <c r="I257" t="s">
        <v>4597</v>
      </c>
      <c r="M257" t="s">
        <v>3757</v>
      </c>
    </row>
    <row r="258" spans="9:13" x14ac:dyDescent="0.45">
      <c r="I258" t="s">
        <v>4598</v>
      </c>
      <c r="M258" t="s">
        <v>2708</v>
      </c>
    </row>
    <row r="259" spans="9:13" x14ac:dyDescent="0.45">
      <c r="I259" t="s">
        <v>10314</v>
      </c>
      <c r="M259" t="s">
        <v>2709</v>
      </c>
    </row>
    <row r="260" spans="9:13" x14ac:dyDescent="0.45">
      <c r="I260" t="s">
        <v>4599</v>
      </c>
      <c r="M260" t="s">
        <v>2710</v>
      </c>
    </row>
    <row r="261" spans="9:13" x14ac:dyDescent="0.45">
      <c r="I261" t="s">
        <v>322</v>
      </c>
      <c r="M261" t="s">
        <v>2711</v>
      </c>
    </row>
    <row r="262" spans="9:13" x14ac:dyDescent="0.45">
      <c r="I262" t="s">
        <v>323</v>
      </c>
      <c r="M262" t="s">
        <v>3720</v>
      </c>
    </row>
    <row r="263" spans="9:13" x14ac:dyDescent="0.45">
      <c r="I263" t="s">
        <v>324</v>
      </c>
      <c r="M263" t="s">
        <v>2712</v>
      </c>
    </row>
    <row r="264" spans="9:13" x14ac:dyDescent="0.45">
      <c r="I264" t="s">
        <v>4630</v>
      </c>
      <c r="M264" t="s">
        <v>5819</v>
      </c>
    </row>
    <row r="265" spans="9:13" x14ac:dyDescent="0.45">
      <c r="I265" t="s">
        <v>325</v>
      </c>
      <c r="M265" t="s">
        <v>5820</v>
      </c>
    </row>
    <row r="266" spans="9:13" x14ac:dyDescent="0.45">
      <c r="I266" t="s">
        <v>10315</v>
      </c>
      <c r="M266" t="s">
        <v>2771</v>
      </c>
    </row>
    <row r="267" spans="9:13" x14ac:dyDescent="0.45">
      <c r="I267" t="s">
        <v>5476</v>
      </c>
      <c r="M267" t="s">
        <v>2772</v>
      </c>
    </row>
    <row r="268" spans="9:13" x14ac:dyDescent="0.45">
      <c r="I268" t="s">
        <v>326</v>
      </c>
      <c r="M268" t="s">
        <v>3685</v>
      </c>
    </row>
    <row r="269" spans="9:13" x14ac:dyDescent="0.45">
      <c r="I269" t="s">
        <v>4220</v>
      </c>
      <c r="M269" t="s">
        <v>5822</v>
      </c>
    </row>
    <row r="270" spans="9:13" x14ac:dyDescent="0.45">
      <c r="I270" t="s">
        <v>4631</v>
      </c>
      <c r="M270" t="s">
        <v>5823</v>
      </c>
    </row>
    <row r="271" spans="9:13" x14ac:dyDescent="0.45">
      <c r="I271" t="s">
        <v>327</v>
      </c>
      <c r="M271" t="s">
        <v>5824</v>
      </c>
    </row>
    <row r="272" spans="9:13" x14ac:dyDescent="0.45">
      <c r="I272" t="s">
        <v>4686</v>
      </c>
      <c r="M272" t="s">
        <v>2773</v>
      </c>
    </row>
    <row r="273" spans="9:13" x14ac:dyDescent="0.45">
      <c r="I273" t="s">
        <v>4687</v>
      </c>
      <c r="M273" t="s">
        <v>5825</v>
      </c>
    </row>
    <row r="274" spans="9:13" x14ac:dyDescent="0.45">
      <c r="I274" t="s">
        <v>4688</v>
      </c>
      <c r="M274" t="s">
        <v>5826</v>
      </c>
    </row>
    <row r="275" spans="9:13" x14ac:dyDescent="0.45">
      <c r="I275" t="s">
        <v>4689</v>
      </c>
      <c r="M275" t="s">
        <v>2774</v>
      </c>
    </row>
    <row r="276" spans="9:13" x14ac:dyDescent="0.45">
      <c r="I276" t="s">
        <v>4690</v>
      </c>
      <c r="M276" t="s">
        <v>2775</v>
      </c>
    </row>
    <row r="277" spans="9:13" x14ac:dyDescent="0.45">
      <c r="I277" t="s">
        <v>4244</v>
      </c>
      <c r="M277" t="s">
        <v>5828</v>
      </c>
    </row>
    <row r="278" spans="9:13" x14ac:dyDescent="0.45">
      <c r="I278" t="s">
        <v>328</v>
      </c>
      <c r="M278" t="s">
        <v>2776</v>
      </c>
    </row>
    <row r="279" spans="9:13" x14ac:dyDescent="0.45">
      <c r="I279" t="s">
        <v>4716</v>
      </c>
      <c r="M279" t="s">
        <v>5829</v>
      </c>
    </row>
    <row r="280" spans="9:13" x14ac:dyDescent="0.45">
      <c r="I280" t="s">
        <v>4717</v>
      </c>
      <c r="M280" t="s">
        <v>5830</v>
      </c>
    </row>
    <row r="281" spans="9:13" x14ac:dyDescent="0.45">
      <c r="I281" t="s">
        <v>4718</v>
      </c>
      <c r="M281" t="s">
        <v>2777</v>
      </c>
    </row>
    <row r="282" spans="9:13" x14ac:dyDescent="0.45">
      <c r="I282" t="s">
        <v>329</v>
      </c>
      <c r="M282" t="s">
        <v>2778</v>
      </c>
    </row>
    <row r="283" spans="9:13" x14ac:dyDescent="0.45">
      <c r="I283" t="s">
        <v>330</v>
      </c>
      <c r="M283" t="s">
        <v>3763</v>
      </c>
    </row>
    <row r="284" spans="9:13" x14ac:dyDescent="0.45">
      <c r="I284" t="s">
        <v>4470</v>
      </c>
      <c r="M284" t="s">
        <v>5831</v>
      </c>
    </row>
    <row r="285" spans="9:13" x14ac:dyDescent="0.45">
      <c r="I285" t="s">
        <v>331</v>
      </c>
      <c r="M285" t="s">
        <v>2779</v>
      </c>
    </row>
    <row r="286" spans="9:13" x14ac:dyDescent="0.45">
      <c r="I286" t="s">
        <v>4471</v>
      </c>
      <c r="M286" t="s">
        <v>2845</v>
      </c>
    </row>
    <row r="287" spans="9:13" x14ac:dyDescent="0.45">
      <c r="I287" t="s">
        <v>4472</v>
      </c>
      <c r="M287" t="s">
        <v>5832</v>
      </c>
    </row>
    <row r="288" spans="9:13" x14ac:dyDescent="0.45">
      <c r="I288" t="s">
        <v>4473</v>
      </c>
      <c r="M288" t="s">
        <v>2846</v>
      </c>
    </row>
    <row r="289" spans="9:13" x14ac:dyDescent="0.45">
      <c r="I289" t="s">
        <v>4496</v>
      </c>
      <c r="M289" t="s">
        <v>3723</v>
      </c>
    </row>
    <row r="290" spans="9:13" x14ac:dyDescent="0.45">
      <c r="I290" t="s">
        <v>4497</v>
      </c>
      <c r="M290" t="s">
        <v>5833</v>
      </c>
    </row>
    <row r="291" spans="9:13" x14ac:dyDescent="0.45">
      <c r="I291" t="s">
        <v>5871</v>
      </c>
      <c r="M291" t="s">
        <v>2847</v>
      </c>
    </row>
    <row r="292" spans="9:13" x14ac:dyDescent="0.45">
      <c r="I292" t="s">
        <v>4265</v>
      </c>
      <c r="M292" t="s">
        <v>2848</v>
      </c>
    </row>
    <row r="293" spans="9:13" x14ac:dyDescent="0.45">
      <c r="I293" t="s">
        <v>332</v>
      </c>
      <c r="M293" t="s">
        <v>2849</v>
      </c>
    </row>
    <row r="294" spans="9:13" x14ac:dyDescent="0.45">
      <c r="I294" t="s">
        <v>4498</v>
      </c>
      <c r="M294" t="s">
        <v>2850</v>
      </c>
    </row>
    <row r="295" spans="9:13" x14ac:dyDescent="0.45">
      <c r="I295" t="s">
        <v>4499</v>
      </c>
      <c r="M295" t="s">
        <v>3828</v>
      </c>
    </row>
    <row r="296" spans="9:13" x14ac:dyDescent="0.45">
      <c r="I296" t="s">
        <v>4500</v>
      </c>
      <c r="M296" t="s">
        <v>5835</v>
      </c>
    </row>
    <row r="297" spans="9:13" x14ac:dyDescent="0.45">
      <c r="I297" t="s">
        <v>4518</v>
      </c>
      <c r="M297" t="s">
        <v>5836</v>
      </c>
    </row>
    <row r="298" spans="9:13" x14ac:dyDescent="0.45">
      <c r="I298" t="s">
        <v>4606</v>
      </c>
      <c r="M298" t="s">
        <v>5837</v>
      </c>
    </row>
    <row r="299" spans="9:13" x14ac:dyDescent="0.45">
      <c r="I299" t="s">
        <v>4519</v>
      </c>
      <c r="M299" t="s">
        <v>3746</v>
      </c>
    </row>
    <row r="300" spans="9:13" x14ac:dyDescent="0.45">
      <c r="I300" t="s">
        <v>333</v>
      </c>
      <c r="M300" t="s">
        <v>5838</v>
      </c>
    </row>
    <row r="301" spans="9:13" x14ac:dyDescent="0.45">
      <c r="I301" t="s">
        <v>4568</v>
      </c>
      <c r="M301" t="s">
        <v>5839</v>
      </c>
    </row>
    <row r="302" spans="9:13" x14ac:dyDescent="0.45">
      <c r="I302" t="s">
        <v>4545</v>
      </c>
      <c r="M302" t="s">
        <v>2851</v>
      </c>
    </row>
    <row r="303" spans="9:13" x14ac:dyDescent="0.45">
      <c r="I303" t="s">
        <v>334</v>
      </c>
      <c r="M303" t="s">
        <v>2929</v>
      </c>
    </row>
    <row r="304" spans="9:13" x14ac:dyDescent="0.45">
      <c r="I304" t="s">
        <v>4546</v>
      </c>
      <c r="M304" t="s">
        <v>2923</v>
      </c>
    </row>
    <row r="305" spans="9:13" x14ac:dyDescent="0.45">
      <c r="I305" t="s">
        <v>335</v>
      </c>
      <c r="M305" t="s">
        <v>2924</v>
      </c>
    </row>
    <row r="306" spans="9:13" x14ac:dyDescent="0.45">
      <c r="I306" t="s">
        <v>4573</v>
      </c>
      <c r="M306" t="s">
        <v>2925</v>
      </c>
    </row>
    <row r="307" spans="9:13" x14ac:dyDescent="0.45">
      <c r="I307" t="s">
        <v>4574</v>
      </c>
      <c r="M307" t="s">
        <v>2926</v>
      </c>
    </row>
    <row r="308" spans="9:13" x14ac:dyDescent="0.45">
      <c r="I308" t="s">
        <v>4575</v>
      </c>
      <c r="M308" t="s">
        <v>2927</v>
      </c>
    </row>
    <row r="309" spans="9:13" x14ac:dyDescent="0.45">
      <c r="I309" t="s">
        <v>336</v>
      </c>
      <c r="M309" t="s">
        <v>2928</v>
      </c>
    </row>
    <row r="310" spans="9:13" x14ac:dyDescent="0.45">
      <c r="I310" t="s">
        <v>4576</v>
      </c>
      <c r="M310" t="s">
        <v>2930</v>
      </c>
    </row>
    <row r="311" spans="9:13" x14ac:dyDescent="0.45">
      <c r="I311" t="s">
        <v>337</v>
      </c>
      <c r="M311" t="s">
        <v>5840</v>
      </c>
    </row>
    <row r="312" spans="9:13" x14ac:dyDescent="0.45">
      <c r="I312" t="s">
        <v>338</v>
      </c>
      <c r="M312" t="s">
        <v>3752</v>
      </c>
    </row>
    <row r="313" spans="9:13" x14ac:dyDescent="0.45">
      <c r="I313" t="s">
        <v>339</v>
      </c>
      <c r="M313" t="s">
        <v>5841</v>
      </c>
    </row>
    <row r="314" spans="9:13" x14ac:dyDescent="0.45">
      <c r="I314" t="s">
        <v>4577</v>
      </c>
      <c r="M314" t="s">
        <v>3701</v>
      </c>
    </row>
    <row r="315" spans="9:13" x14ac:dyDescent="0.45">
      <c r="I315" t="s">
        <v>340</v>
      </c>
      <c r="M315" t="s">
        <v>5842</v>
      </c>
    </row>
    <row r="316" spans="9:13" x14ac:dyDescent="0.45">
      <c r="I316" t="s">
        <v>341</v>
      </c>
      <c r="M316" t="s">
        <v>2980</v>
      </c>
    </row>
    <row r="317" spans="9:13" x14ac:dyDescent="0.45">
      <c r="I317" t="s">
        <v>4614</v>
      </c>
      <c r="M317" t="s">
        <v>2981</v>
      </c>
    </row>
    <row r="318" spans="9:13" x14ac:dyDescent="0.45">
      <c r="I318" t="s">
        <v>4615</v>
      </c>
      <c r="M318" t="s">
        <v>5843</v>
      </c>
    </row>
    <row r="319" spans="9:13" x14ac:dyDescent="0.45">
      <c r="I319" t="s">
        <v>4616</v>
      </c>
      <c r="M319" t="s">
        <v>5844</v>
      </c>
    </row>
    <row r="320" spans="9:13" x14ac:dyDescent="0.45">
      <c r="I320" t="s">
        <v>342</v>
      </c>
      <c r="M320" t="s">
        <v>2982</v>
      </c>
    </row>
    <row r="321" spans="9:13" x14ac:dyDescent="0.45">
      <c r="I321" t="s">
        <v>4243</v>
      </c>
      <c r="M321" t="s">
        <v>2983</v>
      </c>
    </row>
    <row r="322" spans="9:13" x14ac:dyDescent="0.45">
      <c r="I322" t="s">
        <v>4266</v>
      </c>
      <c r="M322" t="s">
        <v>3712</v>
      </c>
    </row>
    <row r="323" spans="9:13" x14ac:dyDescent="0.45">
      <c r="I323" t="s">
        <v>4636</v>
      </c>
      <c r="M323" t="s">
        <v>5845</v>
      </c>
    </row>
    <row r="324" spans="9:13" x14ac:dyDescent="0.45">
      <c r="I324" t="s">
        <v>4386</v>
      </c>
      <c r="M324" t="s">
        <v>5846</v>
      </c>
    </row>
    <row r="325" spans="9:13" x14ac:dyDescent="0.45">
      <c r="I325" t="s">
        <v>4666</v>
      </c>
      <c r="M325" t="s">
        <v>2984</v>
      </c>
    </row>
    <row r="326" spans="9:13" x14ac:dyDescent="0.45">
      <c r="I326" t="s">
        <v>343</v>
      </c>
      <c r="M326" t="s">
        <v>5847</v>
      </c>
    </row>
    <row r="327" spans="9:13" x14ac:dyDescent="0.45">
      <c r="I327" t="s">
        <v>5478</v>
      </c>
      <c r="M327" t="s">
        <v>2985</v>
      </c>
    </row>
    <row r="328" spans="9:13" x14ac:dyDescent="0.45">
      <c r="I328" t="s">
        <v>4667</v>
      </c>
      <c r="M328" t="s">
        <v>2556</v>
      </c>
    </row>
    <row r="329" spans="9:13" x14ac:dyDescent="0.45">
      <c r="I329" t="s">
        <v>344</v>
      </c>
      <c r="M329" t="s">
        <v>5848</v>
      </c>
    </row>
    <row r="330" spans="9:13" x14ac:dyDescent="0.45">
      <c r="I330" t="s">
        <v>345</v>
      </c>
      <c r="M330" t="s">
        <v>5849</v>
      </c>
    </row>
    <row r="331" spans="9:13" x14ac:dyDescent="0.45">
      <c r="I331" t="s">
        <v>4703</v>
      </c>
      <c r="M331" t="s">
        <v>3042</v>
      </c>
    </row>
    <row r="332" spans="9:13" x14ac:dyDescent="0.45">
      <c r="I332" t="s">
        <v>4704</v>
      </c>
      <c r="M332" t="s">
        <v>3043</v>
      </c>
    </row>
    <row r="333" spans="9:13" x14ac:dyDescent="0.45">
      <c r="I333" t="s">
        <v>346</v>
      </c>
      <c r="M333" t="s">
        <v>3707</v>
      </c>
    </row>
    <row r="334" spans="9:13" x14ac:dyDescent="0.45">
      <c r="I334" t="s">
        <v>4230</v>
      </c>
      <c r="M334" t="s">
        <v>3044</v>
      </c>
    </row>
    <row r="335" spans="9:13" x14ac:dyDescent="0.45">
      <c r="I335" t="s">
        <v>347</v>
      </c>
      <c r="M335" t="s">
        <v>5850</v>
      </c>
    </row>
    <row r="336" spans="9:13" x14ac:dyDescent="0.45">
      <c r="I336" t="s">
        <v>4282</v>
      </c>
      <c r="M336" t="s">
        <v>3045</v>
      </c>
    </row>
    <row r="337" spans="9:13" x14ac:dyDescent="0.45">
      <c r="I337" t="s">
        <v>4283</v>
      </c>
      <c r="M337" t="s">
        <v>5851</v>
      </c>
    </row>
    <row r="338" spans="9:13" x14ac:dyDescent="0.45">
      <c r="I338" t="s">
        <v>4284</v>
      </c>
      <c r="M338" t="s">
        <v>5852</v>
      </c>
    </row>
    <row r="339" spans="9:13" x14ac:dyDescent="0.45">
      <c r="I339" t="s">
        <v>4285</v>
      </c>
      <c r="M339" t="s">
        <v>5853</v>
      </c>
    </row>
    <row r="340" spans="9:13" x14ac:dyDescent="0.45">
      <c r="I340" t="s">
        <v>4268</v>
      </c>
      <c r="M340" t="s">
        <v>5854</v>
      </c>
    </row>
    <row r="341" spans="9:13" x14ac:dyDescent="0.45">
      <c r="I341" t="s">
        <v>4306</v>
      </c>
      <c r="M341" t="s">
        <v>3046</v>
      </c>
    </row>
    <row r="342" spans="9:13" x14ac:dyDescent="0.45">
      <c r="I342" t="s">
        <v>4307</v>
      </c>
      <c r="M342" t="s">
        <v>3047</v>
      </c>
    </row>
    <row r="343" spans="9:13" x14ac:dyDescent="0.45">
      <c r="I343" t="s">
        <v>4308</v>
      </c>
      <c r="M343" t="s">
        <v>3776</v>
      </c>
    </row>
    <row r="344" spans="9:13" x14ac:dyDescent="0.45">
      <c r="I344" t="s">
        <v>4309</v>
      </c>
      <c r="M344" t="s">
        <v>5855</v>
      </c>
    </row>
    <row r="345" spans="9:13" x14ac:dyDescent="0.45">
      <c r="I345" t="s">
        <v>4333</v>
      </c>
      <c r="M345" t="s">
        <v>3048</v>
      </c>
    </row>
    <row r="346" spans="9:13" x14ac:dyDescent="0.45">
      <c r="I346" t="s">
        <v>4269</v>
      </c>
      <c r="M346" t="s">
        <v>5856</v>
      </c>
    </row>
    <row r="347" spans="9:13" x14ac:dyDescent="0.45">
      <c r="I347" t="s">
        <v>349</v>
      </c>
      <c r="M347" t="s">
        <v>3049</v>
      </c>
    </row>
    <row r="348" spans="9:13" x14ac:dyDescent="0.45">
      <c r="I348" t="s">
        <v>4354</v>
      </c>
      <c r="M348" t="s">
        <v>5857</v>
      </c>
    </row>
    <row r="349" spans="9:13" x14ac:dyDescent="0.45">
      <c r="I349" t="s">
        <v>4355</v>
      </c>
      <c r="M349" t="s">
        <v>5858</v>
      </c>
    </row>
    <row r="350" spans="9:13" x14ac:dyDescent="0.45">
      <c r="I350" t="s">
        <v>4356</v>
      </c>
      <c r="M350" t="s">
        <v>3050</v>
      </c>
    </row>
    <row r="351" spans="9:13" x14ac:dyDescent="0.45">
      <c r="I351" t="s">
        <v>4357</v>
      </c>
      <c r="M351" t="s">
        <v>3051</v>
      </c>
    </row>
    <row r="352" spans="9:13" x14ac:dyDescent="0.45">
      <c r="I352" t="s">
        <v>350</v>
      </c>
      <c r="M352" t="s">
        <v>3106</v>
      </c>
    </row>
    <row r="353" spans="9:13" x14ac:dyDescent="0.45">
      <c r="I353" t="s">
        <v>351</v>
      </c>
      <c r="M353" t="s">
        <v>3107</v>
      </c>
    </row>
    <row r="354" spans="9:13" x14ac:dyDescent="0.45">
      <c r="I354" t="s">
        <v>4358</v>
      </c>
      <c r="M354" t="s">
        <v>3375</v>
      </c>
    </row>
    <row r="355" spans="9:13" x14ac:dyDescent="0.45">
      <c r="I355" t="s">
        <v>4359</v>
      </c>
      <c r="M355" t="s">
        <v>5859</v>
      </c>
    </row>
    <row r="356" spans="9:13" x14ac:dyDescent="0.45">
      <c r="I356" t="s">
        <v>4360</v>
      </c>
      <c r="M356" t="s">
        <v>5860</v>
      </c>
    </row>
    <row r="357" spans="9:13" x14ac:dyDescent="0.45">
      <c r="I357" t="s">
        <v>352</v>
      </c>
      <c r="M357" t="s">
        <v>797</v>
      </c>
    </row>
    <row r="358" spans="9:13" x14ac:dyDescent="0.45">
      <c r="I358" t="s">
        <v>353</v>
      </c>
      <c r="M358" t="s">
        <v>5861</v>
      </c>
    </row>
    <row r="359" spans="9:13" x14ac:dyDescent="0.45">
      <c r="I359" t="s">
        <v>4389</v>
      </c>
      <c r="M359" t="s">
        <v>3376</v>
      </c>
    </row>
    <row r="360" spans="9:13" x14ac:dyDescent="0.45">
      <c r="I360" t="s">
        <v>4390</v>
      </c>
      <c r="M360" t="s">
        <v>3377</v>
      </c>
    </row>
    <row r="361" spans="9:13" x14ac:dyDescent="0.45">
      <c r="I361" t="s">
        <v>5899</v>
      </c>
      <c r="M361" t="s">
        <v>3378</v>
      </c>
    </row>
    <row r="362" spans="9:13" x14ac:dyDescent="0.45">
      <c r="I362" t="s">
        <v>4419</v>
      </c>
      <c r="M362" t="s">
        <v>3379</v>
      </c>
    </row>
    <row r="363" spans="9:13" x14ac:dyDescent="0.45">
      <c r="I363" t="s">
        <v>4420</v>
      </c>
      <c r="M363" t="s">
        <v>2903</v>
      </c>
    </row>
    <row r="364" spans="9:13" x14ac:dyDescent="0.45">
      <c r="I364" t="s">
        <v>4421</v>
      </c>
      <c r="M364" t="s">
        <v>2904</v>
      </c>
    </row>
    <row r="365" spans="9:13" x14ac:dyDescent="0.45">
      <c r="I365" t="s">
        <v>354</v>
      </c>
      <c r="M365" t="s">
        <v>3681</v>
      </c>
    </row>
    <row r="366" spans="9:13" x14ac:dyDescent="0.45">
      <c r="I366" t="s">
        <v>4267</v>
      </c>
      <c r="M366" t="s">
        <v>3687</v>
      </c>
    </row>
    <row r="367" spans="9:13" x14ac:dyDescent="0.45">
      <c r="I367" t="s">
        <v>4444</v>
      </c>
      <c r="M367" t="s">
        <v>2905</v>
      </c>
    </row>
    <row r="368" spans="9:13" x14ac:dyDescent="0.45">
      <c r="I368" t="s">
        <v>4445</v>
      </c>
      <c r="M368" t="s">
        <v>5862</v>
      </c>
    </row>
    <row r="369" spans="9:13" x14ac:dyDescent="0.45">
      <c r="I369" t="s">
        <v>355</v>
      </c>
      <c r="M369" t="s">
        <v>2906</v>
      </c>
    </row>
    <row r="370" spans="9:13" x14ac:dyDescent="0.45">
      <c r="I370" t="s">
        <v>4446</v>
      </c>
      <c r="M370" t="s">
        <v>5863</v>
      </c>
    </row>
    <row r="371" spans="9:13" x14ac:dyDescent="0.45">
      <c r="I371" t="s">
        <v>4578</v>
      </c>
      <c r="M371" t="s">
        <v>2907</v>
      </c>
    </row>
    <row r="372" spans="9:13" x14ac:dyDescent="0.45">
      <c r="I372" t="s">
        <v>356</v>
      </c>
      <c r="M372" t="s">
        <v>2908</v>
      </c>
    </row>
    <row r="373" spans="9:13" x14ac:dyDescent="0.45">
      <c r="I373" t="s">
        <v>4579</v>
      </c>
      <c r="M373" t="s">
        <v>5864</v>
      </c>
    </row>
    <row r="374" spans="9:13" x14ac:dyDescent="0.45">
      <c r="I374" t="s">
        <v>4580</v>
      </c>
      <c r="M374" t="s">
        <v>5865</v>
      </c>
    </row>
    <row r="375" spans="9:13" x14ac:dyDescent="0.45">
      <c r="I375" t="s">
        <v>357</v>
      </c>
      <c r="M375" t="s">
        <v>2909</v>
      </c>
    </row>
    <row r="376" spans="9:13" x14ac:dyDescent="0.45">
      <c r="I376" t="s">
        <v>4617</v>
      </c>
      <c r="M376" t="s">
        <v>2910</v>
      </c>
    </row>
    <row r="377" spans="9:13" x14ac:dyDescent="0.45">
      <c r="I377" t="s">
        <v>358</v>
      </c>
      <c r="M377" t="s">
        <v>2966</v>
      </c>
    </row>
    <row r="378" spans="9:13" x14ac:dyDescent="0.45">
      <c r="I378" t="s">
        <v>359</v>
      </c>
      <c r="M378" t="s">
        <v>2967</v>
      </c>
    </row>
    <row r="379" spans="9:13" x14ac:dyDescent="0.45">
      <c r="I379" t="s">
        <v>360</v>
      </c>
      <c r="M379" t="s">
        <v>5866</v>
      </c>
    </row>
    <row r="380" spans="9:13" x14ac:dyDescent="0.45">
      <c r="I380" t="s">
        <v>361</v>
      </c>
      <c r="M380" t="s">
        <v>5867</v>
      </c>
    </row>
    <row r="381" spans="9:13" x14ac:dyDescent="0.45">
      <c r="I381" t="s">
        <v>4270</v>
      </c>
      <c r="M381" t="s">
        <v>5868</v>
      </c>
    </row>
    <row r="382" spans="9:13" x14ac:dyDescent="0.45">
      <c r="I382" t="s">
        <v>4637</v>
      </c>
      <c r="M382" t="s">
        <v>3744</v>
      </c>
    </row>
    <row r="383" spans="9:13" x14ac:dyDescent="0.45">
      <c r="I383" t="s">
        <v>4638</v>
      </c>
      <c r="M383" t="s">
        <v>5869</v>
      </c>
    </row>
    <row r="384" spans="9:13" x14ac:dyDescent="0.45">
      <c r="I384" t="s">
        <v>4670</v>
      </c>
      <c r="M384" t="s">
        <v>2968</v>
      </c>
    </row>
    <row r="385" spans="9:13" x14ac:dyDescent="0.45">
      <c r="I385" t="s">
        <v>362</v>
      </c>
      <c r="M385" t="s">
        <v>2969</v>
      </c>
    </row>
    <row r="386" spans="9:13" x14ac:dyDescent="0.45">
      <c r="I386" t="s">
        <v>4671</v>
      </c>
      <c r="M386" t="s">
        <v>2970</v>
      </c>
    </row>
    <row r="387" spans="9:13" x14ac:dyDescent="0.45">
      <c r="I387" t="s">
        <v>363</v>
      </c>
      <c r="M387" t="s">
        <v>3024</v>
      </c>
    </row>
    <row r="388" spans="9:13" x14ac:dyDescent="0.45">
      <c r="I388" t="s">
        <v>364</v>
      </c>
      <c r="M388" t="s">
        <v>3025</v>
      </c>
    </row>
    <row r="389" spans="9:13" x14ac:dyDescent="0.45">
      <c r="I389" t="s">
        <v>4700</v>
      </c>
      <c r="M389" t="s">
        <v>798</v>
      </c>
    </row>
    <row r="390" spans="9:13" x14ac:dyDescent="0.45">
      <c r="I390" t="s">
        <v>365</v>
      </c>
      <c r="M390" t="s">
        <v>3809</v>
      </c>
    </row>
    <row r="391" spans="9:13" x14ac:dyDescent="0.45">
      <c r="I391" t="s">
        <v>4701</v>
      </c>
      <c r="M391" t="s">
        <v>3026</v>
      </c>
    </row>
    <row r="392" spans="9:13" x14ac:dyDescent="0.45">
      <c r="I392" t="s">
        <v>4702</v>
      </c>
      <c r="M392" t="s">
        <v>3027</v>
      </c>
    </row>
    <row r="393" spans="9:13" x14ac:dyDescent="0.45">
      <c r="I393" t="s">
        <v>4569</v>
      </c>
      <c r="M393" t="s">
        <v>3028</v>
      </c>
    </row>
    <row r="394" spans="9:13" x14ac:dyDescent="0.45">
      <c r="I394" t="s">
        <v>4281</v>
      </c>
      <c r="M394" t="s">
        <v>5870</v>
      </c>
    </row>
    <row r="395" spans="9:13" x14ac:dyDescent="0.45">
      <c r="I395" t="s">
        <v>367</v>
      </c>
      <c r="M395" t="s">
        <v>3029</v>
      </c>
    </row>
    <row r="396" spans="9:13" x14ac:dyDescent="0.45">
      <c r="I396" t="s">
        <v>368</v>
      </c>
      <c r="M396" t="s">
        <v>3030</v>
      </c>
    </row>
    <row r="397" spans="9:13" x14ac:dyDescent="0.45">
      <c r="I397" t="s">
        <v>4246</v>
      </c>
      <c r="M397" t="s">
        <v>5311</v>
      </c>
    </row>
    <row r="398" spans="9:13" x14ac:dyDescent="0.45">
      <c r="I398" t="s">
        <v>369</v>
      </c>
      <c r="M398" t="s">
        <v>3084</v>
      </c>
    </row>
    <row r="399" spans="9:13" x14ac:dyDescent="0.45">
      <c r="I399" t="s">
        <v>370</v>
      </c>
      <c r="M399" t="s">
        <v>3085</v>
      </c>
    </row>
    <row r="400" spans="9:13" x14ac:dyDescent="0.45">
      <c r="I400" t="s">
        <v>4300</v>
      </c>
      <c r="M400" t="s">
        <v>5872</v>
      </c>
    </row>
    <row r="401" spans="9:13" x14ac:dyDescent="0.45">
      <c r="I401" t="s">
        <v>4301</v>
      </c>
      <c r="M401" t="s">
        <v>3086</v>
      </c>
    </row>
    <row r="402" spans="9:13" x14ac:dyDescent="0.45">
      <c r="I402" t="s">
        <v>4302</v>
      </c>
      <c r="M402" t="s">
        <v>3087</v>
      </c>
    </row>
    <row r="403" spans="9:13" x14ac:dyDescent="0.45">
      <c r="I403" t="s">
        <v>371</v>
      </c>
      <c r="M403" t="s">
        <v>3088</v>
      </c>
    </row>
    <row r="404" spans="9:13" x14ac:dyDescent="0.45">
      <c r="I404" t="s">
        <v>5480</v>
      </c>
      <c r="M404" t="s">
        <v>3089</v>
      </c>
    </row>
    <row r="405" spans="9:13" x14ac:dyDescent="0.45">
      <c r="I405" t="s">
        <v>4303</v>
      </c>
      <c r="M405" t="s">
        <v>178</v>
      </c>
    </row>
    <row r="406" spans="9:13" x14ac:dyDescent="0.45">
      <c r="I406" t="s">
        <v>372</v>
      </c>
      <c r="M406" t="s">
        <v>3090</v>
      </c>
    </row>
    <row r="407" spans="9:13" x14ac:dyDescent="0.45">
      <c r="I407" t="s">
        <v>373</v>
      </c>
      <c r="M407" t="s">
        <v>3091</v>
      </c>
    </row>
    <row r="408" spans="9:13" x14ac:dyDescent="0.45">
      <c r="I408" t="s">
        <v>374</v>
      </c>
      <c r="M408" t="s">
        <v>3092</v>
      </c>
    </row>
    <row r="409" spans="9:13" x14ac:dyDescent="0.45">
      <c r="I409" t="s">
        <v>4221</v>
      </c>
      <c r="M409" t="s">
        <v>5873</v>
      </c>
    </row>
    <row r="410" spans="9:13" x14ac:dyDescent="0.45">
      <c r="I410" t="s">
        <v>4304</v>
      </c>
      <c r="M410" t="s">
        <v>3093</v>
      </c>
    </row>
    <row r="411" spans="9:13" x14ac:dyDescent="0.45">
      <c r="I411" t="s">
        <v>4331</v>
      </c>
      <c r="M411" t="s">
        <v>3094</v>
      </c>
    </row>
    <row r="412" spans="9:13" x14ac:dyDescent="0.45">
      <c r="I412" t="s">
        <v>375</v>
      </c>
      <c r="M412" t="s">
        <v>3157</v>
      </c>
    </row>
    <row r="413" spans="9:13" x14ac:dyDescent="0.45">
      <c r="I413" t="s">
        <v>376</v>
      </c>
      <c r="M413" t="s">
        <v>3158</v>
      </c>
    </row>
    <row r="414" spans="9:13" x14ac:dyDescent="0.45">
      <c r="I414" t="s">
        <v>4332</v>
      </c>
      <c r="M414" t="s">
        <v>5874</v>
      </c>
    </row>
    <row r="415" spans="9:13" x14ac:dyDescent="0.45">
      <c r="I415" t="s">
        <v>4520</v>
      </c>
      <c r="M415" t="s">
        <v>5312</v>
      </c>
    </row>
    <row r="416" spans="9:13" x14ac:dyDescent="0.45">
      <c r="I416" t="s">
        <v>377</v>
      </c>
      <c r="M416" t="s">
        <v>5875</v>
      </c>
    </row>
    <row r="417" spans="9:13" x14ac:dyDescent="0.45">
      <c r="I417" t="s">
        <v>4521</v>
      </c>
      <c r="M417" t="s">
        <v>3159</v>
      </c>
    </row>
    <row r="418" spans="9:13" x14ac:dyDescent="0.45">
      <c r="I418" t="s">
        <v>378</v>
      </c>
      <c r="M418" t="s">
        <v>3160</v>
      </c>
    </row>
    <row r="419" spans="9:13" x14ac:dyDescent="0.45">
      <c r="I419" t="s">
        <v>4522</v>
      </c>
      <c r="M419" t="s">
        <v>5876</v>
      </c>
    </row>
    <row r="420" spans="9:13" x14ac:dyDescent="0.45">
      <c r="I420" t="s">
        <v>4523</v>
      </c>
      <c r="M420" t="s">
        <v>5877</v>
      </c>
    </row>
    <row r="421" spans="9:13" x14ac:dyDescent="0.45">
      <c r="I421" t="s">
        <v>4524</v>
      </c>
      <c r="M421" t="s">
        <v>3161</v>
      </c>
    </row>
    <row r="422" spans="9:13" x14ac:dyDescent="0.45">
      <c r="I422" t="s">
        <v>379</v>
      </c>
      <c r="M422" t="s">
        <v>3162</v>
      </c>
    </row>
    <row r="423" spans="9:13" x14ac:dyDescent="0.45">
      <c r="I423" t="s">
        <v>4547</v>
      </c>
      <c r="M423" t="s">
        <v>3163</v>
      </c>
    </row>
    <row r="424" spans="9:13" x14ac:dyDescent="0.45">
      <c r="I424" t="s">
        <v>4271</v>
      </c>
      <c r="M424" t="s">
        <v>3164</v>
      </c>
    </row>
    <row r="425" spans="9:13" x14ac:dyDescent="0.45">
      <c r="I425" t="s">
        <v>380</v>
      </c>
      <c r="M425" t="s">
        <v>5313</v>
      </c>
    </row>
    <row r="426" spans="9:13" x14ac:dyDescent="0.45">
      <c r="I426" t="s">
        <v>4549</v>
      </c>
      <c r="M426" t="s">
        <v>5878</v>
      </c>
    </row>
    <row r="427" spans="9:13" x14ac:dyDescent="0.45">
      <c r="I427" t="s">
        <v>4550</v>
      </c>
      <c r="M427" t="s">
        <v>3165</v>
      </c>
    </row>
    <row r="428" spans="9:13" x14ac:dyDescent="0.45">
      <c r="I428" t="s">
        <v>4551</v>
      </c>
      <c r="M428" t="s">
        <v>3166</v>
      </c>
    </row>
    <row r="429" spans="9:13" x14ac:dyDescent="0.45">
      <c r="I429" t="s">
        <v>4272</v>
      </c>
      <c r="M429" t="s">
        <v>3233</v>
      </c>
    </row>
    <row r="430" spans="9:13" x14ac:dyDescent="0.45">
      <c r="I430" t="s">
        <v>5481</v>
      </c>
      <c r="M430" t="s">
        <v>5879</v>
      </c>
    </row>
    <row r="431" spans="9:13" x14ac:dyDescent="0.45">
      <c r="I431" t="s">
        <v>381</v>
      </c>
      <c r="M431" t="s">
        <v>5880</v>
      </c>
    </row>
    <row r="432" spans="9:13" x14ac:dyDescent="0.45">
      <c r="I432" t="s">
        <v>4351</v>
      </c>
      <c r="M432" t="s">
        <v>5881</v>
      </c>
    </row>
    <row r="433" spans="9:13" x14ac:dyDescent="0.45">
      <c r="I433" t="s">
        <v>4352</v>
      </c>
      <c r="M433" t="s">
        <v>3795</v>
      </c>
    </row>
    <row r="434" spans="9:13" x14ac:dyDescent="0.45">
      <c r="I434" t="s">
        <v>4353</v>
      </c>
      <c r="M434" t="s">
        <v>5882</v>
      </c>
    </row>
    <row r="435" spans="9:13" x14ac:dyDescent="0.45">
      <c r="I435" t="s">
        <v>382</v>
      </c>
      <c r="M435" t="s">
        <v>3234</v>
      </c>
    </row>
    <row r="436" spans="9:13" x14ac:dyDescent="0.45">
      <c r="I436" t="s">
        <v>4273</v>
      </c>
      <c r="M436" t="s">
        <v>5883</v>
      </c>
    </row>
    <row r="437" spans="9:13" x14ac:dyDescent="0.45">
      <c r="I437" t="s">
        <v>4383</v>
      </c>
      <c r="M437" t="s">
        <v>3235</v>
      </c>
    </row>
    <row r="438" spans="9:13" x14ac:dyDescent="0.45">
      <c r="I438" t="s">
        <v>5941</v>
      </c>
      <c r="M438" t="s">
        <v>5884</v>
      </c>
    </row>
    <row r="439" spans="9:13" x14ac:dyDescent="0.45">
      <c r="I439" t="s">
        <v>383</v>
      </c>
      <c r="M439" t="s">
        <v>3236</v>
      </c>
    </row>
    <row r="440" spans="9:13" x14ac:dyDescent="0.45">
      <c r="I440" t="s">
        <v>5944</v>
      </c>
      <c r="M440" t="s">
        <v>3237</v>
      </c>
    </row>
    <row r="441" spans="9:13" x14ac:dyDescent="0.45">
      <c r="I441" t="s">
        <v>4384</v>
      </c>
      <c r="M441" t="s">
        <v>3238</v>
      </c>
    </row>
    <row r="442" spans="9:13" x14ac:dyDescent="0.45">
      <c r="I442" t="s">
        <v>4408</v>
      </c>
      <c r="M442" t="s">
        <v>3239</v>
      </c>
    </row>
    <row r="443" spans="9:13" x14ac:dyDescent="0.45">
      <c r="I443" t="s">
        <v>4409</v>
      </c>
      <c r="M443" t="s">
        <v>3240</v>
      </c>
    </row>
    <row r="444" spans="9:13" x14ac:dyDescent="0.45">
      <c r="I444" t="s">
        <v>4410</v>
      </c>
      <c r="M444" t="s">
        <v>3301</v>
      </c>
    </row>
    <row r="445" spans="9:13" x14ac:dyDescent="0.45">
      <c r="I445" t="s">
        <v>4411</v>
      </c>
      <c r="M445" t="s">
        <v>3302</v>
      </c>
    </row>
    <row r="446" spans="9:13" x14ac:dyDescent="0.45">
      <c r="I446" t="s">
        <v>4412</v>
      </c>
      <c r="M446" t="s">
        <v>5885</v>
      </c>
    </row>
    <row r="447" spans="9:13" x14ac:dyDescent="0.45">
      <c r="I447" t="s">
        <v>4413</v>
      </c>
      <c r="M447" t="s">
        <v>3303</v>
      </c>
    </row>
    <row r="448" spans="9:13" x14ac:dyDescent="0.45">
      <c r="I448" t="s">
        <v>4414</v>
      </c>
      <c r="M448" t="s">
        <v>3304</v>
      </c>
    </row>
    <row r="449" spans="9:13" x14ac:dyDescent="0.45">
      <c r="I449" t="s">
        <v>4415</v>
      </c>
      <c r="M449" t="s">
        <v>3305</v>
      </c>
    </row>
    <row r="450" spans="9:13" x14ac:dyDescent="0.45">
      <c r="I450" t="s">
        <v>4416</v>
      </c>
      <c r="M450" t="s">
        <v>3306</v>
      </c>
    </row>
    <row r="451" spans="9:13" x14ac:dyDescent="0.45">
      <c r="I451" t="s">
        <v>4417</v>
      </c>
      <c r="M451" t="s">
        <v>3307</v>
      </c>
    </row>
    <row r="452" spans="9:13" x14ac:dyDescent="0.45">
      <c r="I452" t="s">
        <v>4663</v>
      </c>
      <c r="M452" t="s">
        <v>2619</v>
      </c>
    </row>
    <row r="453" spans="9:13" x14ac:dyDescent="0.45">
      <c r="I453" t="s">
        <v>384</v>
      </c>
      <c r="M453" t="s">
        <v>5886</v>
      </c>
    </row>
    <row r="454" spans="9:13" x14ac:dyDescent="0.45">
      <c r="I454" t="s">
        <v>4440</v>
      </c>
      <c r="M454" t="s">
        <v>5887</v>
      </c>
    </row>
    <row r="455" spans="9:13" x14ac:dyDescent="0.45">
      <c r="I455" t="s">
        <v>385</v>
      </c>
      <c r="M455" t="s">
        <v>5888</v>
      </c>
    </row>
    <row r="456" spans="9:13" x14ac:dyDescent="0.45">
      <c r="I456" t="s">
        <v>4441</v>
      </c>
      <c r="M456" t="s">
        <v>2867</v>
      </c>
    </row>
    <row r="457" spans="9:13" x14ac:dyDescent="0.45">
      <c r="I457" t="s">
        <v>4474</v>
      </c>
      <c r="M457" t="s">
        <v>2868</v>
      </c>
    </row>
    <row r="458" spans="9:13" x14ac:dyDescent="0.45">
      <c r="I458" t="s">
        <v>4475</v>
      </c>
      <c r="M458" t="s">
        <v>5889</v>
      </c>
    </row>
    <row r="459" spans="9:13" x14ac:dyDescent="0.45">
      <c r="I459" t="s">
        <v>4476</v>
      </c>
      <c r="M459" t="s">
        <v>2869</v>
      </c>
    </row>
    <row r="460" spans="9:13" x14ac:dyDescent="0.45">
      <c r="I460" t="s">
        <v>4477</v>
      </c>
      <c r="M460" t="s">
        <v>2870</v>
      </c>
    </row>
    <row r="461" spans="9:13" x14ac:dyDescent="0.45">
      <c r="I461" t="s">
        <v>386</v>
      </c>
      <c r="M461" t="s">
        <v>3784</v>
      </c>
    </row>
    <row r="462" spans="9:13" x14ac:dyDescent="0.45">
      <c r="I462" t="s">
        <v>4501</v>
      </c>
      <c r="M462" t="s">
        <v>2871</v>
      </c>
    </row>
    <row r="463" spans="9:13" x14ac:dyDescent="0.45">
      <c r="I463" t="s">
        <v>4502</v>
      </c>
      <c r="M463" t="s">
        <v>5890</v>
      </c>
    </row>
    <row r="464" spans="9:13" x14ac:dyDescent="0.45">
      <c r="I464" t="s">
        <v>4668</v>
      </c>
      <c r="M464" t="s">
        <v>2872</v>
      </c>
    </row>
    <row r="465" spans="9:13" x14ac:dyDescent="0.45">
      <c r="I465" t="s">
        <v>4669</v>
      </c>
      <c r="M465" t="s">
        <v>2873</v>
      </c>
    </row>
    <row r="466" spans="9:13" x14ac:dyDescent="0.45">
      <c r="I466" t="s">
        <v>4695</v>
      </c>
      <c r="M466" t="s">
        <v>2553</v>
      </c>
    </row>
    <row r="467" spans="9:13" x14ac:dyDescent="0.45">
      <c r="I467" t="s">
        <v>387</v>
      </c>
      <c r="M467" t="s">
        <v>5891</v>
      </c>
    </row>
    <row r="468" spans="9:13" x14ac:dyDescent="0.45">
      <c r="I468" t="s">
        <v>4696</v>
      </c>
      <c r="M468" t="s">
        <v>2874</v>
      </c>
    </row>
    <row r="469" spans="9:13" x14ac:dyDescent="0.45">
      <c r="I469" t="s">
        <v>4278</v>
      </c>
      <c r="M469" t="s">
        <v>3753</v>
      </c>
    </row>
    <row r="470" spans="9:13" x14ac:dyDescent="0.45">
      <c r="I470" t="s">
        <v>388</v>
      </c>
      <c r="M470" t="s">
        <v>3204</v>
      </c>
    </row>
    <row r="471" spans="9:13" x14ac:dyDescent="0.45">
      <c r="I471" t="s">
        <v>389</v>
      </c>
      <c r="M471" t="s">
        <v>3205</v>
      </c>
    </row>
    <row r="472" spans="9:13" x14ac:dyDescent="0.45">
      <c r="I472" t="s">
        <v>4279</v>
      </c>
      <c r="M472" t="s">
        <v>3206</v>
      </c>
    </row>
    <row r="473" spans="9:13" x14ac:dyDescent="0.45">
      <c r="I473" t="s">
        <v>390</v>
      </c>
      <c r="M473" t="s">
        <v>5892</v>
      </c>
    </row>
    <row r="474" spans="9:13" x14ac:dyDescent="0.45">
      <c r="I474" t="s">
        <v>391</v>
      </c>
      <c r="M474" t="s">
        <v>3207</v>
      </c>
    </row>
    <row r="475" spans="9:13" x14ac:dyDescent="0.45">
      <c r="I475" t="s">
        <v>4280</v>
      </c>
      <c r="M475" t="s">
        <v>5893</v>
      </c>
    </row>
    <row r="476" spans="9:13" x14ac:dyDescent="0.45">
      <c r="I476" t="s">
        <v>4296</v>
      </c>
      <c r="M476" t="s">
        <v>3208</v>
      </c>
    </row>
    <row r="477" spans="9:13" x14ac:dyDescent="0.45">
      <c r="I477" t="s">
        <v>4274</v>
      </c>
      <c r="M477" t="s">
        <v>3209</v>
      </c>
    </row>
    <row r="478" spans="9:13" x14ac:dyDescent="0.45">
      <c r="I478" t="s">
        <v>4297</v>
      </c>
      <c r="M478" t="s">
        <v>3270</v>
      </c>
    </row>
    <row r="479" spans="9:13" x14ac:dyDescent="0.45">
      <c r="I479" t="s">
        <v>4258</v>
      </c>
      <c r="M479" t="s">
        <v>3271</v>
      </c>
    </row>
    <row r="480" spans="9:13" x14ac:dyDescent="0.45">
      <c r="I480" t="s">
        <v>4298</v>
      </c>
      <c r="M480" t="s">
        <v>3272</v>
      </c>
    </row>
    <row r="481" spans="9:13" x14ac:dyDescent="0.45">
      <c r="I481" t="s">
        <v>4299</v>
      </c>
      <c r="M481" t="s">
        <v>3273</v>
      </c>
    </row>
    <row r="482" spans="9:13" x14ac:dyDescent="0.45">
      <c r="I482" t="s">
        <v>4328</v>
      </c>
      <c r="M482" t="s">
        <v>3274</v>
      </c>
    </row>
    <row r="483" spans="9:13" x14ac:dyDescent="0.45">
      <c r="I483" t="s">
        <v>4329</v>
      </c>
      <c r="M483" t="s">
        <v>3275</v>
      </c>
    </row>
    <row r="484" spans="9:13" x14ac:dyDescent="0.45">
      <c r="I484" t="s">
        <v>4330</v>
      </c>
      <c r="M484" t="s">
        <v>3276</v>
      </c>
    </row>
    <row r="485" spans="9:13" x14ac:dyDescent="0.45">
      <c r="I485" t="s">
        <v>4247</v>
      </c>
      <c r="M485" t="s">
        <v>3342</v>
      </c>
    </row>
    <row r="486" spans="9:13" x14ac:dyDescent="0.45">
      <c r="I486" t="s">
        <v>4347</v>
      </c>
      <c r="M486" t="s">
        <v>5894</v>
      </c>
    </row>
    <row r="487" spans="9:13" x14ac:dyDescent="0.45">
      <c r="I487" t="s">
        <v>392</v>
      </c>
      <c r="M487" t="s">
        <v>5895</v>
      </c>
    </row>
    <row r="488" spans="9:13" x14ac:dyDescent="0.45">
      <c r="I488" t="s">
        <v>4348</v>
      </c>
      <c r="M488" t="s">
        <v>3343</v>
      </c>
    </row>
    <row r="489" spans="9:13" x14ac:dyDescent="0.45">
      <c r="I489" t="s">
        <v>4349</v>
      </c>
      <c r="M489" t="s">
        <v>5896</v>
      </c>
    </row>
    <row r="490" spans="9:13" x14ac:dyDescent="0.45">
      <c r="I490" t="s">
        <v>5484</v>
      </c>
      <c r="M490" t="s">
        <v>5897</v>
      </c>
    </row>
    <row r="491" spans="9:13" x14ac:dyDescent="0.45">
      <c r="I491" t="s">
        <v>393</v>
      </c>
      <c r="M491" t="s">
        <v>3344</v>
      </c>
    </row>
    <row r="492" spans="9:13" x14ac:dyDescent="0.45">
      <c r="I492" t="s">
        <v>4350</v>
      </c>
      <c r="M492" t="s">
        <v>5898</v>
      </c>
    </row>
    <row r="493" spans="9:13" x14ac:dyDescent="0.45">
      <c r="I493" t="s">
        <v>4380</v>
      </c>
      <c r="M493" t="s">
        <v>5900</v>
      </c>
    </row>
    <row r="494" spans="9:13" x14ac:dyDescent="0.45">
      <c r="I494" t="s">
        <v>394</v>
      </c>
      <c r="M494" t="s">
        <v>5901</v>
      </c>
    </row>
    <row r="495" spans="9:13" x14ac:dyDescent="0.45">
      <c r="I495" t="s">
        <v>4381</v>
      </c>
      <c r="M495" t="s">
        <v>3345</v>
      </c>
    </row>
    <row r="496" spans="9:13" x14ac:dyDescent="0.45">
      <c r="I496" t="s">
        <v>4275</v>
      </c>
      <c r="M496" t="s">
        <v>3346</v>
      </c>
    </row>
    <row r="497" spans="9:13" x14ac:dyDescent="0.45">
      <c r="I497" t="s">
        <v>395</v>
      </c>
      <c r="M497" t="s">
        <v>5902</v>
      </c>
    </row>
    <row r="498" spans="9:13" x14ac:dyDescent="0.45">
      <c r="I498" t="s">
        <v>396</v>
      </c>
      <c r="M498" t="s">
        <v>5903</v>
      </c>
    </row>
    <row r="499" spans="9:13" x14ac:dyDescent="0.45">
      <c r="I499" t="s">
        <v>4382</v>
      </c>
      <c r="M499" t="s">
        <v>3347</v>
      </c>
    </row>
    <row r="500" spans="9:13" x14ac:dyDescent="0.45">
      <c r="I500" t="s">
        <v>4697</v>
      </c>
      <c r="M500" t="s">
        <v>5904</v>
      </c>
    </row>
    <row r="501" spans="9:13" x14ac:dyDescent="0.45">
      <c r="I501" t="s">
        <v>397</v>
      </c>
      <c r="M501" t="s">
        <v>3348</v>
      </c>
    </row>
    <row r="502" spans="9:13" x14ac:dyDescent="0.45">
      <c r="I502" t="s">
        <v>4698</v>
      </c>
      <c r="M502" t="s">
        <v>3349</v>
      </c>
    </row>
    <row r="503" spans="9:13" x14ac:dyDescent="0.45">
      <c r="I503" t="s">
        <v>398</v>
      </c>
      <c r="M503" t="s">
        <v>5905</v>
      </c>
    </row>
    <row r="504" spans="9:13" x14ac:dyDescent="0.45">
      <c r="I504" t="s">
        <v>4699</v>
      </c>
      <c r="M504" t="s">
        <v>3350</v>
      </c>
    </row>
    <row r="505" spans="9:13" x14ac:dyDescent="0.45">
      <c r="I505" t="s">
        <v>399</v>
      </c>
      <c r="M505" t="s">
        <v>3351</v>
      </c>
    </row>
    <row r="506" spans="9:13" x14ac:dyDescent="0.45">
      <c r="I506" t="s">
        <v>5485</v>
      </c>
      <c r="M506" t="s">
        <v>3426</v>
      </c>
    </row>
    <row r="507" spans="9:13" x14ac:dyDescent="0.45">
      <c r="I507" t="s">
        <v>400</v>
      </c>
      <c r="M507" t="s">
        <v>3427</v>
      </c>
    </row>
    <row r="508" spans="9:13" x14ac:dyDescent="0.45">
      <c r="I508" t="s">
        <v>401</v>
      </c>
      <c r="M508" t="s">
        <v>3428</v>
      </c>
    </row>
    <row r="509" spans="9:13" x14ac:dyDescent="0.45">
      <c r="I509" t="s">
        <v>402</v>
      </c>
      <c r="M509" t="s">
        <v>3429</v>
      </c>
    </row>
    <row r="510" spans="9:13" x14ac:dyDescent="0.45">
      <c r="I510" t="s">
        <v>403</v>
      </c>
      <c r="M510" t="s">
        <v>3430</v>
      </c>
    </row>
    <row r="511" spans="9:13" x14ac:dyDescent="0.45">
      <c r="I511" t="s">
        <v>4531</v>
      </c>
      <c r="M511" t="s">
        <v>3431</v>
      </c>
    </row>
    <row r="512" spans="9:13" x14ac:dyDescent="0.45">
      <c r="I512" t="s">
        <v>4277</v>
      </c>
      <c r="M512" t="s">
        <v>5906</v>
      </c>
    </row>
    <row r="513" spans="9:13" x14ac:dyDescent="0.45">
      <c r="I513" t="s">
        <v>4532</v>
      </c>
      <c r="M513" t="s">
        <v>5907</v>
      </c>
    </row>
    <row r="514" spans="9:13" x14ac:dyDescent="0.45">
      <c r="I514" t="s">
        <v>4533</v>
      </c>
      <c r="M514" t="s">
        <v>5908</v>
      </c>
    </row>
    <row r="515" spans="9:13" x14ac:dyDescent="0.45">
      <c r="I515" t="s">
        <v>4534</v>
      </c>
      <c r="M515" t="s">
        <v>5909</v>
      </c>
    </row>
    <row r="516" spans="9:13" x14ac:dyDescent="0.45">
      <c r="I516" t="s">
        <v>4535</v>
      </c>
      <c r="M516" t="s">
        <v>5910</v>
      </c>
    </row>
    <row r="517" spans="9:13" x14ac:dyDescent="0.45">
      <c r="I517" t="s">
        <v>4557</v>
      </c>
      <c r="M517" t="s">
        <v>3432</v>
      </c>
    </row>
    <row r="518" spans="9:13" x14ac:dyDescent="0.45">
      <c r="I518" t="s">
        <v>407</v>
      </c>
      <c r="M518" t="s">
        <v>179</v>
      </c>
    </row>
    <row r="519" spans="9:13" x14ac:dyDescent="0.45">
      <c r="I519" t="s">
        <v>4590</v>
      </c>
      <c r="M519" t="s">
        <v>3433</v>
      </c>
    </row>
    <row r="520" spans="9:13" x14ac:dyDescent="0.45">
      <c r="I520" t="s">
        <v>408</v>
      </c>
      <c r="M520" t="s">
        <v>3434</v>
      </c>
    </row>
    <row r="521" spans="9:13" x14ac:dyDescent="0.45">
      <c r="I521" t="s">
        <v>409</v>
      </c>
      <c r="M521" t="s">
        <v>5911</v>
      </c>
    </row>
    <row r="522" spans="9:13" x14ac:dyDescent="0.45">
      <c r="I522" t="s">
        <v>4591</v>
      </c>
      <c r="M522" t="s">
        <v>3435</v>
      </c>
    </row>
    <row r="523" spans="9:13" x14ac:dyDescent="0.45">
      <c r="I523" t="s">
        <v>405</v>
      </c>
      <c r="M523" t="s">
        <v>3436</v>
      </c>
    </row>
    <row r="524" spans="9:13" x14ac:dyDescent="0.45">
      <c r="I524" t="s">
        <v>4592</v>
      </c>
      <c r="M524" t="s">
        <v>3703</v>
      </c>
    </row>
    <row r="525" spans="9:13" x14ac:dyDescent="0.45">
      <c r="I525" t="s">
        <v>410</v>
      </c>
      <c r="M525" t="s">
        <v>3742</v>
      </c>
    </row>
    <row r="526" spans="9:13" x14ac:dyDescent="0.45">
      <c r="I526" t="s">
        <v>4624</v>
      </c>
      <c r="M526" t="s">
        <v>3500</v>
      </c>
    </row>
    <row r="527" spans="9:13" x14ac:dyDescent="0.45">
      <c r="I527" t="s">
        <v>6002</v>
      </c>
      <c r="M527" t="s">
        <v>3501</v>
      </c>
    </row>
    <row r="528" spans="9:13" x14ac:dyDescent="0.45">
      <c r="I528" t="s">
        <v>411</v>
      </c>
      <c r="M528" t="s">
        <v>3502</v>
      </c>
    </row>
    <row r="529" spans="9:13" x14ac:dyDescent="0.45">
      <c r="I529" t="s">
        <v>4649</v>
      </c>
      <c r="M529" t="s">
        <v>3503</v>
      </c>
    </row>
    <row r="530" spans="9:13" x14ac:dyDescent="0.45">
      <c r="I530" t="s">
        <v>4650</v>
      </c>
      <c r="M530" t="s">
        <v>3504</v>
      </c>
    </row>
    <row r="531" spans="9:13" x14ac:dyDescent="0.45">
      <c r="I531" t="s">
        <v>4651</v>
      </c>
      <c r="M531" t="s">
        <v>5912</v>
      </c>
    </row>
    <row r="532" spans="9:13" x14ac:dyDescent="0.45">
      <c r="I532" t="s">
        <v>412</v>
      </c>
      <c r="M532" t="s">
        <v>3505</v>
      </c>
    </row>
    <row r="533" spans="9:13" x14ac:dyDescent="0.45">
      <c r="I533" t="s">
        <v>413</v>
      </c>
      <c r="M533" t="s">
        <v>3674</v>
      </c>
    </row>
    <row r="534" spans="9:13" x14ac:dyDescent="0.45">
      <c r="I534" t="s">
        <v>414</v>
      </c>
      <c r="M534" t="s">
        <v>3506</v>
      </c>
    </row>
    <row r="535" spans="9:13" x14ac:dyDescent="0.45">
      <c r="I535" t="s">
        <v>4676</v>
      </c>
      <c r="M535" t="s">
        <v>3565</v>
      </c>
    </row>
    <row r="536" spans="9:13" x14ac:dyDescent="0.45">
      <c r="I536" t="s">
        <v>415</v>
      </c>
      <c r="M536" t="s">
        <v>3560</v>
      </c>
    </row>
    <row r="537" spans="9:13" x14ac:dyDescent="0.45">
      <c r="I537" t="s">
        <v>4248</v>
      </c>
      <c r="M537" t="s">
        <v>3561</v>
      </c>
    </row>
    <row r="538" spans="9:13" x14ac:dyDescent="0.45">
      <c r="I538" t="s">
        <v>4677</v>
      </c>
      <c r="M538" t="s">
        <v>5913</v>
      </c>
    </row>
    <row r="539" spans="9:13" x14ac:dyDescent="0.45">
      <c r="I539" t="s">
        <v>4705</v>
      </c>
      <c r="M539" t="s">
        <v>5914</v>
      </c>
    </row>
    <row r="540" spans="9:13" x14ac:dyDescent="0.45">
      <c r="I540" t="s">
        <v>416</v>
      </c>
      <c r="M540" t="s">
        <v>3562</v>
      </c>
    </row>
    <row r="541" spans="9:13" x14ac:dyDescent="0.45">
      <c r="I541" t="s">
        <v>4706</v>
      </c>
      <c r="M541" t="s">
        <v>3563</v>
      </c>
    </row>
    <row r="542" spans="9:13" x14ac:dyDescent="0.45">
      <c r="I542" t="s">
        <v>4707</v>
      </c>
      <c r="M542" t="s">
        <v>3564</v>
      </c>
    </row>
    <row r="543" spans="9:13" x14ac:dyDescent="0.45">
      <c r="I543" t="s">
        <v>4708</v>
      </c>
      <c r="M543" t="s">
        <v>5915</v>
      </c>
    </row>
    <row r="544" spans="9:13" x14ac:dyDescent="0.45">
      <c r="I544" t="s">
        <v>4709</v>
      </c>
      <c r="M544" t="s">
        <v>5916</v>
      </c>
    </row>
    <row r="545" spans="9:13" x14ac:dyDescent="0.45">
      <c r="I545" t="s">
        <v>417</v>
      </c>
      <c r="M545" t="s">
        <v>5917</v>
      </c>
    </row>
    <row r="546" spans="9:13" x14ac:dyDescent="0.45">
      <c r="I546" t="s">
        <v>4286</v>
      </c>
      <c r="M546" t="s">
        <v>3392</v>
      </c>
    </row>
    <row r="547" spans="9:13" x14ac:dyDescent="0.45">
      <c r="I547" t="s">
        <v>4287</v>
      </c>
      <c r="M547" t="s">
        <v>5918</v>
      </c>
    </row>
    <row r="548" spans="9:13" x14ac:dyDescent="0.45">
      <c r="I548" t="s">
        <v>418</v>
      </c>
      <c r="M548" t="s">
        <v>3566</v>
      </c>
    </row>
    <row r="549" spans="9:13" x14ac:dyDescent="0.45">
      <c r="I549" t="s">
        <v>419</v>
      </c>
      <c r="M549" t="s">
        <v>3630</v>
      </c>
    </row>
    <row r="550" spans="9:13" x14ac:dyDescent="0.45">
      <c r="I550" t="s">
        <v>420</v>
      </c>
      <c r="M550" t="s">
        <v>3631</v>
      </c>
    </row>
    <row r="551" spans="9:13" x14ac:dyDescent="0.45">
      <c r="I551" t="s">
        <v>421</v>
      </c>
      <c r="M551" t="s">
        <v>3632</v>
      </c>
    </row>
    <row r="552" spans="9:13" x14ac:dyDescent="0.45">
      <c r="I552" t="s">
        <v>4468</v>
      </c>
      <c r="M552" t="s">
        <v>222</v>
      </c>
    </row>
    <row r="553" spans="9:13" x14ac:dyDescent="0.45">
      <c r="I553" t="s">
        <v>4469</v>
      </c>
      <c r="M553" t="s">
        <v>3633</v>
      </c>
    </row>
    <row r="554" spans="9:13" x14ac:dyDescent="0.45">
      <c r="I554" t="s">
        <v>4490</v>
      </c>
      <c r="M554" t="s">
        <v>3634</v>
      </c>
    </row>
    <row r="555" spans="9:13" x14ac:dyDescent="0.45">
      <c r="I555" t="s">
        <v>422</v>
      </c>
      <c r="M555" t="s">
        <v>3635</v>
      </c>
    </row>
    <row r="556" spans="9:13" x14ac:dyDescent="0.45">
      <c r="I556" t="s">
        <v>4491</v>
      </c>
      <c r="M556" t="s">
        <v>180</v>
      </c>
    </row>
    <row r="557" spans="9:13" x14ac:dyDescent="0.45">
      <c r="I557" t="s">
        <v>4492</v>
      </c>
      <c r="M557" t="s">
        <v>5314</v>
      </c>
    </row>
    <row r="558" spans="9:13" x14ac:dyDescent="0.45">
      <c r="I558" t="s">
        <v>4493</v>
      </c>
      <c r="M558" t="s">
        <v>3636</v>
      </c>
    </row>
    <row r="559" spans="9:13" x14ac:dyDescent="0.45">
      <c r="I559" t="s">
        <v>423</v>
      </c>
      <c r="M559" t="s">
        <v>5920</v>
      </c>
    </row>
    <row r="560" spans="9:13" x14ac:dyDescent="0.45">
      <c r="I560" t="s">
        <v>424</v>
      </c>
      <c r="M560" t="s">
        <v>5921</v>
      </c>
    </row>
    <row r="561" spans="9:13" x14ac:dyDescent="0.45">
      <c r="I561" t="s">
        <v>4494</v>
      </c>
      <c r="M561" t="s">
        <v>5922</v>
      </c>
    </row>
    <row r="562" spans="9:13" x14ac:dyDescent="0.45">
      <c r="I562" t="s">
        <v>425</v>
      </c>
      <c r="M562" t="s">
        <v>3150</v>
      </c>
    </row>
    <row r="563" spans="9:13" x14ac:dyDescent="0.45">
      <c r="I563" t="s">
        <v>4495</v>
      </c>
      <c r="M563" t="s">
        <v>3151</v>
      </c>
    </row>
    <row r="564" spans="9:13" x14ac:dyDescent="0.45">
      <c r="I564" t="s">
        <v>4515</v>
      </c>
      <c r="M564" t="s">
        <v>5923</v>
      </c>
    </row>
    <row r="565" spans="9:13" x14ac:dyDescent="0.45">
      <c r="I565" t="s">
        <v>4516</v>
      </c>
      <c r="M565" t="s">
        <v>5924</v>
      </c>
    </row>
    <row r="566" spans="9:13" x14ac:dyDescent="0.45">
      <c r="I566" t="s">
        <v>4540</v>
      </c>
      <c r="M566" t="s">
        <v>5925</v>
      </c>
    </row>
    <row r="567" spans="9:13" x14ac:dyDescent="0.45">
      <c r="I567" t="s">
        <v>4517</v>
      </c>
      <c r="M567" t="s">
        <v>3810</v>
      </c>
    </row>
    <row r="568" spans="9:13" x14ac:dyDescent="0.45">
      <c r="I568" t="s">
        <v>4542</v>
      </c>
      <c r="M568" t="s">
        <v>5926</v>
      </c>
    </row>
    <row r="569" spans="9:13" x14ac:dyDescent="0.45">
      <c r="I569" t="s">
        <v>4543</v>
      </c>
      <c r="M569" t="s">
        <v>5927</v>
      </c>
    </row>
    <row r="570" spans="9:13" x14ac:dyDescent="0.45">
      <c r="I570" t="s">
        <v>4544</v>
      </c>
      <c r="M570" t="s">
        <v>3152</v>
      </c>
    </row>
    <row r="571" spans="9:13" x14ac:dyDescent="0.45">
      <c r="I571" t="s">
        <v>426</v>
      </c>
      <c r="M571" t="s">
        <v>3153</v>
      </c>
    </row>
    <row r="572" spans="9:13" x14ac:dyDescent="0.45">
      <c r="I572" t="s">
        <v>4222</v>
      </c>
      <c r="M572" t="s">
        <v>3154</v>
      </c>
    </row>
    <row r="573" spans="9:13" x14ac:dyDescent="0.45">
      <c r="I573" t="s">
        <v>4245</v>
      </c>
      <c r="M573" t="s">
        <v>3155</v>
      </c>
    </row>
    <row r="574" spans="9:13" x14ac:dyDescent="0.45">
      <c r="I574" t="s">
        <v>4570</v>
      </c>
      <c r="M574" t="s">
        <v>3156</v>
      </c>
    </row>
    <row r="575" spans="9:13" x14ac:dyDescent="0.45">
      <c r="I575" t="s">
        <v>4571</v>
      </c>
      <c r="M575" t="s">
        <v>3224</v>
      </c>
    </row>
    <row r="576" spans="9:13" x14ac:dyDescent="0.45">
      <c r="I576" t="s">
        <v>4572</v>
      </c>
      <c r="M576" t="s">
        <v>5928</v>
      </c>
    </row>
    <row r="577" spans="9:13" x14ac:dyDescent="0.45">
      <c r="I577" t="s">
        <v>4611</v>
      </c>
      <c r="M577" t="s">
        <v>181</v>
      </c>
    </row>
    <row r="578" spans="9:13" x14ac:dyDescent="0.45">
      <c r="I578" t="s">
        <v>428</v>
      </c>
      <c r="M578" t="s">
        <v>3225</v>
      </c>
    </row>
    <row r="579" spans="9:13" x14ac:dyDescent="0.45">
      <c r="I579" t="s">
        <v>429</v>
      </c>
      <c r="M579" t="s">
        <v>5929</v>
      </c>
    </row>
    <row r="580" spans="9:13" x14ac:dyDescent="0.45">
      <c r="I580" t="s">
        <v>430</v>
      </c>
      <c r="M580" t="s">
        <v>5930</v>
      </c>
    </row>
    <row r="581" spans="9:13" x14ac:dyDescent="0.45">
      <c r="I581" t="s">
        <v>431</v>
      </c>
      <c r="M581" t="s">
        <v>3226</v>
      </c>
    </row>
    <row r="582" spans="9:13" x14ac:dyDescent="0.45">
      <c r="I582" t="s">
        <v>4249</v>
      </c>
      <c r="M582" t="s">
        <v>3227</v>
      </c>
    </row>
    <row r="583" spans="9:13" x14ac:dyDescent="0.45">
      <c r="I583" t="s">
        <v>4612</v>
      </c>
      <c r="M583" t="s">
        <v>3228</v>
      </c>
    </row>
    <row r="584" spans="9:13" x14ac:dyDescent="0.45">
      <c r="I584" t="s">
        <v>432</v>
      </c>
      <c r="M584" t="s">
        <v>3229</v>
      </c>
    </row>
    <row r="585" spans="9:13" x14ac:dyDescent="0.45">
      <c r="I585" t="s">
        <v>4613</v>
      </c>
      <c r="M585" t="s">
        <v>3811</v>
      </c>
    </row>
    <row r="586" spans="9:13" x14ac:dyDescent="0.45">
      <c r="I586" t="s">
        <v>4632</v>
      </c>
      <c r="M586" t="s">
        <v>3230</v>
      </c>
    </row>
    <row r="587" spans="9:13" x14ac:dyDescent="0.45">
      <c r="I587" t="s">
        <v>5487</v>
      </c>
      <c r="M587" t="s">
        <v>3231</v>
      </c>
    </row>
    <row r="588" spans="9:13" x14ac:dyDescent="0.45">
      <c r="I588" t="s">
        <v>4633</v>
      </c>
      <c r="M588" t="s">
        <v>3232</v>
      </c>
    </row>
    <row r="589" spans="9:13" x14ac:dyDescent="0.45">
      <c r="I589" t="s">
        <v>4634</v>
      </c>
      <c r="M589" t="s">
        <v>5931</v>
      </c>
    </row>
    <row r="590" spans="9:13" x14ac:dyDescent="0.45">
      <c r="I590" t="s">
        <v>4635</v>
      </c>
      <c r="M590" t="s">
        <v>5932</v>
      </c>
    </row>
    <row r="591" spans="9:13" x14ac:dyDescent="0.45">
      <c r="I591" t="s">
        <v>4664</v>
      </c>
      <c r="M591" t="s">
        <v>5933</v>
      </c>
    </row>
    <row r="592" spans="9:13" x14ac:dyDescent="0.45">
      <c r="I592" t="s">
        <v>4665</v>
      </c>
      <c r="M592" t="s">
        <v>5934</v>
      </c>
    </row>
    <row r="593" spans="9:13" x14ac:dyDescent="0.45">
      <c r="I593" t="s">
        <v>433</v>
      </c>
      <c r="M593" t="s">
        <v>5935</v>
      </c>
    </row>
    <row r="594" spans="9:13" x14ac:dyDescent="0.45">
      <c r="I594" t="s">
        <v>4310</v>
      </c>
      <c r="M594" t="s">
        <v>3297</v>
      </c>
    </row>
    <row r="595" spans="9:13" x14ac:dyDescent="0.45">
      <c r="I595" t="s">
        <v>434</v>
      </c>
      <c r="M595" t="s">
        <v>3292</v>
      </c>
    </row>
    <row r="596" spans="9:13" x14ac:dyDescent="0.45">
      <c r="I596" t="s">
        <v>4311</v>
      </c>
      <c r="M596" t="s">
        <v>5936</v>
      </c>
    </row>
    <row r="597" spans="9:13" x14ac:dyDescent="0.45">
      <c r="I597" t="s">
        <v>4334</v>
      </c>
      <c r="M597" t="s">
        <v>3812</v>
      </c>
    </row>
    <row r="598" spans="9:13" x14ac:dyDescent="0.45">
      <c r="I598" t="s">
        <v>435</v>
      </c>
      <c r="M598" t="s">
        <v>5937</v>
      </c>
    </row>
    <row r="599" spans="9:13" x14ac:dyDescent="0.45">
      <c r="I599" t="s">
        <v>4335</v>
      </c>
      <c r="M599" t="s">
        <v>5938</v>
      </c>
    </row>
    <row r="600" spans="9:13" x14ac:dyDescent="0.45">
      <c r="I600" t="s">
        <v>4336</v>
      </c>
      <c r="M600" t="s">
        <v>5939</v>
      </c>
    </row>
    <row r="601" spans="9:13" x14ac:dyDescent="0.45">
      <c r="I601" t="s">
        <v>4337</v>
      </c>
      <c r="M601" t="s">
        <v>5940</v>
      </c>
    </row>
    <row r="602" spans="9:13" x14ac:dyDescent="0.45">
      <c r="I602" t="s">
        <v>4338</v>
      </c>
      <c r="M602" t="s">
        <v>5942</v>
      </c>
    </row>
    <row r="603" spans="9:13" x14ac:dyDescent="0.45">
      <c r="I603" t="s">
        <v>436</v>
      </c>
      <c r="M603" t="s">
        <v>5943</v>
      </c>
    </row>
    <row r="604" spans="9:13" x14ac:dyDescent="0.45">
      <c r="I604" t="s">
        <v>437</v>
      </c>
      <c r="M604" t="s">
        <v>5945</v>
      </c>
    </row>
    <row r="605" spans="9:13" x14ac:dyDescent="0.45">
      <c r="I605" t="s">
        <v>438</v>
      </c>
      <c r="M605" t="s">
        <v>5946</v>
      </c>
    </row>
    <row r="606" spans="9:13" x14ac:dyDescent="0.45">
      <c r="I606" t="s">
        <v>439</v>
      </c>
      <c r="M606" t="s">
        <v>3293</v>
      </c>
    </row>
    <row r="607" spans="9:13" x14ac:dyDescent="0.45">
      <c r="I607" t="s">
        <v>440</v>
      </c>
      <c r="M607" t="s">
        <v>3294</v>
      </c>
    </row>
    <row r="608" spans="9:13" x14ac:dyDescent="0.45">
      <c r="I608" t="s">
        <v>4361</v>
      </c>
      <c r="M608" t="s">
        <v>3295</v>
      </c>
    </row>
    <row r="609" spans="9:13" x14ac:dyDescent="0.45">
      <c r="I609" t="s">
        <v>4391</v>
      </c>
      <c r="M609" t="s">
        <v>5947</v>
      </c>
    </row>
    <row r="610" spans="9:13" x14ac:dyDescent="0.45">
      <c r="I610" t="s">
        <v>4392</v>
      </c>
      <c r="M610" t="s">
        <v>3296</v>
      </c>
    </row>
    <row r="611" spans="9:13" x14ac:dyDescent="0.45">
      <c r="I611" t="s">
        <v>4393</v>
      </c>
      <c r="M611" t="s">
        <v>5948</v>
      </c>
    </row>
    <row r="612" spans="9:13" x14ac:dyDescent="0.45">
      <c r="I612" t="s">
        <v>441</v>
      </c>
      <c r="M612" t="s">
        <v>3298</v>
      </c>
    </row>
    <row r="613" spans="9:13" x14ac:dyDescent="0.45">
      <c r="I613" t="s">
        <v>442</v>
      </c>
      <c r="M613" t="s">
        <v>3299</v>
      </c>
    </row>
    <row r="614" spans="9:13" x14ac:dyDescent="0.45">
      <c r="I614" t="s">
        <v>443</v>
      </c>
      <c r="M614" t="s">
        <v>3300</v>
      </c>
    </row>
    <row r="615" spans="9:13" x14ac:dyDescent="0.45">
      <c r="I615" t="s">
        <v>4394</v>
      </c>
      <c r="M615" t="s">
        <v>5949</v>
      </c>
    </row>
    <row r="616" spans="9:13" x14ac:dyDescent="0.45">
      <c r="I616" t="s">
        <v>4422</v>
      </c>
      <c r="M616" t="s">
        <v>5950</v>
      </c>
    </row>
    <row r="617" spans="9:13" x14ac:dyDescent="0.45">
      <c r="I617" t="s">
        <v>4423</v>
      </c>
      <c r="M617" t="s">
        <v>5951</v>
      </c>
    </row>
    <row r="618" spans="9:13" x14ac:dyDescent="0.45">
      <c r="I618" t="s">
        <v>4424</v>
      </c>
      <c r="M618" t="s">
        <v>5952</v>
      </c>
    </row>
    <row r="619" spans="9:13" x14ac:dyDescent="0.45">
      <c r="I619" t="s">
        <v>4678</v>
      </c>
      <c r="M619" t="s">
        <v>3367</v>
      </c>
    </row>
    <row r="620" spans="9:13" x14ac:dyDescent="0.45">
      <c r="I620" t="s">
        <v>444</v>
      </c>
      <c r="M620" t="s">
        <v>5953</v>
      </c>
    </row>
    <row r="621" spans="9:13" x14ac:dyDescent="0.45">
      <c r="I621" t="s">
        <v>4425</v>
      </c>
      <c r="M621" t="s">
        <v>5954</v>
      </c>
    </row>
    <row r="622" spans="9:13" x14ac:dyDescent="0.45">
      <c r="I622" t="s">
        <v>4426</v>
      </c>
      <c r="M622" t="s">
        <v>5955</v>
      </c>
    </row>
    <row r="623" spans="9:13" x14ac:dyDescent="0.45">
      <c r="I623" t="s">
        <v>4447</v>
      </c>
      <c r="M623" t="s">
        <v>3368</v>
      </c>
    </row>
    <row r="624" spans="9:13" x14ac:dyDescent="0.45">
      <c r="I624" t="s">
        <v>4448</v>
      </c>
      <c r="M624" t="s">
        <v>3369</v>
      </c>
    </row>
    <row r="625" spans="9:13" x14ac:dyDescent="0.45">
      <c r="I625" t="s">
        <v>4449</v>
      </c>
      <c r="M625" t="s">
        <v>3370</v>
      </c>
    </row>
    <row r="626" spans="9:13" x14ac:dyDescent="0.45">
      <c r="I626" t="s">
        <v>4450</v>
      </c>
      <c r="M626" t="s">
        <v>5957</v>
      </c>
    </row>
    <row r="627" spans="9:13" x14ac:dyDescent="0.45">
      <c r="I627" t="s">
        <v>4451</v>
      </c>
      <c r="M627" t="s">
        <v>3775</v>
      </c>
    </row>
    <row r="628" spans="9:13" x14ac:dyDescent="0.45">
      <c r="I628" t="s">
        <v>4452</v>
      </c>
      <c r="M628" t="s">
        <v>3371</v>
      </c>
    </row>
    <row r="629" spans="9:13" x14ac:dyDescent="0.45">
      <c r="I629" t="s">
        <v>445</v>
      </c>
      <c r="M629" t="s">
        <v>5958</v>
      </c>
    </row>
    <row r="630" spans="9:13" x14ac:dyDescent="0.45">
      <c r="I630" t="s">
        <v>446</v>
      </c>
      <c r="M630" t="s">
        <v>3372</v>
      </c>
    </row>
    <row r="631" spans="9:13" x14ac:dyDescent="0.45">
      <c r="I631" t="s">
        <v>4481</v>
      </c>
      <c r="M631" t="s">
        <v>3373</v>
      </c>
    </row>
    <row r="632" spans="9:13" x14ac:dyDescent="0.45">
      <c r="I632" t="s">
        <v>4482</v>
      </c>
      <c r="M632" t="s">
        <v>5959</v>
      </c>
    </row>
    <row r="633" spans="9:13" x14ac:dyDescent="0.45">
      <c r="I633" t="s">
        <v>447</v>
      </c>
      <c r="M633" t="s">
        <v>3374</v>
      </c>
    </row>
    <row r="634" spans="9:13" x14ac:dyDescent="0.45">
      <c r="I634" t="s">
        <v>4506</v>
      </c>
      <c r="M634" t="s">
        <v>5960</v>
      </c>
    </row>
    <row r="635" spans="9:13" x14ac:dyDescent="0.45">
      <c r="I635" t="s">
        <v>448</v>
      </c>
      <c r="M635" t="s">
        <v>5961</v>
      </c>
    </row>
    <row r="636" spans="9:13" x14ac:dyDescent="0.45">
      <c r="I636" t="s">
        <v>4292</v>
      </c>
      <c r="M636" t="s">
        <v>5962</v>
      </c>
    </row>
    <row r="637" spans="9:13" x14ac:dyDescent="0.45">
      <c r="I637" t="s">
        <v>4293</v>
      </c>
      <c r="M637" t="s">
        <v>3679</v>
      </c>
    </row>
    <row r="638" spans="9:13" x14ac:dyDescent="0.45">
      <c r="I638" t="s">
        <v>449</v>
      </c>
      <c r="M638" t="s">
        <v>5963</v>
      </c>
    </row>
    <row r="639" spans="9:13" x14ac:dyDescent="0.45">
      <c r="I639" t="s">
        <v>4316</v>
      </c>
      <c r="M639" t="s">
        <v>3457</v>
      </c>
    </row>
    <row r="640" spans="9:13" x14ac:dyDescent="0.45">
      <c r="I640" t="s">
        <v>4317</v>
      </c>
      <c r="M640" t="s">
        <v>3458</v>
      </c>
    </row>
    <row r="641" spans="9:13" x14ac:dyDescent="0.45">
      <c r="I641" t="s">
        <v>4318</v>
      </c>
      <c r="M641" t="s">
        <v>5964</v>
      </c>
    </row>
    <row r="642" spans="9:13" x14ac:dyDescent="0.45">
      <c r="I642" t="s">
        <v>4319</v>
      </c>
      <c r="M642" t="s">
        <v>5966</v>
      </c>
    </row>
    <row r="643" spans="9:13" x14ac:dyDescent="0.45">
      <c r="I643" t="s">
        <v>4320</v>
      </c>
      <c r="M643" t="s">
        <v>3459</v>
      </c>
    </row>
    <row r="644" spans="9:13" x14ac:dyDescent="0.45">
      <c r="I644" t="s">
        <v>4321</v>
      </c>
      <c r="M644" t="s">
        <v>3460</v>
      </c>
    </row>
    <row r="645" spans="9:13" x14ac:dyDescent="0.45">
      <c r="I645" t="s">
        <v>4250</v>
      </c>
      <c r="M645" t="s">
        <v>3461</v>
      </c>
    </row>
    <row r="646" spans="9:13" x14ac:dyDescent="0.45">
      <c r="I646" t="s">
        <v>4343</v>
      </c>
      <c r="M646" t="s">
        <v>3462</v>
      </c>
    </row>
    <row r="647" spans="9:13" x14ac:dyDescent="0.45">
      <c r="I647" t="s">
        <v>4344</v>
      </c>
      <c r="M647" t="s">
        <v>5967</v>
      </c>
    </row>
    <row r="648" spans="9:13" x14ac:dyDescent="0.45">
      <c r="I648" t="s">
        <v>4345</v>
      </c>
      <c r="M648" t="s">
        <v>3463</v>
      </c>
    </row>
    <row r="649" spans="9:13" x14ac:dyDescent="0.45">
      <c r="I649" t="s">
        <v>4223</v>
      </c>
      <c r="M649" t="s">
        <v>5968</v>
      </c>
    </row>
    <row r="650" spans="9:13" x14ac:dyDescent="0.45">
      <c r="I650" t="s">
        <v>4372</v>
      </c>
      <c r="M650" t="s">
        <v>5969</v>
      </c>
    </row>
    <row r="651" spans="9:13" x14ac:dyDescent="0.45">
      <c r="I651" t="s">
        <v>4373</v>
      </c>
      <c r="M651" t="s">
        <v>3464</v>
      </c>
    </row>
    <row r="652" spans="9:13" x14ac:dyDescent="0.45">
      <c r="I652" t="s">
        <v>450</v>
      </c>
      <c r="M652" t="s">
        <v>3465</v>
      </c>
    </row>
    <row r="653" spans="9:13" x14ac:dyDescent="0.45">
      <c r="I653" t="s">
        <v>451</v>
      </c>
      <c r="M653" t="s">
        <v>3466</v>
      </c>
    </row>
    <row r="654" spans="9:13" x14ac:dyDescent="0.45">
      <c r="I654" t="s">
        <v>452</v>
      </c>
      <c r="M654" t="s">
        <v>3467</v>
      </c>
    </row>
    <row r="655" spans="9:13" x14ac:dyDescent="0.45">
      <c r="I655" t="s">
        <v>453</v>
      </c>
      <c r="M655" t="s">
        <v>3468</v>
      </c>
    </row>
    <row r="656" spans="9:13" x14ac:dyDescent="0.45">
      <c r="I656" t="s">
        <v>454</v>
      </c>
      <c r="M656" t="s">
        <v>799</v>
      </c>
    </row>
    <row r="657" spans="9:13" x14ac:dyDescent="0.45">
      <c r="I657" t="s">
        <v>455</v>
      </c>
      <c r="M657" t="s">
        <v>3469</v>
      </c>
    </row>
    <row r="658" spans="9:13" x14ac:dyDescent="0.45">
      <c r="I658" t="s">
        <v>456</v>
      </c>
      <c r="M658" t="s">
        <v>5970</v>
      </c>
    </row>
    <row r="659" spans="9:13" x14ac:dyDescent="0.45">
      <c r="I659" t="s">
        <v>6142</v>
      </c>
      <c r="M659" t="s">
        <v>5971</v>
      </c>
    </row>
    <row r="660" spans="9:13" x14ac:dyDescent="0.45">
      <c r="I660" t="s">
        <v>457</v>
      </c>
      <c r="M660" t="s">
        <v>3525</v>
      </c>
    </row>
    <row r="661" spans="9:13" x14ac:dyDescent="0.45">
      <c r="I661" t="s">
        <v>6146</v>
      </c>
      <c r="M661" t="s">
        <v>5972</v>
      </c>
    </row>
    <row r="662" spans="9:13" x14ac:dyDescent="0.45">
      <c r="I662" t="s">
        <v>458</v>
      </c>
      <c r="M662" t="s">
        <v>5973</v>
      </c>
    </row>
    <row r="663" spans="9:13" x14ac:dyDescent="0.45">
      <c r="I663" t="s">
        <v>4607</v>
      </c>
      <c r="M663" t="s">
        <v>3526</v>
      </c>
    </row>
    <row r="664" spans="9:13" x14ac:dyDescent="0.45">
      <c r="I664" t="s">
        <v>4374</v>
      </c>
      <c r="M664" t="s">
        <v>3527</v>
      </c>
    </row>
    <row r="665" spans="9:13" x14ac:dyDescent="0.45">
      <c r="I665" t="s">
        <v>4375</v>
      </c>
      <c r="M665" t="s">
        <v>183</v>
      </c>
    </row>
    <row r="666" spans="9:13" x14ac:dyDescent="0.45">
      <c r="I666" t="s">
        <v>10316</v>
      </c>
      <c r="M666" t="s">
        <v>3528</v>
      </c>
    </row>
    <row r="667" spans="9:13" x14ac:dyDescent="0.45">
      <c r="I667" t="s">
        <v>4396</v>
      </c>
      <c r="M667" t="s">
        <v>3584</v>
      </c>
    </row>
    <row r="668" spans="9:13" x14ac:dyDescent="0.45">
      <c r="I668" t="s">
        <v>459</v>
      </c>
      <c r="M668" t="s">
        <v>3749</v>
      </c>
    </row>
    <row r="669" spans="9:13" x14ac:dyDescent="0.45">
      <c r="I669" t="s">
        <v>4251</v>
      </c>
      <c r="M669" t="s">
        <v>3585</v>
      </c>
    </row>
    <row r="670" spans="9:13" x14ac:dyDescent="0.45">
      <c r="I670" t="s">
        <v>4397</v>
      </c>
      <c r="M670" t="s">
        <v>3683</v>
      </c>
    </row>
    <row r="671" spans="9:13" x14ac:dyDescent="0.45">
      <c r="I671" t="s">
        <v>4398</v>
      </c>
      <c r="M671" t="s">
        <v>5977</v>
      </c>
    </row>
    <row r="672" spans="9:13" x14ac:dyDescent="0.45">
      <c r="I672" t="s">
        <v>4399</v>
      </c>
      <c r="M672" t="s">
        <v>3586</v>
      </c>
    </row>
    <row r="673" spans="9:13" x14ac:dyDescent="0.45">
      <c r="I673" t="s">
        <v>4400</v>
      </c>
      <c r="M673" t="s">
        <v>3738</v>
      </c>
    </row>
    <row r="674" spans="9:13" x14ac:dyDescent="0.45">
      <c r="I674" t="s">
        <v>4434</v>
      </c>
      <c r="M674" t="s">
        <v>3587</v>
      </c>
    </row>
    <row r="675" spans="9:13" x14ac:dyDescent="0.45">
      <c r="I675" t="s">
        <v>4435</v>
      </c>
      <c r="M675" t="s">
        <v>3588</v>
      </c>
    </row>
    <row r="676" spans="9:13" x14ac:dyDescent="0.45">
      <c r="I676" t="s">
        <v>4436</v>
      </c>
      <c r="M676" t="s">
        <v>3589</v>
      </c>
    </row>
    <row r="677" spans="9:13" x14ac:dyDescent="0.45">
      <c r="I677" t="s">
        <v>4253</v>
      </c>
      <c r="M677" t="s">
        <v>3590</v>
      </c>
    </row>
    <row r="678" spans="9:13" x14ac:dyDescent="0.45">
      <c r="I678" t="s">
        <v>4254</v>
      </c>
      <c r="M678" t="s">
        <v>3591</v>
      </c>
    </row>
    <row r="679" spans="9:13" x14ac:dyDescent="0.45">
      <c r="I679" t="s">
        <v>4460</v>
      </c>
      <c r="M679" t="s">
        <v>3755</v>
      </c>
    </row>
    <row r="680" spans="9:13" x14ac:dyDescent="0.45">
      <c r="I680" t="s">
        <v>4461</v>
      </c>
      <c r="M680" t="s">
        <v>3592</v>
      </c>
    </row>
    <row r="681" spans="9:13" x14ac:dyDescent="0.45">
      <c r="I681" t="s">
        <v>4225</v>
      </c>
      <c r="M681" t="s">
        <v>3772</v>
      </c>
    </row>
    <row r="682" spans="9:13" x14ac:dyDescent="0.45">
      <c r="I682" t="s">
        <v>4462</v>
      </c>
      <c r="M682" t="s">
        <v>3593</v>
      </c>
    </row>
    <row r="683" spans="9:13" x14ac:dyDescent="0.45">
      <c r="I683" t="s">
        <v>4463</v>
      </c>
      <c r="M683" t="s">
        <v>5981</v>
      </c>
    </row>
    <row r="684" spans="9:13" x14ac:dyDescent="0.45">
      <c r="I684" t="s">
        <v>4488</v>
      </c>
      <c r="M684" t="s">
        <v>3799</v>
      </c>
    </row>
    <row r="685" spans="9:13" x14ac:dyDescent="0.45">
      <c r="I685" t="s">
        <v>4489</v>
      </c>
      <c r="M685" t="s">
        <v>5983</v>
      </c>
    </row>
    <row r="686" spans="9:13" x14ac:dyDescent="0.45">
      <c r="I686" t="s">
        <v>4255</v>
      </c>
      <c r="M686" t="s">
        <v>3653</v>
      </c>
    </row>
    <row r="687" spans="9:13" x14ac:dyDescent="0.45">
      <c r="I687" t="s">
        <v>4288</v>
      </c>
      <c r="M687" t="s">
        <v>3654</v>
      </c>
    </row>
    <row r="688" spans="9:13" x14ac:dyDescent="0.45">
      <c r="I688" t="s">
        <v>4608</v>
      </c>
      <c r="M688" t="s">
        <v>3655</v>
      </c>
    </row>
    <row r="689" spans="9:13" x14ac:dyDescent="0.45">
      <c r="I689" t="s">
        <v>460</v>
      </c>
      <c r="M689" t="s">
        <v>3656</v>
      </c>
    </row>
    <row r="690" spans="9:13" x14ac:dyDescent="0.45">
      <c r="I690" t="s">
        <v>461</v>
      </c>
      <c r="M690" t="s">
        <v>3657</v>
      </c>
    </row>
    <row r="691" spans="9:13" x14ac:dyDescent="0.45">
      <c r="I691" t="s">
        <v>462</v>
      </c>
      <c r="M691" t="s">
        <v>3658</v>
      </c>
    </row>
    <row r="692" spans="9:13" x14ac:dyDescent="0.45">
      <c r="I692" t="s">
        <v>463</v>
      </c>
      <c r="M692" t="s">
        <v>5985</v>
      </c>
    </row>
    <row r="693" spans="9:13" x14ac:dyDescent="0.45">
      <c r="I693" t="s">
        <v>464</v>
      </c>
      <c r="M693" t="s">
        <v>3659</v>
      </c>
    </row>
    <row r="694" spans="9:13" x14ac:dyDescent="0.45">
      <c r="I694" t="s">
        <v>4609</v>
      </c>
      <c r="M694" t="s">
        <v>3660</v>
      </c>
    </row>
    <row r="695" spans="9:13" x14ac:dyDescent="0.45">
      <c r="I695" t="s">
        <v>465</v>
      </c>
      <c r="M695" t="s">
        <v>5987</v>
      </c>
    </row>
    <row r="696" spans="9:13" x14ac:dyDescent="0.45">
      <c r="I696" t="s">
        <v>466</v>
      </c>
      <c r="M696" t="s">
        <v>3661</v>
      </c>
    </row>
    <row r="697" spans="9:13" x14ac:dyDescent="0.45">
      <c r="I697" t="s">
        <v>4289</v>
      </c>
      <c r="M697" t="s">
        <v>3053</v>
      </c>
    </row>
    <row r="698" spans="9:13" x14ac:dyDescent="0.45">
      <c r="I698" t="s">
        <v>4610</v>
      </c>
      <c r="M698" t="s">
        <v>3054</v>
      </c>
    </row>
    <row r="699" spans="9:13" x14ac:dyDescent="0.45">
      <c r="I699" t="s">
        <v>4312</v>
      </c>
      <c r="M699" t="s">
        <v>3055</v>
      </c>
    </row>
    <row r="700" spans="9:13" x14ac:dyDescent="0.45">
      <c r="I700" t="s">
        <v>467</v>
      </c>
      <c r="M700" t="s">
        <v>5991</v>
      </c>
    </row>
    <row r="701" spans="9:13" x14ac:dyDescent="0.45">
      <c r="I701" t="s">
        <v>468</v>
      </c>
      <c r="M701" t="s">
        <v>3056</v>
      </c>
    </row>
    <row r="702" spans="9:13" x14ac:dyDescent="0.45">
      <c r="I702" t="s">
        <v>4226</v>
      </c>
      <c r="M702" t="s">
        <v>3730</v>
      </c>
    </row>
    <row r="703" spans="9:13" x14ac:dyDescent="0.45">
      <c r="I703" t="s">
        <v>469</v>
      </c>
      <c r="M703" t="s">
        <v>3057</v>
      </c>
    </row>
    <row r="704" spans="9:13" x14ac:dyDescent="0.45">
      <c r="I704" t="s">
        <v>4313</v>
      </c>
      <c r="M704" t="s">
        <v>184</v>
      </c>
    </row>
    <row r="705" spans="9:13" x14ac:dyDescent="0.45">
      <c r="I705" t="s">
        <v>4755</v>
      </c>
      <c r="M705" t="s">
        <v>3058</v>
      </c>
    </row>
    <row r="706" spans="9:13" x14ac:dyDescent="0.45">
      <c r="I706" t="s">
        <v>470</v>
      </c>
      <c r="M706" t="s">
        <v>3059</v>
      </c>
    </row>
    <row r="707" spans="9:13" x14ac:dyDescent="0.45">
      <c r="I707" t="s">
        <v>471</v>
      </c>
      <c r="M707" t="s">
        <v>800</v>
      </c>
    </row>
    <row r="708" spans="9:13" x14ac:dyDescent="0.45">
      <c r="I708" t="s">
        <v>472</v>
      </c>
      <c r="M708" t="s">
        <v>3759</v>
      </c>
    </row>
    <row r="709" spans="9:13" x14ac:dyDescent="0.45">
      <c r="I709" t="s">
        <v>5495</v>
      </c>
      <c r="M709" t="s">
        <v>3060</v>
      </c>
    </row>
    <row r="710" spans="9:13" x14ac:dyDescent="0.45">
      <c r="I710" t="s">
        <v>4314</v>
      </c>
      <c r="M710" t="s">
        <v>2557</v>
      </c>
    </row>
    <row r="711" spans="9:13" x14ac:dyDescent="0.45">
      <c r="I711" t="s">
        <v>473</v>
      </c>
      <c r="M711" t="s">
        <v>3061</v>
      </c>
    </row>
    <row r="712" spans="9:13" x14ac:dyDescent="0.45">
      <c r="I712" t="s">
        <v>474</v>
      </c>
      <c r="M712" t="s">
        <v>3062</v>
      </c>
    </row>
    <row r="713" spans="9:13" x14ac:dyDescent="0.45">
      <c r="I713" t="s">
        <v>4339</v>
      </c>
      <c r="M713" t="s">
        <v>3063</v>
      </c>
    </row>
    <row r="714" spans="9:13" x14ac:dyDescent="0.45">
      <c r="I714" t="s">
        <v>4340</v>
      </c>
      <c r="M714" t="s">
        <v>3064</v>
      </c>
    </row>
    <row r="715" spans="9:13" x14ac:dyDescent="0.45">
      <c r="I715" t="s">
        <v>4362</v>
      </c>
      <c r="M715" t="s">
        <v>3773</v>
      </c>
    </row>
    <row r="716" spans="9:13" x14ac:dyDescent="0.45">
      <c r="I716" t="s">
        <v>4363</v>
      </c>
      <c r="M716" t="s">
        <v>3065</v>
      </c>
    </row>
    <row r="717" spans="9:13" x14ac:dyDescent="0.45">
      <c r="I717" t="s">
        <v>4364</v>
      </c>
      <c r="M717" t="s">
        <v>3066</v>
      </c>
    </row>
    <row r="718" spans="9:13" x14ac:dyDescent="0.45">
      <c r="I718" t="s">
        <v>475</v>
      </c>
      <c r="M718" t="s">
        <v>3067</v>
      </c>
    </row>
    <row r="719" spans="9:13" x14ac:dyDescent="0.45">
      <c r="I719" t="s">
        <v>4365</v>
      </c>
      <c r="M719" t="s">
        <v>3672</v>
      </c>
    </row>
    <row r="720" spans="9:13" x14ac:dyDescent="0.45">
      <c r="I720" t="s">
        <v>4427</v>
      </c>
      <c r="M720" t="s">
        <v>3114</v>
      </c>
    </row>
    <row r="721" spans="9:13" x14ac:dyDescent="0.45">
      <c r="I721" t="s">
        <v>4428</v>
      </c>
      <c r="M721" t="s">
        <v>3115</v>
      </c>
    </row>
    <row r="722" spans="9:13" x14ac:dyDescent="0.45">
      <c r="I722" t="s">
        <v>4429</v>
      </c>
      <c r="M722" t="s">
        <v>3116</v>
      </c>
    </row>
    <row r="723" spans="9:13" x14ac:dyDescent="0.45">
      <c r="I723" t="s">
        <v>4723</v>
      </c>
      <c r="M723" t="s">
        <v>3117</v>
      </c>
    </row>
    <row r="724" spans="9:13" x14ac:dyDescent="0.45">
      <c r="I724" t="s">
        <v>476</v>
      </c>
      <c r="M724" t="s">
        <v>3118</v>
      </c>
    </row>
    <row r="725" spans="9:13" x14ac:dyDescent="0.45">
      <c r="I725" t="s">
        <v>4453</v>
      </c>
      <c r="M725" t="s">
        <v>3119</v>
      </c>
    </row>
    <row r="726" spans="9:13" x14ac:dyDescent="0.45">
      <c r="I726" t="s">
        <v>4454</v>
      </c>
      <c r="M726" t="s">
        <v>3120</v>
      </c>
    </row>
    <row r="727" spans="9:13" x14ac:dyDescent="0.45">
      <c r="I727" t="s">
        <v>477</v>
      </c>
      <c r="M727" t="s">
        <v>6000</v>
      </c>
    </row>
    <row r="728" spans="9:13" x14ac:dyDescent="0.45">
      <c r="I728" t="s">
        <v>4455</v>
      </c>
      <c r="M728" t="s">
        <v>3121</v>
      </c>
    </row>
    <row r="729" spans="9:13" x14ac:dyDescent="0.45">
      <c r="I729" t="s">
        <v>4507</v>
      </c>
      <c r="M729" t="s">
        <v>3122</v>
      </c>
    </row>
    <row r="730" spans="9:13" x14ac:dyDescent="0.45">
      <c r="I730" t="s">
        <v>4508</v>
      </c>
      <c r="M730" t="s">
        <v>3177</v>
      </c>
    </row>
    <row r="731" spans="9:13" x14ac:dyDescent="0.45">
      <c r="I731" t="s">
        <v>4418</v>
      </c>
      <c r="M731" t="s">
        <v>3781</v>
      </c>
    </row>
    <row r="732" spans="9:13" x14ac:dyDescent="0.45">
      <c r="I732" t="s">
        <v>6188</v>
      </c>
      <c r="M732" t="s">
        <v>3178</v>
      </c>
    </row>
    <row r="733" spans="9:13" x14ac:dyDescent="0.45">
      <c r="I733" t="s">
        <v>5496</v>
      </c>
      <c r="M733" t="s">
        <v>3791</v>
      </c>
    </row>
    <row r="734" spans="9:13" x14ac:dyDescent="0.45">
      <c r="I734" t="s">
        <v>5498</v>
      </c>
      <c r="M734" t="s">
        <v>6004</v>
      </c>
    </row>
    <row r="735" spans="9:13" x14ac:dyDescent="0.45">
      <c r="I735" t="s">
        <v>6193</v>
      </c>
      <c r="M735" t="s">
        <v>3179</v>
      </c>
    </row>
    <row r="736" spans="9:13" x14ac:dyDescent="0.45">
      <c r="I736" t="s">
        <v>478</v>
      </c>
      <c r="M736" t="s">
        <v>3180</v>
      </c>
    </row>
    <row r="737" spans="9:13" x14ac:dyDescent="0.45">
      <c r="I737" t="s">
        <v>479</v>
      </c>
      <c r="M737" t="s">
        <v>3181</v>
      </c>
    </row>
    <row r="738" spans="9:13" x14ac:dyDescent="0.45">
      <c r="I738" t="s">
        <v>480</v>
      </c>
      <c r="M738" t="s">
        <v>3182</v>
      </c>
    </row>
    <row r="739" spans="9:13" x14ac:dyDescent="0.45">
      <c r="I739" t="s">
        <v>4536</v>
      </c>
      <c r="M739" t="s">
        <v>3183</v>
      </c>
    </row>
    <row r="740" spans="9:13" x14ac:dyDescent="0.45">
      <c r="I740" t="s">
        <v>481</v>
      </c>
      <c r="M740" t="s">
        <v>3184</v>
      </c>
    </row>
    <row r="741" spans="9:13" x14ac:dyDescent="0.45">
      <c r="I741" t="s">
        <v>4558</v>
      </c>
      <c r="M741" t="s">
        <v>3185</v>
      </c>
    </row>
    <row r="742" spans="9:13" x14ac:dyDescent="0.45">
      <c r="I742" t="s">
        <v>4559</v>
      </c>
      <c r="M742" t="s">
        <v>3186</v>
      </c>
    </row>
    <row r="743" spans="9:13" x14ac:dyDescent="0.45">
      <c r="I743" t="s">
        <v>4560</v>
      </c>
      <c r="M743" t="s">
        <v>3187</v>
      </c>
    </row>
    <row r="744" spans="9:13" x14ac:dyDescent="0.45">
      <c r="I744" t="s">
        <v>4561</v>
      </c>
      <c r="M744" t="s">
        <v>2558</v>
      </c>
    </row>
    <row r="745" spans="9:13" x14ac:dyDescent="0.45">
      <c r="I745" t="s">
        <v>482</v>
      </c>
      <c r="M745" t="s">
        <v>6010</v>
      </c>
    </row>
    <row r="746" spans="9:13" x14ac:dyDescent="0.45">
      <c r="I746" t="s">
        <v>483</v>
      </c>
      <c r="M746" t="s">
        <v>6011</v>
      </c>
    </row>
    <row r="747" spans="9:13" x14ac:dyDescent="0.45">
      <c r="I747" t="s">
        <v>4593</v>
      </c>
      <c r="M747" t="s">
        <v>3249</v>
      </c>
    </row>
    <row r="748" spans="9:13" x14ac:dyDescent="0.45">
      <c r="I748" t="s">
        <v>4594</v>
      </c>
      <c r="M748" t="s">
        <v>3250</v>
      </c>
    </row>
    <row r="749" spans="9:13" x14ac:dyDescent="0.45">
      <c r="I749" t="s">
        <v>4595</v>
      </c>
      <c r="M749" t="s">
        <v>3251</v>
      </c>
    </row>
    <row r="750" spans="9:13" x14ac:dyDescent="0.45">
      <c r="I750" t="s">
        <v>4625</v>
      </c>
      <c r="M750" t="s">
        <v>6013</v>
      </c>
    </row>
    <row r="751" spans="9:13" x14ac:dyDescent="0.45">
      <c r="I751" t="s">
        <v>4626</v>
      </c>
      <c r="M751" t="s">
        <v>3252</v>
      </c>
    </row>
    <row r="752" spans="9:13" x14ac:dyDescent="0.45">
      <c r="I752" t="s">
        <v>4627</v>
      </c>
      <c r="M752" t="s">
        <v>6014</v>
      </c>
    </row>
    <row r="753" spans="9:13" x14ac:dyDescent="0.45">
      <c r="I753" t="s">
        <v>4628</v>
      </c>
      <c r="M753" t="s">
        <v>6016</v>
      </c>
    </row>
    <row r="754" spans="9:13" x14ac:dyDescent="0.45">
      <c r="I754" t="s">
        <v>484</v>
      </c>
      <c r="M754" t="s">
        <v>3253</v>
      </c>
    </row>
    <row r="755" spans="9:13" x14ac:dyDescent="0.45">
      <c r="I755" t="s">
        <v>4629</v>
      </c>
      <c r="M755" t="s">
        <v>3254</v>
      </c>
    </row>
    <row r="756" spans="9:13" x14ac:dyDescent="0.45">
      <c r="I756" t="s">
        <v>4652</v>
      </c>
      <c r="M756" t="s">
        <v>6017</v>
      </c>
    </row>
    <row r="757" spans="9:13" x14ac:dyDescent="0.45">
      <c r="I757" t="s">
        <v>4653</v>
      </c>
      <c r="M757" t="s">
        <v>6019</v>
      </c>
    </row>
    <row r="758" spans="9:13" x14ac:dyDescent="0.45">
      <c r="I758" t="s">
        <v>4654</v>
      </c>
      <c r="M758" t="s">
        <v>6020</v>
      </c>
    </row>
    <row r="759" spans="9:13" x14ac:dyDescent="0.45">
      <c r="I759" t="s">
        <v>4655</v>
      </c>
      <c r="M759" t="s">
        <v>6021</v>
      </c>
    </row>
    <row r="760" spans="9:13" x14ac:dyDescent="0.45">
      <c r="I760" t="s">
        <v>4256</v>
      </c>
      <c r="M760" t="s">
        <v>6022</v>
      </c>
    </row>
    <row r="761" spans="9:13" x14ac:dyDescent="0.45">
      <c r="I761" t="s">
        <v>4656</v>
      </c>
      <c r="M761" t="s">
        <v>6023</v>
      </c>
    </row>
    <row r="762" spans="9:13" x14ac:dyDescent="0.45">
      <c r="I762" t="s">
        <v>4657</v>
      </c>
      <c r="M762" t="s">
        <v>3255</v>
      </c>
    </row>
    <row r="763" spans="9:13" x14ac:dyDescent="0.45">
      <c r="I763" t="s">
        <v>4684</v>
      </c>
      <c r="M763" t="s">
        <v>3256</v>
      </c>
    </row>
    <row r="764" spans="9:13" x14ac:dyDescent="0.45">
      <c r="I764" t="s">
        <v>4679</v>
      </c>
      <c r="M764" t="s">
        <v>3748</v>
      </c>
    </row>
    <row r="765" spans="9:13" x14ac:dyDescent="0.45">
      <c r="I765" t="s">
        <v>4680</v>
      </c>
      <c r="M765" t="s">
        <v>6025</v>
      </c>
    </row>
    <row r="766" spans="9:13" x14ac:dyDescent="0.45">
      <c r="I766" t="s">
        <v>4681</v>
      </c>
      <c r="M766" t="s">
        <v>3257</v>
      </c>
    </row>
    <row r="767" spans="9:13" x14ac:dyDescent="0.45">
      <c r="I767" t="s">
        <v>4682</v>
      </c>
      <c r="M767" t="s">
        <v>3258</v>
      </c>
    </row>
    <row r="768" spans="9:13" x14ac:dyDescent="0.45">
      <c r="I768" t="s">
        <v>4683</v>
      </c>
      <c r="M768" t="s">
        <v>6027</v>
      </c>
    </row>
    <row r="769" spans="9:13" x14ac:dyDescent="0.45">
      <c r="I769" t="s">
        <v>4685</v>
      </c>
      <c r="M769" t="s">
        <v>6028</v>
      </c>
    </row>
    <row r="770" spans="9:13" x14ac:dyDescent="0.45">
      <c r="I770" t="s">
        <v>4710</v>
      </c>
      <c r="M770" t="s">
        <v>3259</v>
      </c>
    </row>
    <row r="771" spans="9:13" x14ac:dyDescent="0.45">
      <c r="I771" t="s">
        <v>4228</v>
      </c>
      <c r="M771" t="s">
        <v>3716</v>
      </c>
    </row>
    <row r="772" spans="9:13" x14ac:dyDescent="0.45">
      <c r="I772" t="s">
        <v>4711</v>
      </c>
      <c r="M772" t="s">
        <v>3316</v>
      </c>
    </row>
    <row r="773" spans="9:13" x14ac:dyDescent="0.45">
      <c r="I773" t="s">
        <v>4712</v>
      </c>
      <c r="M773" t="s">
        <v>3317</v>
      </c>
    </row>
    <row r="774" spans="9:13" x14ac:dyDescent="0.45">
      <c r="I774" t="s">
        <v>485</v>
      </c>
      <c r="M774" t="s">
        <v>3318</v>
      </c>
    </row>
    <row r="775" spans="9:13" x14ac:dyDescent="0.45">
      <c r="I775" t="s">
        <v>4713</v>
      </c>
      <c r="M775" t="s">
        <v>3717</v>
      </c>
    </row>
    <row r="776" spans="9:13" x14ac:dyDescent="0.45">
      <c r="I776" t="s">
        <v>4714</v>
      </c>
      <c r="M776" t="s">
        <v>6031</v>
      </c>
    </row>
    <row r="777" spans="9:13" x14ac:dyDescent="0.45">
      <c r="I777" t="s">
        <v>486</v>
      </c>
      <c r="M777" t="s">
        <v>6033</v>
      </c>
    </row>
    <row r="778" spans="9:13" x14ac:dyDescent="0.45">
      <c r="I778" t="s">
        <v>4715</v>
      </c>
      <c r="M778" t="s">
        <v>6034</v>
      </c>
    </row>
    <row r="779" spans="9:13" x14ac:dyDescent="0.45">
      <c r="I779" t="s">
        <v>4662</v>
      </c>
      <c r="M779" t="s">
        <v>6036</v>
      </c>
    </row>
    <row r="780" spans="9:13" x14ac:dyDescent="0.45">
      <c r="I780" t="s">
        <v>487</v>
      </c>
      <c r="M780" t="s">
        <v>6037</v>
      </c>
    </row>
    <row r="781" spans="9:13" x14ac:dyDescent="0.45">
      <c r="M781" t="s">
        <v>3709</v>
      </c>
    </row>
    <row r="782" spans="9:13" x14ac:dyDescent="0.45">
      <c r="M782" t="s">
        <v>3319</v>
      </c>
    </row>
    <row r="783" spans="9:13" x14ac:dyDescent="0.45">
      <c r="M783" t="s">
        <v>3320</v>
      </c>
    </row>
    <row r="784" spans="9:13" x14ac:dyDescent="0.45">
      <c r="M784" t="s">
        <v>3321</v>
      </c>
    </row>
    <row r="785" spans="13:13" x14ac:dyDescent="0.45">
      <c r="M785" t="s">
        <v>6039</v>
      </c>
    </row>
    <row r="786" spans="13:13" x14ac:dyDescent="0.45">
      <c r="M786" t="s">
        <v>6041</v>
      </c>
    </row>
    <row r="787" spans="13:13" x14ac:dyDescent="0.45">
      <c r="M787" t="s">
        <v>3802</v>
      </c>
    </row>
    <row r="788" spans="13:13" x14ac:dyDescent="0.45">
      <c r="M788" t="s">
        <v>6043</v>
      </c>
    </row>
    <row r="789" spans="13:13" x14ac:dyDescent="0.45">
      <c r="M789" t="s">
        <v>6044</v>
      </c>
    </row>
    <row r="790" spans="13:13" x14ac:dyDescent="0.45">
      <c r="M790" t="s">
        <v>6045</v>
      </c>
    </row>
    <row r="791" spans="13:13" x14ac:dyDescent="0.45">
      <c r="M791" t="s">
        <v>3741</v>
      </c>
    </row>
    <row r="792" spans="13:13" x14ac:dyDescent="0.45">
      <c r="M792" t="s">
        <v>3402</v>
      </c>
    </row>
    <row r="793" spans="13:13" x14ac:dyDescent="0.45">
      <c r="M793" t="s">
        <v>3403</v>
      </c>
    </row>
    <row r="794" spans="13:13" x14ac:dyDescent="0.45">
      <c r="M794" t="s">
        <v>3404</v>
      </c>
    </row>
    <row r="795" spans="13:13" x14ac:dyDescent="0.45">
      <c r="M795" t="s">
        <v>3813</v>
      </c>
    </row>
    <row r="796" spans="13:13" x14ac:dyDescent="0.45">
      <c r="M796" t="s">
        <v>6048</v>
      </c>
    </row>
    <row r="797" spans="13:13" x14ac:dyDescent="0.45">
      <c r="M797" t="s">
        <v>6049</v>
      </c>
    </row>
    <row r="798" spans="13:13" x14ac:dyDescent="0.45">
      <c r="M798" t="s">
        <v>6050</v>
      </c>
    </row>
    <row r="799" spans="13:13" x14ac:dyDescent="0.45">
      <c r="M799" t="s">
        <v>6052</v>
      </c>
    </row>
    <row r="800" spans="13:13" x14ac:dyDescent="0.45">
      <c r="M800" t="s">
        <v>3405</v>
      </c>
    </row>
    <row r="801" spans="13:13" x14ac:dyDescent="0.45">
      <c r="M801" t="s">
        <v>3406</v>
      </c>
    </row>
    <row r="802" spans="13:13" x14ac:dyDescent="0.45">
      <c r="M802" t="s">
        <v>6054</v>
      </c>
    </row>
    <row r="803" spans="13:13" x14ac:dyDescent="0.45">
      <c r="M803" t="s">
        <v>3407</v>
      </c>
    </row>
    <row r="804" spans="13:13" x14ac:dyDescent="0.45">
      <c r="M804" t="s">
        <v>6056</v>
      </c>
    </row>
    <row r="805" spans="13:13" x14ac:dyDescent="0.45">
      <c r="M805" t="s">
        <v>3408</v>
      </c>
    </row>
    <row r="806" spans="13:13" x14ac:dyDescent="0.45">
      <c r="M806" t="s">
        <v>3409</v>
      </c>
    </row>
    <row r="807" spans="13:13" x14ac:dyDescent="0.45">
      <c r="M807" t="s">
        <v>3479</v>
      </c>
    </row>
    <row r="808" spans="13:13" x14ac:dyDescent="0.45">
      <c r="M808" t="s">
        <v>3480</v>
      </c>
    </row>
    <row r="809" spans="13:13" x14ac:dyDescent="0.45">
      <c r="M809" t="s">
        <v>3481</v>
      </c>
    </row>
    <row r="810" spans="13:13" x14ac:dyDescent="0.45">
      <c r="M810" t="s">
        <v>3482</v>
      </c>
    </row>
    <row r="811" spans="13:13" x14ac:dyDescent="0.45">
      <c r="M811" t="s">
        <v>3483</v>
      </c>
    </row>
    <row r="812" spans="13:13" x14ac:dyDescent="0.45">
      <c r="M812" t="s">
        <v>3484</v>
      </c>
    </row>
    <row r="813" spans="13:13" x14ac:dyDescent="0.45">
      <c r="M813" t="s">
        <v>3485</v>
      </c>
    </row>
    <row r="814" spans="13:13" x14ac:dyDescent="0.45">
      <c r="M814" t="s">
        <v>3732</v>
      </c>
    </row>
    <row r="815" spans="13:13" x14ac:dyDescent="0.45">
      <c r="M815" t="s">
        <v>3486</v>
      </c>
    </row>
    <row r="816" spans="13:13" x14ac:dyDescent="0.45">
      <c r="M816" t="s">
        <v>6061</v>
      </c>
    </row>
    <row r="817" spans="13:13" x14ac:dyDescent="0.45">
      <c r="M817" t="s">
        <v>6063</v>
      </c>
    </row>
    <row r="818" spans="13:13" x14ac:dyDescent="0.45">
      <c r="M818" t="s">
        <v>6064</v>
      </c>
    </row>
    <row r="819" spans="13:13" x14ac:dyDescent="0.45">
      <c r="M819" t="s">
        <v>6066</v>
      </c>
    </row>
    <row r="820" spans="13:13" x14ac:dyDescent="0.45">
      <c r="M820" t="s">
        <v>3688</v>
      </c>
    </row>
    <row r="821" spans="13:13" x14ac:dyDescent="0.45">
      <c r="M821" t="s">
        <v>6068</v>
      </c>
    </row>
    <row r="822" spans="13:13" x14ac:dyDescent="0.45">
      <c r="M822" t="s">
        <v>6069</v>
      </c>
    </row>
    <row r="823" spans="13:13" x14ac:dyDescent="0.45">
      <c r="M823" t="s">
        <v>6070</v>
      </c>
    </row>
    <row r="824" spans="13:13" x14ac:dyDescent="0.45">
      <c r="M824" t="s">
        <v>3487</v>
      </c>
    </row>
    <row r="825" spans="13:13" x14ac:dyDescent="0.45">
      <c r="M825" t="s">
        <v>6072</v>
      </c>
    </row>
    <row r="826" spans="13:13" x14ac:dyDescent="0.45">
      <c r="M826" t="s">
        <v>3488</v>
      </c>
    </row>
    <row r="827" spans="13:13" x14ac:dyDescent="0.45">
      <c r="M827" t="s">
        <v>6074</v>
      </c>
    </row>
    <row r="828" spans="13:13" x14ac:dyDescent="0.45">
      <c r="M828" t="s">
        <v>6075</v>
      </c>
    </row>
    <row r="829" spans="13:13" x14ac:dyDescent="0.45">
      <c r="M829" t="s">
        <v>6077</v>
      </c>
    </row>
    <row r="830" spans="13:13" x14ac:dyDescent="0.45">
      <c r="M830" t="s">
        <v>3545</v>
      </c>
    </row>
    <row r="831" spans="13:13" x14ac:dyDescent="0.45">
      <c r="M831" t="s">
        <v>6078</v>
      </c>
    </row>
    <row r="832" spans="13:13" x14ac:dyDescent="0.45">
      <c r="M832" t="s">
        <v>6079</v>
      </c>
    </row>
    <row r="833" spans="13:13" x14ac:dyDescent="0.45">
      <c r="M833" t="s">
        <v>3546</v>
      </c>
    </row>
    <row r="834" spans="13:13" x14ac:dyDescent="0.45">
      <c r="M834" t="s">
        <v>3547</v>
      </c>
    </row>
    <row r="835" spans="13:13" x14ac:dyDescent="0.45">
      <c r="M835" t="s">
        <v>3548</v>
      </c>
    </row>
    <row r="836" spans="13:13" x14ac:dyDescent="0.45">
      <c r="M836" t="s">
        <v>6082</v>
      </c>
    </row>
    <row r="837" spans="13:13" x14ac:dyDescent="0.45">
      <c r="M837" t="s">
        <v>3637</v>
      </c>
    </row>
    <row r="838" spans="13:13" x14ac:dyDescent="0.45">
      <c r="M838" t="s">
        <v>3814</v>
      </c>
    </row>
    <row r="839" spans="13:13" x14ac:dyDescent="0.45">
      <c r="M839" t="s">
        <v>6083</v>
      </c>
    </row>
    <row r="840" spans="13:13" x14ac:dyDescent="0.45">
      <c r="M840" t="s">
        <v>6085</v>
      </c>
    </row>
    <row r="841" spans="13:13" x14ac:dyDescent="0.45">
      <c r="M841" t="s">
        <v>6086</v>
      </c>
    </row>
    <row r="842" spans="13:13" x14ac:dyDescent="0.45">
      <c r="M842" t="s">
        <v>6088</v>
      </c>
    </row>
    <row r="843" spans="13:13" x14ac:dyDescent="0.45">
      <c r="M843" t="s">
        <v>3758</v>
      </c>
    </row>
    <row r="844" spans="13:13" x14ac:dyDescent="0.45">
      <c r="M844" t="s">
        <v>2585</v>
      </c>
    </row>
    <row r="845" spans="13:13" x14ac:dyDescent="0.45">
      <c r="M845" t="s">
        <v>6090</v>
      </c>
    </row>
    <row r="846" spans="13:13" x14ac:dyDescent="0.45">
      <c r="M846" t="s">
        <v>6091</v>
      </c>
    </row>
    <row r="847" spans="13:13" x14ac:dyDescent="0.45">
      <c r="M847" t="s">
        <v>2586</v>
      </c>
    </row>
    <row r="848" spans="13:13" x14ac:dyDescent="0.45">
      <c r="M848" t="s">
        <v>2587</v>
      </c>
    </row>
    <row r="849" spans="13:13" x14ac:dyDescent="0.45">
      <c r="M849" t="s">
        <v>6093</v>
      </c>
    </row>
    <row r="850" spans="13:13" x14ac:dyDescent="0.45">
      <c r="M850" t="s">
        <v>6095</v>
      </c>
    </row>
    <row r="851" spans="13:13" x14ac:dyDescent="0.45">
      <c r="M851" t="s">
        <v>2588</v>
      </c>
    </row>
    <row r="852" spans="13:13" x14ac:dyDescent="0.45">
      <c r="M852" t="s">
        <v>2589</v>
      </c>
    </row>
    <row r="853" spans="13:13" x14ac:dyDescent="0.45">
      <c r="M853" t="s">
        <v>2590</v>
      </c>
    </row>
    <row r="854" spans="13:13" x14ac:dyDescent="0.45">
      <c r="M854" t="s">
        <v>2591</v>
      </c>
    </row>
    <row r="855" spans="13:13" x14ac:dyDescent="0.45">
      <c r="M855" t="s">
        <v>6097</v>
      </c>
    </row>
    <row r="856" spans="13:13" x14ac:dyDescent="0.45">
      <c r="M856" t="s">
        <v>2592</v>
      </c>
    </row>
    <row r="857" spans="13:13" x14ac:dyDescent="0.45">
      <c r="M857" t="s">
        <v>2593</v>
      </c>
    </row>
    <row r="858" spans="13:13" x14ac:dyDescent="0.45">
      <c r="M858" t="s">
        <v>6099</v>
      </c>
    </row>
    <row r="859" spans="13:13" x14ac:dyDescent="0.45">
      <c r="M859" t="s">
        <v>6101</v>
      </c>
    </row>
    <row r="860" spans="13:13" x14ac:dyDescent="0.45">
      <c r="M860" t="s">
        <v>6102</v>
      </c>
    </row>
    <row r="861" spans="13:13" x14ac:dyDescent="0.45">
      <c r="M861" t="s">
        <v>6104</v>
      </c>
    </row>
    <row r="862" spans="13:13" x14ac:dyDescent="0.45">
      <c r="M862" t="s">
        <v>2594</v>
      </c>
    </row>
    <row r="863" spans="13:13" x14ac:dyDescent="0.45">
      <c r="M863" t="s">
        <v>2595</v>
      </c>
    </row>
    <row r="864" spans="13:13" x14ac:dyDescent="0.45">
      <c r="M864" t="s">
        <v>2596</v>
      </c>
    </row>
    <row r="865" spans="13:13" x14ac:dyDescent="0.45">
      <c r="M865" t="s">
        <v>6106</v>
      </c>
    </row>
    <row r="866" spans="13:13" x14ac:dyDescent="0.45">
      <c r="M866" t="s">
        <v>6108</v>
      </c>
    </row>
    <row r="867" spans="13:13" x14ac:dyDescent="0.45">
      <c r="M867" t="s">
        <v>3762</v>
      </c>
    </row>
    <row r="868" spans="13:13" x14ac:dyDescent="0.45">
      <c r="M868" t="s">
        <v>3764</v>
      </c>
    </row>
    <row r="869" spans="13:13" x14ac:dyDescent="0.45">
      <c r="M869" t="s">
        <v>2597</v>
      </c>
    </row>
    <row r="870" spans="13:13" x14ac:dyDescent="0.45">
      <c r="M870" t="s">
        <v>2660</v>
      </c>
    </row>
    <row r="871" spans="13:13" x14ac:dyDescent="0.45">
      <c r="M871" t="s">
        <v>2661</v>
      </c>
    </row>
    <row r="872" spans="13:13" x14ac:dyDescent="0.45">
      <c r="M872" t="s">
        <v>2662</v>
      </c>
    </row>
    <row r="873" spans="13:13" x14ac:dyDescent="0.45">
      <c r="M873" t="s">
        <v>6111</v>
      </c>
    </row>
    <row r="874" spans="13:13" x14ac:dyDescent="0.45">
      <c r="M874" t="s">
        <v>2663</v>
      </c>
    </row>
    <row r="875" spans="13:13" x14ac:dyDescent="0.45">
      <c r="M875" t="s">
        <v>6113</v>
      </c>
    </row>
    <row r="876" spans="13:13" x14ac:dyDescent="0.45">
      <c r="M876" t="s">
        <v>6114</v>
      </c>
    </row>
    <row r="877" spans="13:13" x14ac:dyDescent="0.45">
      <c r="M877" t="s">
        <v>6116</v>
      </c>
    </row>
    <row r="878" spans="13:13" x14ac:dyDescent="0.45">
      <c r="M878" t="s">
        <v>6117</v>
      </c>
    </row>
    <row r="879" spans="13:13" x14ac:dyDescent="0.45">
      <c r="M879" t="s">
        <v>6118</v>
      </c>
    </row>
    <row r="880" spans="13:13" x14ac:dyDescent="0.45">
      <c r="M880" t="s">
        <v>6119</v>
      </c>
    </row>
    <row r="881" spans="13:13" x14ac:dyDescent="0.45">
      <c r="M881" t="s">
        <v>6120</v>
      </c>
    </row>
    <row r="882" spans="13:13" x14ac:dyDescent="0.45">
      <c r="M882" t="s">
        <v>6122</v>
      </c>
    </row>
    <row r="883" spans="13:13" x14ac:dyDescent="0.45">
      <c r="M883" t="s">
        <v>6123</v>
      </c>
    </row>
    <row r="884" spans="13:13" x14ac:dyDescent="0.45">
      <c r="M884" t="s">
        <v>6124</v>
      </c>
    </row>
    <row r="885" spans="13:13" x14ac:dyDescent="0.45">
      <c r="M885" t="s">
        <v>2664</v>
      </c>
    </row>
    <row r="886" spans="13:13" x14ac:dyDescent="0.45">
      <c r="M886" t="s">
        <v>2665</v>
      </c>
    </row>
    <row r="887" spans="13:13" x14ac:dyDescent="0.45">
      <c r="M887" t="s">
        <v>6125</v>
      </c>
    </row>
    <row r="888" spans="13:13" x14ac:dyDescent="0.45">
      <c r="M888" t="s">
        <v>6126</v>
      </c>
    </row>
    <row r="889" spans="13:13" x14ac:dyDescent="0.45">
      <c r="M889" t="s">
        <v>2666</v>
      </c>
    </row>
    <row r="890" spans="13:13" x14ac:dyDescent="0.45">
      <c r="M890" t="s">
        <v>2732</v>
      </c>
    </row>
    <row r="891" spans="13:13" x14ac:dyDescent="0.45">
      <c r="M891" t="s">
        <v>6127</v>
      </c>
    </row>
    <row r="892" spans="13:13" x14ac:dyDescent="0.45">
      <c r="M892" t="s">
        <v>6128</v>
      </c>
    </row>
    <row r="893" spans="13:13" x14ac:dyDescent="0.45">
      <c r="M893" t="s">
        <v>2733</v>
      </c>
    </row>
    <row r="894" spans="13:13" x14ac:dyDescent="0.45">
      <c r="M894" t="s">
        <v>2734</v>
      </c>
    </row>
    <row r="895" spans="13:13" x14ac:dyDescent="0.45">
      <c r="M895" t="s">
        <v>2735</v>
      </c>
    </row>
    <row r="896" spans="13:13" x14ac:dyDescent="0.45">
      <c r="M896" t="s">
        <v>2736</v>
      </c>
    </row>
    <row r="897" spans="13:13" x14ac:dyDescent="0.45">
      <c r="M897" t="s">
        <v>6129</v>
      </c>
    </row>
    <row r="898" spans="13:13" x14ac:dyDescent="0.45">
      <c r="M898" t="s">
        <v>6130</v>
      </c>
    </row>
    <row r="899" spans="13:13" x14ac:dyDescent="0.45">
      <c r="M899" t="s">
        <v>6132</v>
      </c>
    </row>
    <row r="900" spans="13:13" x14ac:dyDescent="0.45">
      <c r="M900" t="s">
        <v>2737</v>
      </c>
    </row>
    <row r="901" spans="13:13" x14ac:dyDescent="0.45">
      <c r="M901" t="s">
        <v>2738</v>
      </c>
    </row>
    <row r="902" spans="13:13" x14ac:dyDescent="0.45">
      <c r="M902" t="s">
        <v>2801</v>
      </c>
    </row>
    <row r="903" spans="13:13" x14ac:dyDescent="0.45">
      <c r="M903" t="s">
        <v>6135</v>
      </c>
    </row>
    <row r="904" spans="13:13" x14ac:dyDescent="0.45">
      <c r="M904" t="s">
        <v>2802</v>
      </c>
    </row>
    <row r="905" spans="13:13" x14ac:dyDescent="0.45">
      <c r="M905" t="s">
        <v>2803</v>
      </c>
    </row>
    <row r="906" spans="13:13" x14ac:dyDescent="0.45">
      <c r="M906" t="s">
        <v>2804</v>
      </c>
    </row>
    <row r="907" spans="13:13" x14ac:dyDescent="0.45">
      <c r="M907" t="s">
        <v>2805</v>
      </c>
    </row>
    <row r="908" spans="13:13" x14ac:dyDescent="0.45">
      <c r="M908" t="s">
        <v>6138</v>
      </c>
    </row>
    <row r="909" spans="13:13" x14ac:dyDescent="0.45">
      <c r="M909" t="s">
        <v>6139</v>
      </c>
    </row>
    <row r="910" spans="13:13" x14ac:dyDescent="0.45">
      <c r="M910" t="s">
        <v>6140</v>
      </c>
    </row>
    <row r="911" spans="13:13" x14ac:dyDescent="0.45">
      <c r="M911" t="s">
        <v>2806</v>
      </c>
    </row>
    <row r="912" spans="13:13" x14ac:dyDescent="0.45">
      <c r="M912" t="s">
        <v>2807</v>
      </c>
    </row>
    <row r="913" spans="13:13" x14ac:dyDescent="0.45">
      <c r="M913" t="s">
        <v>6143</v>
      </c>
    </row>
    <row r="914" spans="13:13" x14ac:dyDescent="0.45">
      <c r="M914" t="s">
        <v>2875</v>
      </c>
    </row>
    <row r="915" spans="13:13" x14ac:dyDescent="0.45">
      <c r="M915" t="s">
        <v>2876</v>
      </c>
    </row>
    <row r="916" spans="13:13" x14ac:dyDescent="0.45">
      <c r="M916" t="s">
        <v>2877</v>
      </c>
    </row>
    <row r="917" spans="13:13" x14ac:dyDescent="0.45">
      <c r="M917" t="s">
        <v>2878</v>
      </c>
    </row>
    <row r="918" spans="13:13" x14ac:dyDescent="0.45">
      <c r="M918" t="s">
        <v>2879</v>
      </c>
    </row>
    <row r="919" spans="13:13" x14ac:dyDescent="0.45">
      <c r="M919" t="s">
        <v>2880</v>
      </c>
    </row>
    <row r="920" spans="13:13" x14ac:dyDescent="0.45">
      <c r="M920" t="s">
        <v>2881</v>
      </c>
    </row>
    <row r="921" spans="13:13" x14ac:dyDescent="0.45">
      <c r="M921" t="s">
        <v>2882</v>
      </c>
    </row>
    <row r="922" spans="13:13" x14ac:dyDescent="0.45">
      <c r="M922" t="s">
        <v>3765</v>
      </c>
    </row>
    <row r="923" spans="13:13" x14ac:dyDescent="0.45">
      <c r="M923" t="s">
        <v>2883</v>
      </c>
    </row>
    <row r="924" spans="13:13" x14ac:dyDescent="0.45">
      <c r="M924" t="s">
        <v>2884</v>
      </c>
    </row>
    <row r="925" spans="13:13" x14ac:dyDescent="0.45">
      <c r="M925" t="s">
        <v>2885</v>
      </c>
    </row>
    <row r="926" spans="13:13" x14ac:dyDescent="0.45">
      <c r="M926" t="s">
        <v>2886</v>
      </c>
    </row>
    <row r="927" spans="13:13" x14ac:dyDescent="0.45">
      <c r="M927" t="s">
        <v>2887</v>
      </c>
    </row>
    <row r="928" spans="13:13" x14ac:dyDescent="0.45">
      <c r="M928" t="s">
        <v>6150</v>
      </c>
    </row>
    <row r="929" spans="13:13" x14ac:dyDescent="0.45">
      <c r="M929" t="s">
        <v>6152</v>
      </c>
    </row>
    <row r="930" spans="13:13" x14ac:dyDescent="0.45">
      <c r="M930" t="s">
        <v>2937</v>
      </c>
    </row>
    <row r="931" spans="13:13" x14ac:dyDescent="0.45">
      <c r="M931" t="s">
        <v>6153</v>
      </c>
    </row>
    <row r="932" spans="13:13" x14ac:dyDescent="0.45">
      <c r="M932" t="s">
        <v>6154</v>
      </c>
    </row>
    <row r="933" spans="13:13" x14ac:dyDescent="0.45">
      <c r="M933" t="s">
        <v>6156</v>
      </c>
    </row>
    <row r="934" spans="13:13" x14ac:dyDescent="0.45">
      <c r="M934" t="s">
        <v>2938</v>
      </c>
    </row>
    <row r="935" spans="13:13" x14ac:dyDescent="0.45">
      <c r="M935" t="s">
        <v>2939</v>
      </c>
    </row>
    <row r="936" spans="13:13" x14ac:dyDescent="0.45">
      <c r="M936" t="s">
        <v>2940</v>
      </c>
    </row>
    <row r="937" spans="13:13" x14ac:dyDescent="0.45">
      <c r="M937" t="s">
        <v>2941</v>
      </c>
    </row>
    <row r="938" spans="13:13" x14ac:dyDescent="0.45">
      <c r="M938" t="s">
        <v>2942</v>
      </c>
    </row>
    <row r="939" spans="13:13" x14ac:dyDescent="0.45">
      <c r="M939" t="s">
        <v>2943</v>
      </c>
    </row>
    <row r="940" spans="13:13" x14ac:dyDescent="0.45">
      <c r="M940" t="s">
        <v>2944</v>
      </c>
    </row>
    <row r="941" spans="13:13" x14ac:dyDescent="0.45">
      <c r="M941" t="s">
        <v>2945</v>
      </c>
    </row>
    <row r="942" spans="13:13" x14ac:dyDescent="0.45">
      <c r="M942" t="s">
        <v>6160</v>
      </c>
    </row>
    <row r="943" spans="13:13" x14ac:dyDescent="0.45">
      <c r="M943" t="s">
        <v>6162</v>
      </c>
    </row>
    <row r="944" spans="13:13" x14ac:dyDescent="0.45">
      <c r="M944" t="s">
        <v>6163</v>
      </c>
    </row>
    <row r="945" spans="13:13" x14ac:dyDescent="0.45">
      <c r="M945" t="s">
        <v>6164</v>
      </c>
    </row>
    <row r="946" spans="13:13" x14ac:dyDescent="0.45">
      <c r="M946" t="s">
        <v>6165</v>
      </c>
    </row>
    <row r="947" spans="13:13" x14ac:dyDescent="0.45">
      <c r="M947" t="s">
        <v>2946</v>
      </c>
    </row>
    <row r="948" spans="13:13" x14ac:dyDescent="0.45">
      <c r="M948" t="s">
        <v>3000</v>
      </c>
    </row>
    <row r="949" spans="13:13" x14ac:dyDescent="0.45">
      <c r="M949" t="s">
        <v>3001</v>
      </c>
    </row>
    <row r="950" spans="13:13" x14ac:dyDescent="0.45">
      <c r="M950" t="s">
        <v>3002</v>
      </c>
    </row>
    <row r="951" spans="13:13" x14ac:dyDescent="0.45">
      <c r="M951" t="s">
        <v>3003</v>
      </c>
    </row>
    <row r="952" spans="13:13" x14ac:dyDescent="0.45">
      <c r="M952" t="s">
        <v>3815</v>
      </c>
    </row>
    <row r="953" spans="13:13" x14ac:dyDescent="0.45">
      <c r="M953" t="s">
        <v>6169</v>
      </c>
    </row>
    <row r="954" spans="13:13" x14ac:dyDescent="0.45">
      <c r="M954" t="s">
        <v>6170</v>
      </c>
    </row>
    <row r="955" spans="13:13" x14ac:dyDescent="0.45">
      <c r="M955" t="s">
        <v>3004</v>
      </c>
    </row>
    <row r="956" spans="13:13" x14ac:dyDescent="0.45">
      <c r="M956" t="s">
        <v>6172</v>
      </c>
    </row>
    <row r="957" spans="13:13" x14ac:dyDescent="0.45">
      <c r="M957" t="s">
        <v>6173</v>
      </c>
    </row>
    <row r="958" spans="13:13" x14ac:dyDescent="0.45">
      <c r="M958" t="s">
        <v>3005</v>
      </c>
    </row>
    <row r="959" spans="13:13" x14ac:dyDescent="0.45">
      <c r="M959" t="s">
        <v>3006</v>
      </c>
    </row>
    <row r="960" spans="13:13" x14ac:dyDescent="0.45">
      <c r="M960" t="s">
        <v>3007</v>
      </c>
    </row>
    <row r="961" spans="13:13" x14ac:dyDescent="0.45">
      <c r="M961" t="s">
        <v>3008</v>
      </c>
    </row>
    <row r="962" spans="13:13" x14ac:dyDescent="0.45">
      <c r="M962" t="s">
        <v>3769</v>
      </c>
    </row>
    <row r="963" spans="13:13" x14ac:dyDescent="0.45">
      <c r="M963" t="s">
        <v>6175</v>
      </c>
    </row>
    <row r="964" spans="13:13" x14ac:dyDescent="0.45">
      <c r="M964" t="s">
        <v>3009</v>
      </c>
    </row>
    <row r="965" spans="13:13" x14ac:dyDescent="0.45">
      <c r="M965" t="s">
        <v>3010</v>
      </c>
    </row>
    <row r="966" spans="13:13" x14ac:dyDescent="0.45">
      <c r="M966" t="s">
        <v>3011</v>
      </c>
    </row>
    <row r="967" spans="13:13" x14ac:dyDescent="0.45">
      <c r="M967" t="s">
        <v>3012</v>
      </c>
    </row>
    <row r="968" spans="13:13" x14ac:dyDescent="0.45">
      <c r="M968" t="s">
        <v>3013</v>
      </c>
    </row>
    <row r="969" spans="13:13" x14ac:dyDescent="0.45">
      <c r="M969" t="s">
        <v>3136</v>
      </c>
    </row>
    <row r="970" spans="13:13" x14ac:dyDescent="0.45">
      <c r="M970" t="s">
        <v>3137</v>
      </c>
    </row>
    <row r="971" spans="13:13" x14ac:dyDescent="0.45">
      <c r="M971" t="s">
        <v>3736</v>
      </c>
    </row>
    <row r="972" spans="13:13" x14ac:dyDescent="0.45">
      <c r="M972" t="s">
        <v>6176</v>
      </c>
    </row>
    <row r="973" spans="13:13" x14ac:dyDescent="0.45">
      <c r="M973" t="s">
        <v>3138</v>
      </c>
    </row>
    <row r="974" spans="13:13" x14ac:dyDescent="0.45">
      <c r="M974" t="s">
        <v>3794</v>
      </c>
    </row>
    <row r="975" spans="13:13" x14ac:dyDescent="0.45">
      <c r="M975" t="s">
        <v>3139</v>
      </c>
    </row>
    <row r="976" spans="13:13" x14ac:dyDescent="0.45">
      <c r="M976" t="s">
        <v>3322</v>
      </c>
    </row>
    <row r="977" spans="13:13" x14ac:dyDescent="0.45">
      <c r="M977" t="s">
        <v>3323</v>
      </c>
    </row>
    <row r="978" spans="13:13" x14ac:dyDescent="0.45">
      <c r="M978" t="s">
        <v>185</v>
      </c>
    </row>
    <row r="979" spans="13:13" x14ac:dyDescent="0.45">
      <c r="M979" t="s">
        <v>3324</v>
      </c>
    </row>
    <row r="980" spans="13:13" x14ac:dyDescent="0.45">
      <c r="M980" t="s">
        <v>6177</v>
      </c>
    </row>
    <row r="981" spans="13:13" x14ac:dyDescent="0.45">
      <c r="M981" t="s">
        <v>3325</v>
      </c>
    </row>
    <row r="982" spans="13:13" x14ac:dyDescent="0.45">
      <c r="M982" t="s">
        <v>3326</v>
      </c>
    </row>
    <row r="983" spans="13:13" x14ac:dyDescent="0.45">
      <c r="M983" t="s">
        <v>6178</v>
      </c>
    </row>
    <row r="984" spans="13:13" x14ac:dyDescent="0.45">
      <c r="M984" t="s">
        <v>3327</v>
      </c>
    </row>
    <row r="985" spans="13:13" x14ac:dyDescent="0.45">
      <c r="M985" t="s">
        <v>6179</v>
      </c>
    </row>
    <row r="986" spans="13:13" x14ac:dyDescent="0.45">
      <c r="M986" t="s">
        <v>6180</v>
      </c>
    </row>
    <row r="987" spans="13:13" x14ac:dyDescent="0.45">
      <c r="M987" t="s">
        <v>6181</v>
      </c>
    </row>
    <row r="988" spans="13:13" x14ac:dyDescent="0.45">
      <c r="M988" t="s">
        <v>6182</v>
      </c>
    </row>
    <row r="989" spans="13:13" x14ac:dyDescent="0.45">
      <c r="M989" t="s">
        <v>3328</v>
      </c>
    </row>
    <row r="990" spans="13:13" x14ac:dyDescent="0.45">
      <c r="M990" t="s">
        <v>6183</v>
      </c>
    </row>
    <row r="991" spans="13:13" x14ac:dyDescent="0.45">
      <c r="M991" t="s">
        <v>3329</v>
      </c>
    </row>
    <row r="992" spans="13:13" x14ac:dyDescent="0.45">
      <c r="M992" t="s">
        <v>3330</v>
      </c>
    </row>
    <row r="993" spans="13:13" x14ac:dyDescent="0.45">
      <c r="M993" t="s">
        <v>3410</v>
      </c>
    </row>
    <row r="994" spans="13:13" x14ac:dyDescent="0.45">
      <c r="M994" t="s">
        <v>3411</v>
      </c>
    </row>
    <row r="995" spans="13:13" x14ac:dyDescent="0.45">
      <c r="M995" t="s">
        <v>3412</v>
      </c>
    </row>
    <row r="996" spans="13:13" x14ac:dyDescent="0.45">
      <c r="M996" t="s">
        <v>3413</v>
      </c>
    </row>
    <row r="997" spans="13:13" x14ac:dyDescent="0.45">
      <c r="M997" t="s">
        <v>3414</v>
      </c>
    </row>
    <row r="998" spans="13:13" x14ac:dyDescent="0.45">
      <c r="M998" t="s">
        <v>3415</v>
      </c>
    </row>
    <row r="999" spans="13:13" x14ac:dyDescent="0.45">
      <c r="M999" t="s">
        <v>3416</v>
      </c>
    </row>
    <row r="1000" spans="13:13" x14ac:dyDescent="0.45">
      <c r="M1000" t="s">
        <v>3417</v>
      </c>
    </row>
    <row r="1001" spans="13:13" x14ac:dyDescent="0.45">
      <c r="M1001" t="s">
        <v>6184</v>
      </c>
    </row>
    <row r="1002" spans="13:13" x14ac:dyDescent="0.45">
      <c r="M1002" t="s">
        <v>3418</v>
      </c>
    </row>
    <row r="1003" spans="13:13" x14ac:dyDescent="0.45">
      <c r="M1003" t="s">
        <v>6185</v>
      </c>
    </row>
    <row r="1004" spans="13:13" x14ac:dyDescent="0.45">
      <c r="M1004" t="s">
        <v>6186</v>
      </c>
    </row>
    <row r="1005" spans="13:13" x14ac:dyDescent="0.45">
      <c r="M1005" t="s">
        <v>3489</v>
      </c>
    </row>
    <row r="1006" spans="13:13" x14ac:dyDescent="0.45">
      <c r="M1006" t="s">
        <v>6187</v>
      </c>
    </row>
    <row r="1007" spans="13:13" x14ac:dyDescent="0.45">
      <c r="M1007" t="s">
        <v>3490</v>
      </c>
    </row>
    <row r="1008" spans="13:13" x14ac:dyDescent="0.45">
      <c r="M1008" t="s">
        <v>3491</v>
      </c>
    </row>
    <row r="1009" spans="13:13" x14ac:dyDescent="0.45">
      <c r="M1009" t="s">
        <v>3492</v>
      </c>
    </row>
    <row r="1010" spans="13:13" x14ac:dyDescent="0.45">
      <c r="M1010" t="s">
        <v>3682</v>
      </c>
    </row>
    <row r="1011" spans="13:13" x14ac:dyDescent="0.45">
      <c r="M1011" t="s">
        <v>6189</v>
      </c>
    </row>
    <row r="1012" spans="13:13" x14ac:dyDescent="0.45">
      <c r="M1012" t="s">
        <v>6190</v>
      </c>
    </row>
    <row r="1013" spans="13:13" x14ac:dyDescent="0.45">
      <c r="M1013" t="s">
        <v>6191</v>
      </c>
    </row>
    <row r="1014" spans="13:13" x14ac:dyDescent="0.45">
      <c r="M1014" t="s">
        <v>6192</v>
      </c>
    </row>
    <row r="1015" spans="13:13" x14ac:dyDescent="0.45">
      <c r="M1015" t="s">
        <v>3493</v>
      </c>
    </row>
    <row r="1016" spans="13:13" x14ac:dyDescent="0.45">
      <c r="M1016" t="s">
        <v>6194</v>
      </c>
    </row>
    <row r="1017" spans="13:13" x14ac:dyDescent="0.45">
      <c r="M1017" t="s">
        <v>3494</v>
      </c>
    </row>
    <row r="1018" spans="13:13" x14ac:dyDescent="0.45">
      <c r="M1018" t="s">
        <v>3495</v>
      </c>
    </row>
    <row r="1019" spans="13:13" x14ac:dyDescent="0.45">
      <c r="M1019" t="s">
        <v>3550</v>
      </c>
    </row>
    <row r="1020" spans="13:13" x14ac:dyDescent="0.45">
      <c r="M1020" t="s">
        <v>3551</v>
      </c>
    </row>
    <row r="1021" spans="13:13" x14ac:dyDescent="0.45">
      <c r="M1021" t="s">
        <v>3552</v>
      </c>
    </row>
    <row r="1022" spans="13:13" x14ac:dyDescent="0.45">
      <c r="M1022" t="s">
        <v>6195</v>
      </c>
    </row>
    <row r="1023" spans="13:13" x14ac:dyDescent="0.45">
      <c r="M1023" t="s">
        <v>3553</v>
      </c>
    </row>
    <row r="1024" spans="13:13" x14ac:dyDescent="0.45">
      <c r="M1024" t="s">
        <v>3554</v>
      </c>
    </row>
    <row r="1025" spans="13:13" x14ac:dyDescent="0.45">
      <c r="M1025" t="s">
        <v>3555</v>
      </c>
    </row>
    <row r="1026" spans="13:13" x14ac:dyDescent="0.45">
      <c r="M1026" t="s">
        <v>3556</v>
      </c>
    </row>
    <row r="1027" spans="13:13" x14ac:dyDescent="0.45">
      <c r="M1027" t="s">
        <v>3557</v>
      </c>
    </row>
    <row r="1028" spans="13:13" x14ac:dyDescent="0.45">
      <c r="M1028" t="s">
        <v>3558</v>
      </c>
    </row>
    <row r="1029" spans="13:13" x14ac:dyDescent="0.45">
      <c r="M1029" t="s">
        <v>6196</v>
      </c>
    </row>
    <row r="1030" spans="13:13" x14ac:dyDescent="0.45">
      <c r="M1030" t="s">
        <v>3559</v>
      </c>
    </row>
    <row r="1031" spans="13:13" x14ac:dyDescent="0.45">
      <c r="M1031" t="s">
        <v>6197</v>
      </c>
    </row>
    <row r="1032" spans="13:13" x14ac:dyDescent="0.45">
      <c r="M1032" t="s">
        <v>6198</v>
      </c>
    </row>
    <row r="1033" spans="13:13" x14ac:dyDescent="0.45">
      <c r="M1033" t="s">
        <v>3621</v>
      </c>
    </row>
    <row r="1034" spans="13:13" x14ac:dyDescent="0.45">
      <c r="M1034" t="s">
        <v>6199</v>
      </c>
    </row>
    <row r="1035" spans="13:13" x14ac:dyDescent="0.45">
      <c r="M1035" t="s">
        <v>3622</v>
      </c>
    </row>
    <row r="1036" spans="13:13" x14ac:dyDescent="0.45">
      <c r="M1036" t="s">
        <v>3705</v>
      </c>
    </row>
    <row r="1037" spans="13:13" x14ac:dyDescent="0.45">
      <c r="M1037" t="s">
        <v>3623</v>
      </c>
    </row>
    <row r="1038" spans="13:13" x14ac:dyDescent="0.45">
      <c r="M1038" t="s">
        <v>6200</v>
      </c>
    </row>
    <row r="1039" spans="13:13" x14ac:dyDescent="0.45">
      <c r="M1039" t="s">
        <v>3804</v>
      </c>
    </row>
    <row r="1040" spans="13:13" x14ac:dyDescent="0.45">
      <c r="M1040" t="s">
        <v>3624</v>
      </c>
    </row>
    <row r="1041" spans="13:13" x14ac:dyDescent="0.45">
      <c r="M1041" t="s">
        <v>3625</v>
      </c>
    </row>
    <row r="1042" spans="13:13" x14ac:dyDescent="0.45">
      <c r="M1042" t="s">
        <v>6201</v>
      </c>
    </row>
    <row r="1043" spans="13:13" x14ac:dyDescent="0.45">
      <c r="M1043" t="s">
        <v>3626</v>
      </c>
    </row>
    <row r="1044" spans="13:13" x14ac:dyDescent="0.45">
      <c r="M1044" t="s">
        <v>3627</v>
      </c>
    </row>
    <row r="1045" spans="13:13" x14ac:dyDescent="0.45">
      <c r="M1045" t="s">
        <v>3628</v>
      </c>
    </row>
    <row r="1046" spans="13:13" x14ac:dyDescent="0.45">
      <c r="M1046" t="s">
        <v>6202</v>
      </c>
    </row>
    <row r="1047" spans="13:13" x14ac:dyDescent="0.45">
      <c r="M1047" t="s">
        <v>3629</v>
      </c>
    </row>
    <row r="1048" spans="13:13" x14ac:dyDescent="0.45">
      <c r="M1048" t="s">
        <v>6203</v>
      </c>
    </row>
    <row r="1049" spans="13:13" x14ac:dyDescent="0.45">
      <c r="M1049" t="s">
        <v>2578</v>
      </c>
    </row>
    <row r="1050" spans="13:13" x14ac:dyDescent="0.45">
      <c r="M1050" t="s">
        <v>2579</v>
      </c>
    </row>
    <row r="1051" spans="13:13" x14ac:dyDescent="0.45">
      <c r="M1051" t="s">
        <v>6204</v>
      </c>
    </row>
    <row r="1052" spans="13:13" x14ac:dyDescent="0.45">
      <c r="M1052" t="s">
        <v>801</v>
      </c>
    </row>
    <row r="1053" spans="13:13" x14ac:dyDescent="0.45">
      <c r="M1053" t="s">
        <v>2580</v>
      </c>
    </row>
    <row r="1054" spans="13:13" x14ac:dyDescent="0.45">
      <c r="M1054" t="s">
        <v>2581</v>
      </c>
    </row>
    <row r="1055" spans="13:13" x14ac:dyDescent="0.45">
      <c r="M1055" t="s">
        <v>2582</v>
      </c>
    </row>
    <row r="1056" spans="13:13" x14ac:dyDescent="0.45">
      <c r="M1056" t="s">
        <v>3785</v>
      </c>
    </row>
    <row r="1057" spans="13:13" x14ac:dyDescent="0.45">
      <c r="M1057" t="s">
        <v>6205</v>
      </c>
    </row>
    <row r="1058" spans="13:13" x14ac:dyDescent="0.45">
      <c r="M1058" t="s">
        <v>6206</v>
      </c>
    </row>
    <row r="1059" spans="13:13" x14ac:dyDescent="0.45">
      <c r="M1059" t="s">
        <v>2583</v>
      </c>
    </row>
    <row r="1060" spans="13:13" x14ac:dyDescent="0.45">
      <c r="M1060" t="s">
        <v>2584</v>
      </c>
    </row>
    <row r="1061" spans="13:13" x14ac:dyDescent="0.45">
      <c r="M1061" t="s">
        <v>2651</v>
      </c>
    </row>
    <row r="1062" spans="13:13" x14ac:dyDescent="0.45">
      <c r="M1062" t="s">
        <v>2652</v>
      </c>
    </row>
    <row r="1063" spans="13:13" x14ac:dyDescent="0.45">
      <c r="M1063" t="s">
        <v>6207</v>
      </c>
    </row>
    <row r="1064" spans="13:13" x14ac:dyDescent="0.45">
      <c r="M1064" t="s">
        <v>6208</v>
      </c>
    </row>
    <row r="1065" spans="13:13" x14ac:dyDescent="0.45">
      <c r="M1065" t="s">
        <v>2653</v>
      </c>
    </row>
    <row r="1066" spans="13:13" x14ac:dyDescent="0.45">
      <c r="M1066" t="s">
        <v>2654</v>
      </c>
    </row>
    <row r="1067" spans="13:13" x14ac:dyDescent="0.45">
      <c r="M1067" t="s">
        <v>2655</v>
      </c>
    </row>
    <row r="1068" spans="13:13" x14ac:dyDescent="0.45">
      <c r="M1068" t="s">
        <v>6209</v>
      </c>
    </row>
    <row r="1069" spans="13:13" x14ac:dyDescent="0.45">
      <c r="M1069" t="s">
        <v>2656</v>
      </c>
    </row>
    <row r="1070" spans="13:13" x14ac:dyDescent="0.45">
      <c r="M1070" t="s">
        <v>2657</v>
      </c>
    </row>
    <row r="1071" spans="13:13" x14ac:dyDescent="0.45">
      <c r="M1071" t="s">
        <v>6210</v>
      </c>
    </row>
    <row r="1072" spans="13:13" x14ac:dyDescent="0.45">
      <c r="M1072" t="s">
        <v>2658</v>
      </c>
    </row>
    <row r="1073" spans="13:13" x14ac:dyDescent="0.45">
      <c r="M1073" t="s">
        <v>6211</v>
      </c>
    </row>
    <row r="1074" spans="13:13" x14ac:dyDescent="0.45">
      <c r="M1074" t="s">
        <v>6212</v>
      </c>
    </row>
    <row r="1075" spans="13:13" x14ac:dyDescent="0.45">
      <c r="M1075" t="s">
        <v>6213</v>
      </c>
    </row>
    <row r="1076" spans="13:13" x14ac:dyDescent="0.45">
      <c r="M1076" t="s">
        <v>6214</v>
      </c>
    </row>
    <row r="1077" spans="13:13" x14ac:dyDescent="0.45">
      <c r="M1077" t="s">
        <v>186</v>
      </c>
    </row>
    <row r="1078" spans="13:13" x14ac:dyDescent="0.45">
      <c r="M1078" t="s">
        <v>6215</v>
      </c>
    </row>
    <row r="1079" spans="13:13" x14ac:dyDescent="0.45">
      <c r="M1079" t="s">
        <v>6216</v>
      </c>
    </row>
    <row r="1080" spans="13:13" x14ac:dyDescent="0.45">
      <c r="M1080" t="s">
        <v>2659</v>
      </c>
    </row>
    <row r="1081" spans="13:13" x14ac:dyDescent="0.45">
      <c r="M1081" t="s">
        <v>6217</v>
      </c>
    </row>
    <row r="1082" spans="13:13" x14ac:dyDescent="0.45">
      <c r="M1082" t="s">
        <v>6218</v>
      </c>
    </row>
    <row r="1083" spans="13:13" x14ac:dyDescent="0.45">
      <c r="M1083" t="s">
        <v>2724</v>
      </c>
    </row>
    <row r="1084" spans="13:13" x14ac:dyDescent="0.45">
      <c r="M1084" t="s">
        <v>2725</v>
      </c>
    </row>
    <row r="1085" spans="13:13" x14ac:dyDescent="0.45">
      <c r="M1085" t="s">
        <v>2726</v>
      </c>
    </row>
    <row r="1086" spans="13:13" x14ac:dyDescent="0.45">
      <c r="M1086" t="s">
        <v>2727</v>
      </c>
    </row>
    <row r="1087" spans="13:13" x14ac:dyDescent="0.45">
      <c r="M1087" t="s">
        <v>2728</v>
      </c>
    </row>
    <row r="1088" spans="13:13" x14ac:dyDescent="0.45">
      <c r="M1088" t="s">
        <v>6219</v>
      </c>
    </row>
    <row r="1089" spans="13:13" x14ac:dyDescent="0.45">
      <c r="M1089" t="s">
        <v>6220</v>
      </c>
    </row>
    <row r="1090" spans="13:13" x14ac:dyDescent="0.45">
      <c r="M1090" t="s">
        <v>2729</v>
      </c>
    </row>
    <row r="1091" spans="13:13" x14ac:dyDescent="0.45">
      <c r="M1091" t="s">
        <v>2730</v>
      </c>
    </row>
    <row r="1092" spans="13:13" x14ac:dyDescent="0.45">
      <c r="M1092" t="s">
        <v>2731</v>
      </c>
    </row>
    <row r="1093" spans="13:13" x14ac:dyDescent="0.45">
      <c r="M1093" t="s">
        <v>6221</v>
      </c>
    </row>
    <row r="1094" spans="13:13" x14ac:dyDescent="0.45">
      <c r="M1094" t="s">
        <v>6222</v>
      </c>
    </row>
    <row r="1095" spans="13:13" x14ac:dyDescent="0.45">
      <c r="M1095" t="s">
        <v>6223</v>
      </c>
    </row>
    <row r="1096" spans="13:13" x14ac:dyDescent="0.45">
      <c r="M1096" t="s">
        <v>2790</v>
      </c>
    </row>
    <row r="1097" spans="13:13" x14ac:dyDescent="0.45">
      <c r="M1097" t="s">
        <v>3188</v>
      </c>
    </row>
    <row r="1098" spans="13:13" x14ac:dyDescent="0.45">
      <c r="M1098" t="s">
        <v>3189</v>
      </c>
    </row>
    <row r="1099" spans="13:13" x14ac:dyDescent="0.45">
      <c r="M1099" t="s">
        <v>3190</v>
      </c>
    </row>
    <row r="1100" spans="13:13" x14ac:dyDescent="0.45">
      <c r="M1100" t="s">
        <v>3745</v>
      </c>
    </row>
    <row r="1101" spans="13:13" x14ac:dyDescent="0.45">
      <c r="M1101" t="s">
        <v>6224</v>
      </c>
    </row>
    <row r="1102" spans="13:13" x14ac:dyDescent="0.45">
      <c r="M1102" t="s">
        <v>6225</v>
      </c>
    </row>
    <row r="1103" spans="13:13" x14ac:dyDescent="0.45">
      <c r="M1103" t="s">
        <v>6226</v>
      </c>
    </row>
    <row r="1104" spans="13:13" x14ac:dyDescent="0.45">
      <c r="M1104" t="s">
        <v>3774</v>
      </c>
    </row>
    <row r="1105" spans="13:13" x14ac:dyDescent="0.45">
      <c r="M1105" t="s">
        <v>6227</v>
      </c>
    </row>
    <row r="1106" spans="13:13" x14ac:dyDescent="0.45">
      <c r="M1106" t="s">
        <v>3191</v>
      </c>
    </row>
    <row r="1107" spans="13:13" x14ac:dyDescent="0.45">
      <c r="M1107" t="s">
        <v>6228</v>
      </c>
    </row>
    <row r="1108" spans="13:13" x14ac:dyDescent="0.45">
      <c r="M1108" t="s">
        <v>3192</v>
      </c>
    </row>
    <row r="1109" spans="13:13" x14ac:dyDescent="0.45">
      <c r="M1109" t="s">
        <v>3260</v>
      </c>
    </row>
    <row r="1110" spans="13:13" x14ac:dyDescent="0.45">
      <c r="M1110" t="s">
        <v>3261</v>
      </c>
    </row>
    <row r="1111" spans="13:13" x14ac:dyDescent="0.45">
      <c r="M1111" t="s">
        <v>802</v>
      </c>
    </row>
    <row r="1112" spans="13:13" x14ac:dyDescent="0.45">
      <c r="M1112" t="s">
        <v>6229</v>
      </c>
    </row>
    <row r="1113" spans="13:13" x14ac:dyDescent="0.45">
      <c r="M1113" t="s">
        <v>6230</v>
      </c>
    </row>
    <row r="1114" spans="13:13" x14ac:dyDescent="0.45">
      <c r="M1114" t="s">
        <v>6231</v>
      </c>
    </row>
    <row r="1115" spans="13:13" x14ac:dyDescent="0.45">
      <c r="M1115" t="s">
        <v>2791</v>
      </c>
    </row>
    <row r="1116" spans="13:13" x14ac:dyDescent="0.45">
      <c r="M1116" t="s">
        <v>2792</v>
      </c>
    </row>
    <row r="1117" spans="13:13" x14ac:dyDescent="0.45">
      <c r="M1117" t="s">
        <v>2793</v>
      </c>
    </row>
    <row r="1118" spans="13:13" x14ac:dyDescent="0.45">
      <c r="M1118" t="s">
        <v>2794</v>
      </c>
    </row>
    <row r="1119" spans="13:13" x14ac:dyDescent="0.45">
      <c r="M1119" t="s">
        <v>2795</v>
      </c>
    </row>
    <row r="1120" spans="13:13" x14ac:dyDescent="0.45">
      <c r="M1120" t="s">
        <v>6232</v>
      </c>
    </row>
    <row r="1121" spans="13:13" x14ac:dyDescent="0.45">
      <c r="M1121" t="s">
        <v>6233</v>
      </c>
    </row>
    <row r="1122" spans="13:13" x14ac:dyDescent="0.45">
      <c r="M1122" t="s">
        <v>2796</v>
      </c>
    </row>
    <row r="1123" spans="13:13" x14ac:dyDescent="0.45">
      <c r="M1123" t="s">
        <v>2797</v>
      </c>
    </row>
    <row r="1124" spans="13:13" x14ac:dyDescent="0.45">
      <c r="M1124" t="s">
        <v>2798</v>
      </c>
    </row>
    <row r="1125" spans="13:13" x14ac:dyDescent="0.45">
      <c r="M1125" t="s">
        <v>6234</v>
      </c>
    </row>
    <row r="1126" spans="13:13" x14ac:dyDescent="0.45">
      <c r="M1126" t="s">
        <v>6235</v>
      </c>
    </row>
    <row r="1127" spans="13:13" x14ac:dyDescent="0.45">
      <c r="M1127" t="s">
        <v>2799</v>
      </c>
    </row>
    <row r="1128" spans="13:13" x14ac:dyDescent="0.45">
      <c r="M1128" t="s">
        <v>6236</v>
      </c>
    </row>
    <row r="1129" spans="13:13" x14ac:dyDescent="0.45">
      <c r="M1129" t="s">
        <v>2800</v>
      </c>
    </row>
    <row r="1130" spans="13:13" x14ac:dyDescent="0.45">
      <c r="M1130" t="s">
        <v>2860</v>
      </c>
    </row>
    <row r="1131" spans="13:13" x14ac:dyDescent="0.45">
      <c r="M1131" t="s">
        <v>6237</v>
      </c>
    </row>
    <row r="1132" spans="13:13" x14ac:dyDescent="0.45">
      <c r="M1132" t="s">
        <v>2861</v>
      </c>
    </row>
    <row r="1133" spans="13:13" x14ac:dyDescent="0.45">
      <c r="M1133" t="s">
        <v>6238</v>
      </c>
    </row>
    <row r="1134" spans="13:13" x14ac:dyDescent="0.45">
      <c r="M1134" t="s">
        <v>2862</v>
      </c>
    </row>
    <row r="1135" spans="13:13" x14ac:dyDescent="0.45">
      <c r="M1135" t="s">
        <v>2863</v>
      </c>
    </row>
    <row r="1136" spans="13:13" x14ac:dyDescent="0.45">
      <c r="M1136" t="s">
        <v>2864</v>
      </c>
    </row>
    <row r="1137" spans="13:13" x14ac:dyDescent="0.45">
      <c r="M1137" t="s">
        <v>2865</v>
      </c>
    </row>
    <row r="1138" spans="13:13" x14ac:dyDescent="0.45">
      <c r="M1138" t="s">
        <v>2866</v>
      </c>
    </row>
    <row r="1139" spans="13:13" x14ac:dyDescent="0.45">
      <c r="M1139" t="s">
        <v>2931</v>
      </c>
    </row>
    <row r="1140" spans="13:13" x14ac:dyDescent="0.45">
      <c r="M1140" t="s">
        <v>6239</v>
      </c>
    </row>
    <row r="1141" spans="13:13" x14ac:dyDescent="0.45">
      <c r="M1141" t="s">
        <v>2932</v>
      </c>
    </row>
    <row r="1142" spans="13:13" x14ac:dyDescent="0.45">
      <c r="M1142" t="s">
        <v>6240</v>
      </c>
    </row>
    <row r="1143" spans="13:13" x14ac:dyDescent="0.45">
      <c r="M1143" t="s">
        <v>6241</v>
      </c>
    </row>
    <row r="1144" spans="13:13" x14ac:dyDescent="0.45">
      <c r="M1144" t="s">
        <v>6242</v>
      </c>
    </row>
    <row r="1145" spans="13:13" x14ac:dyDescent="0.45">
      <c r="M1145" t="s">
        <v>2933</v>
      </c>
    </row>
    <row r="1146" spans="13:13" x14ac:dyDescent="0.45">
      <c r="M1146" t="s">
        <v>2934</v>
      </c>
    </row>
    <row r="1147" spans="13:13" x14ac:dyDescent="0.45">
      <c r="M1147" t="s">
        <v>6243</v>
      </c>
    </row>
    <row r="1148" spans="13:13" x14ac:dyDescent="0.45">
      <c r="M1148" t="s">
        <v>6244</v>
      </c>
    </row>
    <row r="1149" spans="13:13" x14ac:dyDescent="0.45">
      <c r="M1149" t="s">
        <v>6245</v>
      </c>
    </row>
    <row r="1150" spans="13:13" x14ac:dyDescent="0.45">
      <c r="M1150" t="s">
        <v>2935</v>
      </c>
    </row>
    <row r="1151" spans="13:13" x14ac:dyDescent="0.45">
      <c r="M1151" t="s">
        <v>2936</v>
      </c>
    </row>
    <row r="1152" spans="13:13" x14ac:dyDescent="0.45">
      <c r="M1152" t="s">
        <v>2986</v>
      </c>
    </row>
    <row r="1153" spans="13:13" x14ac:dyDescent="0.45">
      <c r="M1153" t="s">
        <v>2987</v>
      </c>
    </row>
    <row r="1154" spans="13:13" x14ac:dyDescent="0.45">
      <c r="M1154" t="s">
        <v>3733</v>
      </c>
    </row>
    <row r="1155" spans="13:13" x14ac:dyDescent="0.45">
      <c r="M1155" t="s">
        <v>2988</v>
      </c>
    </row>
    <row r="1156" spans="13:13" x14ac:dyDescent="0.45">
      <c r="M1156" t="s">
        <v>6246</v>
      </c>
    </row>
    <row r="1157" spans="13:13" x14ac:dyDescent="0.45">
      <c r="M1157" t="s">
        <v>6247</v>
      </c>
    </row>
    <row r="1158" spans="13:13" x14ac:dyDescent="0.45">
      <c r="M1158" t="s">
        <v>6248</v>
      </c>
    </row>
    <row r="1159" spans="13:13" x14ac:dyDescent="0.45">
      <c r="M1159" t="s">
        <v>2989</v>
      </c>
    </row>
    <row r="1160" spans="13:13" x14ac:dyDescent="0.45">
      <c r="M1160" t="s">
        <v>2990</v>
      </c>
    </row>
    <row r="1161" spans="13:13" x14ac:dyDescent="0.45">
      <c r="M1161" t="s">
        <v>2991</v>
      </c>
    </row>
    <row r="1162" spans="13:13" x14ac:dyDescent="0.45">
      <c r="M1162" t="s">
        <v>2992</v>
      </c>
    </row>
    <row r="1163" spans="13:13" x14ac:dyDescent="0.45">
      <c r="M1163" t="s">
        <v>6249</v>
      </c>
    </row>
    <row r="1164" spans="13:13" x14ac:dyDescent="0.45">
      <c r="M1164" t="s">
        <v>6250</v>
      </c>
    </row>
    <row r="1165" spans="13:13" x14ac:dyDescent="0.45">
      <c r="M1165" t="s">
        <v>2993</v>
      </c>
    </row>
    <row r="1166" spans="13:13" x14ac:dyDescent="0.45">
      <c r="M1166" t="s">
        <v>3068</v>
      </c>
    </row>
    <row r="1167" spans="13:13" x14ac:dyDescent="0.45">
      <c r="M1167" t="s">
        <v>3069</v>
      </c>
    </row>
    <row r="1168" spans="13:13" x14ac:dyDescent="0.45">
      <c r="M1168" t="s">
        <v>3699</v>
      </c>
    </row>
    <row r="1169" spans="13:13" x14ac:dyDescent="0.45">
      <c r="M1169" t="s">
        <v>3070</v>
      </c>
    </row>
    <row r="1170" spans="13:13" x14ac:dyDescent="0.45">
      <c r="M1170" t="s">
        <v>3071</v>
      </c>
    </row>
    <row r="1171" spans="13:13" x14ac:dyDescent="0.45">
      <c r="M1171" t="s">
        <v>3072</v>
      </c>
    </row>
    <row r="1172" spans="13:13" x14ac:dyDescent="0.45">
      <c r="M1172" t="s">
        <v>3073</v>
      </c>
    </row>
    <row r="1173" spans="13:13" x14ac:dyDescent="0.45">
      <c r="M1173" t="s">
        <v>6251</v>
      </c>
    </row>
    <row r="1174" spans="13:13" x14ac:dyDescent="0.45">
      <c r="M1174" t="s">
        <v>6252</v>
      </c>
    </row>
    <row r="1175" spans="13:13" x14ac:dyDescent="0.45">
      <c r="M1175" t="s">
        <v>6253</v>
      </c>
    </row>
    <row r="1176" spans="13:13" x14ac:dyDescent="0.45">
      <c r="M1176" t="s">
        <v>6254</v>
      </c>
    </row>
    <row r="1177" spans="13:13" x14ac:dyDescent="0.45">
      <c r="M1177" t="s">
        <v>3123</v>
      </c>
    </row>
    <row r="1178" spans="13:13" x14ac:dyDescent="0.45">
      <c r="M1178" t="s">
        <v>6255</v>
      </c>
    </row>
    <row r="1179" spans="13:13" x14ac:dyDescent="0.45">
      <c r="M1179" t="s">
        <v>6256</v>
      </c>
    </row>
    <row r="1180" spans="13:13" x14ac:dyDescent="0.45">
      <c r="M1180" t="s">
        <v>3124</v>
      </c>
    </row>
    <row r="1181" spans="13:13" x14ac:dyDescent="0.45">
      <c r="M1181" t="s">
        <v>6257</v>
      </c>
    </row>
    <row r="1182" spans="13:13" x14ac:dyDescent="0.45">
      <c r="M1182" t="s">
        <v>3125</v>
      </c>
    </row>
    <row r="1183" spans="13:13" x14ac:dyDescent="0.45">
      <c r="M1183" t="s">
        <v>6258</v>
      </c>
    </row>
    <row r="1184" spans="13:13" x14ac:dyDescent="0.45">
      <c r="M1184" t="s">
        <v>6259</v>
      </c>
    </row>
    <row r="1185" spans="13:13" x14ac:dyDescent="0.45">
      <c r="M1185" t="s">
        <v>3126</v>
      </c>
    </row>
    <row r="1186" spans="13:13" x14ac:dyDescent="0.45">
      <c r="M1186" t="s">
        <v>6260</v>
      </c>
    </row>
    <row r="1187" spans="13:13" x14ac:dyDescent="0.45">
      <c r="M1187" t="s">
        <v>3127</v>
      </c>
    </row>
    <row r="1188" spans="13:13" x14ac:dyDescent="0.45">
      <c r="M1188" t="s">
        <v>6261</v>
      </c>
    </row>
    <row r="1189" spans="13:13" x14ac:dyDescent="0.45">
      <c r="M1189" t="s">
        <v>3549</v>
      </c>
    </row>
    <row r="1190" spans="13:13" x14ac:dyDescent="0.45">
      <c r="M1190" t="s">
        <v>6262</v>
      </c>
    </row>
    <row r="1191" spans="13:13" x14ac:dyDescent="0.45">
      <c r="M1191" t="s">
        <v>3831</v>
      </c>
    </row>
    <row r="1192" spans="13:13" x14ac:dyDescent="0.45">
      <c r="M1192" t="s">
        <v>187</v>
      </c>
    </row>
    <row r="1193" spans="13:13" x14ac:dyDescent="0.45">
      <c r="M1193" t="s">
        <v>188</v>
      </c>
    </row>
    <row r="1194" spans="13:13" x14ac:dyDescent="0.45">
      <c r="M1194" t="s">
        <v>3610</v>
      </c>
    </row>
    <row r="1195" spans="13:13" x14ac:dyDescent="0.45">
      <c r="M1195" t="s">
        <v>6263</v>
      </c>
    </row>
    <row r="1196" spans="13:13" x14ac:dyDescent="0.45">
      <c r="M1196" t="s">
        <v>3711</v>
      </c>
    </row>
    <row r="1197" spans="13:13" x14ac:dyDescent="0.45">
      <c r="M1197" t="s">
        <v>3611</v>
      </c>
    </row>
    <row r="1198" spans="13:13" x14ac:dyDescent="0.45">
      <c r="M1198" t="s">
        <v>3612</v>
      </c>
    </row>
    <row r="1199" spans="13:13" x14ac:dyDescent="0.45">
      <c r="M1199" t="s">
        <v>3613</v>
      </c>
    </row>
    <row r="1200" spans="13:13" x14ac:dyDescent="0.45">
      <c r="M1200" t="s">
        <v>3614</v>
      </c>
    </row>
    <row r="1201" spans="13:13" x14ac:dyDescent="0.45">
      <c r="M1201" t="s">
        <v>3615</v>
      </c>
    </row>
    <row r="1202" spans="13:13" x14ac:dyDescent="0.45">
      <c r="M1202" t="s">
        <v>3686</v>
      </c>
    </row>
    <row r="1203" spans="13:13" x14ac:dyDescent="0.45">
      <c r="M1203" t="s">
        <v>3616</v>
      </c>
    </row>
    <row r="1204" spans="13:13" x14ac:dyDescent="0.45">
      <c r="M1204" t="s">
        <v>2562</v>
      </c>
    </row>
    <row r="1205" spans="13:13" x14ac:dyDescent="0.45">
      <c r="M1205" t="s">
        <v>6264</v>
      </c>
    </row>
    <row r="1206" spans="13:13" x14ac:dyDescent="0.45">
      <c r="M1206" t="s">
        <v>2563</v>
      </c>
    </row>
    <row r="1207" spans="13:13" x14ac:dyDescent="0.45">
      <c r="M1207" t="s">
        <v>2564</v>
      </c>
    </row>
    <row r="1208" spans="13:13" x14ac:dyDescent="0.45">
      <c r="M1208" t="s">
        <v>6265</v>
      </c>
    </row>
    <row r="1209" spans="13:13" x14ac:dyDescent="0.45">
      <c r="M1209" t="s">
        <v>3771</v>
      </c>
    </row>
    <row r="1210" spans="13:13" x14ac:dyDescent="0.45">
      <c r="M1210" t="s">
        <v>2565</v>
      </c>
    </row>
    <row r="1211" spans="13:13" x14ac:dyDescent="0.45">
      <c r="M1211" t="s">
        <v>2566</v>
      </c>
    </row>
    <row r="1212" spans="13:13" x14ac:dyDescent="0.45">
      <c r="M1212" t="s">
        <v>2567</v>
      </c>
    </row>
    <row r="1213" spans="13:13" x14ac:dyDescent="0.45">
      <c r="M1213" t="s">
        <v>3806</v>
      </c>
    </row>
    <row r="1214" spans="13:13" x14ac:dyDescent="0.45">
      <c r="M1214" t="s">
        <v>2568</v>
      </c>
    </row>
    <row r="1215" spans="13:13" x14ac:dyDescent="0.45">
      <c r="M1215" t="s">
        <v>6266</v>
      </c>
    </row>
    <row r="1216" spans="13:13" x14ac:dyDescent="0.45">
      <c r="M1216" t="s">
        <v>6267</v>
      </c>
    </row>
    <row r="1217" spans="13:13" x14ac:dyDescent="0.45">
      <c r="M1217" t="s">
        <v>2569</v>
      </c>
    </row>
    <row r="1218" spans="13:13" x14ac:dyDescent="0.45">
      <c r="M1218" t="s">
        <v>2570</v>
      </c>
    </row>
    <row r="1219" spans="13:13" x14ac:dyDescent="0.45">
      <c r="M1219" t="s">
        <v>3761</v>
      </c>
    </row>
    <row r="1220" spans="13:13" x14ac:dyDescent="0.45">
      <c r="M1220" t="s">
        <v>2571</v>
      </c>
    </row>
    <row r="1221" spans="13:13" x14ac:dyDescent="0.45">
      <c r="M1221" t="s">
        <v>2572</v>
      </c>
    </row>
    <row r="1222" spans="13:13" x14ac:dyDescent="0.45">
      <c r="M1222" t="s">
        <v>2573</v>
      </c>
    </row>
    <row r="1223" spans="13:13" x14ac:dyDescent="0.45">
      <c r="M1223" t="s">
        <v>2574</v>
      </c>
    </row>
    <row r="1224" spans="13:13" x14ac:dyDescent="0.45">
      <c r="M1224" t="s">
        <v>2640</v>
      </c>
    </row>
    <row r="1225" spans="13:13" x14ac:dyDescent="0.45">
      <c r="M1225" t="s">
        <v>3721</v>
      </c>
    </row>
    <row r="1226" spans="13:13" x14ac:dyDescent="0.45">
      <c r="M1226" t="s">
        <v>3719</v>
      </c>
    </row>
    <row r="1227" spans="13:13" x14ac:dyDescent="0.45">
      <c r="M1227" t="s">
        <v>6268</v>
      </c>
    </row>
    <row r="1228" spans="13:13" x14ac:dyDescent="0.45">
      <c r="M1228" t="s">
        <v>6269</v>
      </c>
    </row>
    <row r="1229" spans="13:13" x14ac:dyDescent="0.45">
      <c r="M1229" t="s">
        <v>2641</v>
      </c>
    </row>
    <row r="1230" spans="13:13" x14ac:dyDescent="0.45">
      <c r="M1230" t="s">
        <v>2642</v>
      </c>
    </row>
    <row r="1231" spans="13:13" x14ac:dyDescent="0.45">
      <c r="M1231" t="s">
        <v>6270</v>
      </c>
    </row>
    <row r="1232" spans="13:13" x14ac:dyDescent="0.45">
      <c r="M1232" t="s">
        <v>2643</v>
      </c>
    </row>
    <row r="1233" spans="13:13" x14ac:dyDescent="0.45">
      <c r="M1233" t="s">
        <v>3793</v>
      </c>
    </row>
    <row r="1234" spans="13:13" x14ac:dyDescent="0.45">
      <c r="M1234" t="s">
        <v>2644</v>
      </c>
    </row>
    <row r="1235" spans="13:13" x14ac:dyDescent="0.45">
      <c r="M1235" t="s">
        <v>2645</v>
      </c>
    </row>
    <row r="1236" spans="13:13" x14ac:dyDescent="0.45">
      <c r="M1236" t="s">
        <v>2646</v>
      </c>
    </row>
    <row r="1237" spans="13:13" x14ac:dyDescent="0.45">
      <c r="M1237" t="s">
        <v>2647</v>
      </c>
    </row>
    <row r="1238" spans="13:13" x14ac:dyDescent="0.45">
      <c r="M1238" t="s">
        <v>2648</v>
      </c>
    </row>
    <row r="1239" spans="13:13" x14ac:dyDescent="0.45">
      <c r="M1239" t="s">
        <v>2649</v>
      </c>
    </row>
    <row r="1240" spans="13:13" x14ac:dyDescent="0.45">
      <c r="M1240" t="s">
        <v>6271</v>
      </c>
    </row>
    <row r="1241" spans="13:13" x14ac:dyDescent="0.45">
      <c r="M1241" t="s">
        <v>2650</v>
      </c>
    </row>
    <row r="1242" spans="13:13" x14ac:dyDescent="0.45">
      <c r="M1242" t="s">
        <v>2713</v>
      </c>
    </row>
    <row r="1243" spans="13:13" x14ac:dyDescent="0.45">
      <c r="M1243" t="s">
        <v>2714</v>
      </c>
    </row>
    <row r="1244" spans="13:13" x14ac:dyDescent="0.45">
      <c r="M1244" t="s">
        <v>2715</v>
      </c>
    </row>
    <row r="1245" spans="13:13" x14ac:dyDescent="0.45">
      <c r="M1245" t="s">
        <v>2716</v>
      </c>
    </row>
    <row r="1246" spans="13:13" x14ac:dyDescent="0.45">
      <c r="M1246" t="s">
        <v>2717</v>
      </c>
    </row>
    <row r="1247" spans="13:13" x14ac:dyDescent="0.45">
      <c r="M1247" t="s">
        <v>2718</v>
      </c>
    </row>
    <row r="1248" spans="13:13" x14ac:dyDescent="0.45">
      <c r="M1248" t="s">
        <v>2719</v>
      </c>
    </row>
    <row r="1249" spans="13:13" x14ac:dyDescent="0.45">
      <c r="M1249" t="s">
        <v>2720</v>
      </c>
    </row>
    <row r="1250" spans="13:13" x14ac:dyDescent="0.45">
      <c r="M1250" t="s">
        <v>2721</v>
      </c>
    </row>
    <row r="1251" spans="13:13" x14ac:dyDescent="0.45">
      <c r="M1251" t="s">
        <v>2722</v>
      </c>
    </row>
    <row r="1252" spans="13:13" x14ac:dyDescent="0.45">
      <c r="M1252" t="s">
        <v>2723</v>
      </c>
    </row>
    <row r="1253" spans="13:13" x14ac:dyDescent="0.45">
      <c r="M1253" t="s">
        <v>6272</v>
      </c>
    </row>
    <row r="1254" spans="13:13" x14ac:dyDescent="0.45">
      <c r="M1254" t="s">
        <v>2780</v>
      </c>
    </row>
    <row r="1255" spans="13:13" x14ac:dyDescent="0.45">
      <c r="M1255" t="s">
        <v>6273</v>
      </c>
    </row>
    <row r="1256" spans="13:13" x14ac:dyDescent="0.45">
      <c r="M1256" t="s">
        <v>3801</v>
      </c>
    </row>
    <row r="1257" spans="13:13" x14ac:dyDescent="0.45">
      <c r="M1257" t="s">
        <v>2781</v>
      </c>
    </row>
    <row r="1258" spans="13:13" x14ac:dyDescent="0.45">
      <c r="M1258" t="s">
        <v>6274</v>
      </c>
    </row>
    <row r="1259" spans="13:13" x14ac:dyDescent="0.45">
      <c r="M1259" t="s">
        <v>2782</v>
      </c>
    </row>
    <row r="1260" spans="13:13" x14ac:dyDescent="0.45">
      <c r="M1260" t="s">
        <v>3727</v>
      </c>
    </row>
    <row r="1261" spans="13:13" x14ac:dyDescent="0.45">
      <c r="M1261" t="s">
        <v>2783</v>
      </c>
    </row>
    <row r="1262" spans="13:13" x14ac:dyDescent="0.45">
      <c r="M1262" t="s">
        <v>2784</v>
      </c>
    </row>
    <row r="1263" spans="13:13" x14ac:dyDescent="0.45">
      <c r="M1263" t="s">
        <v>2785</v>
      </c>
    </row>
    <row r="1264" spans="13:13" x14ac:dyDescent="0.45">
      <c r="M1264" t="s">
        <v>2786</v>
      </c>
    </row>
    <row r="1265" spans="13:13" x14ac:dyDescent="0.45">
      <c r="M1265" t="s">
        <v>3816</v>
      </c>
    </row>
    <row r="1266" spans="13:13" x14ac:dyDescent="0.45">
      <c r="M1266" t="s">
        <v>2787</v>
      </c>
    </row>
    <row r="1267" spans="13:13" x14ac:dyDescent="0.45">
      <c r="M1267" t="s">
        <v>6275</v>
      </c>
    </row>
    <row r="1268" spans="13:13" x14ac:dyDescent="0.45">
      <c r="M1268" t="s">
        <v>2788</v>
      </c>
    </row>
    <row r="1269" spans="13:13" x14ac:dyDescent="0.45">
      <c r="M1269" t="s">
        <v>2789</v>
      </c>
    </row>
    <row r="1270" spans="13:13" x14ac:dyDescent="0.45">
      <c r="M1270" t="s">
        <v>2852</v>
      </c>
    </row>
    <row r="1271" spans="13:13" x14ac:dyDescent="0.45">
      <c r="M1271" t="s">
        <v>2853</v>
      </c>
    </row>
    <row r="1272" spans="13:13" x14ac:dyDescent="0.45">
      <c r="M1272" t="s">
        <v>2854</v>
      </c>
    </row>
    <row r="1273" spans="13:13" x14ac:dyDescent="0.45">
      <c r="M1273" t="s">
        <v>6276</v>
      </c>
    </row>
    <row r="1274" spans="13:13" x14ac:dyDescent="0.45">
      <c r="M1274" t="s">
        <v>2855</v>
      </c>
    </row>
    <row r="1275" spans="13:13" x14ac:dyDescent="0.45">
      <c r="M1275" t="s">
        <v>2856</v>
      </c>
    </row>
    <row r="1276" spans="13:13" x14ac:dyDescent="0.45">
      <c r="M1276" t="s">
        <v>6277</v>
      </c>
    </row>
    <row r="1277" spans="13:13" x14ac:dyDescent="0.45">
      <c r="M1277" t="s">
        <v>6278</v>
      </c>
    </row>
    <row r="1278" spans="13:13" x14ac:dyDescent="0.45">
      <c r="M1278" t="s">
        <v>6279</v>
      </c>
    </row>
    <row r="1279" spans="13:13" x14ac:dyDescent="0.45">
      <c r="M1279" t="s">
        <v>6280</v>
      </c>
    </row>
    <row r="1280" spans="13:13" x14ac:dyDescent="0.45">
      <c r="M1280" t="s">
        <v>6281</v>
      </c>
    </row>
    <row r="1281" spans="13:13" x14ac:dyDescent="0.45">
      <c r="M1281" t="s">
        <v>2857</v>
      </c>
    </row>
    <row r="1282" spans="13:13" x14ac:dyDescent="0.45">
      <c r="M1282" t="s">
        <v>6282</v>
      </c>
    </row>
    <row r="1283" spans="13:13" x14ac:dyDescent="0.45">
      <c r="M1283" t="s">
        <v>3690</v>
      </c>
    </row>
    <row r="1284" spans="13:13" x14ac:dyDescent="0.45">
      <c r="M1284" t="s">
        <v>6283</v>
      </c>
    </row>
    <row r="1285" spans="13:13" x14ac:dyDescent="0.45">
      <c r="M1285" t="s">
        <v>6284</v>
      </c>
    </row>
    <row r="1286" spans="13:13" x14ac:dyDescent="0.45">
      <c r="M1286" t="s">
        <v>2858</v>
      </c>
    </row>
    <row r="1287" spans="13:13" x14ac:dyDescent="0.45">
      <c r="M1287" t="s">
        <v>6285</v>
      </c>
    </row>
    <row r="1288" spans="13:13" x14ac:dyDescent="0.45">
      <c r="M1288" t="s">
        <v>2859</v>
      </c>
    </row>
    <row r="1289" spans="13:13" x14ac:dyDescent="0.45">
      <c r="M1289" t="s">
        <v>3617</v>
      </c>
    </row>
    <row r="1290" spans="13:13" x14ac:dyDescent="0.45">
      <c r="M1290" t="s">
        <v>6286</v>
      </c>
    </row>
    <row r="1291" spans="13:13" x14ac:dyDescent="0.45">
      <c r="M1291" t="s">
        <v>3714</v>
      </c>
    </row>
    <row r="1292" spans="13:13" x14ac:dyDescent="0.45">
      <c r="M1292" t="s">
        <v>6287</v>
      </c>
    </row>
    <row r="1293" spans="13:13" x14ac:dyDescent="0.45">
      <c r="M1293" t="s">
        <v>3715</v>
      </c>
    </row>
    <row r="1294" spans="13:13" x14ac:dyDescent="0.45">
      <c r="M1294" t="s">
        <v>3618</v>
      </c>
    </row>
    <row r="1295" spans="13:13" x14ac:dyDescent="0.45">
      <c r="M1295" t="s">
        <v>3619</v>
      </c>
    </row>
    <row r="1296" spans="13:13" x14ac:dyDescent="0.45">
      <c r="M1296" t="s">
        <v>3620</v>
      </c>
    </row>
    <row r="1297" spans="13:13" x14ac:dyDescent="0.45">
      <c r="M1297" t="s">
        <v>3787</v>
      </c>
    </row>
    <row r="1298" spans="13:13" x14ac:dyDescent="0.45">
      <c r="M1298" t="s">
        <v>6288</v>
      </c>
    </row>
    <row r="1299" spans="13:13" x14ac:dyDescent="0.45">
      <c r="M1299" t="s">
        <v>6289</v>
      </c>
    </row>
    <row r="1300" spans="13:13" x14ac:dyDescent="0.45">
      <c r="M1300" t="s">
        <v>189</v>
      </c>
    </row>
    <row r="1301" spans="13:13" x14ac:dyDescent="0.45">
      <c r="M1301" t="s">
        <v>190</v>
      </c>
    </row>
    <row r="1302" spans="13:13" x14ac:dyDescent="0.45">
      <c r="M1302" t="s">
        <v>2575</v>
      </c>
    </row>
    <row r="1303" spans="13:13" x14ac:dyDescent="0.45">
      <c r="M1303" t="s">
        <v>803</v>
      </c>
    </row>
    <row r="1304" spans="13:13" x14ac:dyDescent="0.45">
      <c r="M1304" t="s">
        <v>2576</v>
      </c>
    </row>
    <row r="1305" spans="13:13" x14ac:dyDescent="0.45">
      <c r="M1305" t="s">
        <v>6290</v>
      </c>
    </row>
    <row r="1306" spans="13:13" x14ac:dyDescent="0.45">
      <c r="M1306" t="s">
        <v>6291</v>
      </c>
    </row>
    <row r="1307" spans="13:13" x14ac:dyDescent="0.45">
      <c r="M1307" t="s">
        <v>2577</v>
      </c>
    </row>
    <row r="1308" spans="13:13" x14ac:dyDescent="0.45">
      <c r="M1308" t="s">
        <v>6292</v>
      </c>
    </row>
    <row r="1309" spans="13:13" x14ac:dyDescent="0.45">
      <c r="M1309" t="s">
        <v>3140</v>
      </c>
    </row>
    <row r="1310" spans="13:13" x14ac:dyDescent="0.45">
      <c r="M1310" t="s">
        <v>3767</v>
      </c>
    </row>
    <row r="1311" spans="13:13" x14ac:dyDescent="0.45">
      <c r="M1311" t="s">
        <v>3210</v>
      </c>
    </row>
    <row r="1312" spans="13:13" x14ac:dyDescent="0.45">
      <c r="M1312" t="s">
        <v>6293</v>
      </c>
    </row>
    <row r="1313" spans="13:13" x14ac:dyDescent="0.45">
      <c r="M1313" t="s">
        <v>6294</v>
      </c>
    </row>
    <row r="1314" spans="13:13" x14ac:dyDescent="0.45">
      <c r="M1314" t="s">
        <v>3211</v>
      </c>
    </row>
    <row r="1315" spans="13:13" x14ac:dyDescent="0.45">
      <c r="M1315" t="s">
        <v>3212</v>
      </c>
    </row>
    <row r="1316" spans="13:13" x14ac:dyDescent="0.45">
      <c r="M1316" t="s">
        <v>6295</v>
      </c>
    </row>
    <row r="1317" spans="13:13" x14ac:dyDescent="0.45">
      <c r="M1317" t="s">
        <v>3729</v>
      </c>
    </row>
    <row r="1318" spans="13:13" x14ac:dyDescent="0.45">
      <c r="M1318" t="s">
        <v>6296</v>
      </c>
    </row>
    <row r="1319" spans="13:13" x14ac:dyDescent="0.45">
      <c r="M1319" t="s">
        <v>3213</v>
      </c>
    </row>
    <row r="1320" spans="13:13" x14ac:dyDescent="0.45">
      <c r="M1320" t="s">
        <v>3214</v>
      </c>
    </row>
    <row r="1321" spans="13:13" x14ac:dyDescent="0.45">
      <c r="M1321" t="s">
        <v>3215</v>
      </c>
    </row>
    <row r="1322" spans="13:13" x14ac:dyDescent="0.45">
      <c r="M1322" t="s">
        <v>3277</v>
      </c>
    </row>
    <row r="1323" spans="13:13" x14ac:dyDescent="0.45">
      <c r="M1323" t="s">
        <v>3278</v>
      </c>
    </row>
    <row r="1324" spans="13:13" x14ac:dyDescent="0.45">
      <c r="M1324" t="s">
        <v>3279</v>
      </c>
    </row>
    <row r="1325" spans="13:13" x14ac:dyDescent="0.45">
      <c r="M1325" t="s">
        <v>5315</v>
      </c>
    </row>
    <row r="1326" spans="13:13" x14ac:dyDescent="0.45">
      <c r="M1326" t="s">
        <v>3280</v>
      </c>
    </row>
    <row r="1327" spans="13:13" x14ac:dyDescent="0.45">
      <c r="M1327" t="s">
        <v>6297</v>
      </c>
    </row>
    <row r="1328" spans="13:13" x14ac:dyDescent="0.45">
      <c r="M1328" t="s">
        <v>6298</v>
      </c>
    </row>
    <row r="1329" spans="13:13" x14ac:dyDescent="0.45">
      <c r="M1329" t="s">
        <v>3281</v>
      </c>
    </row>
    <row r="1330" spans="13:13" x14ac:dyDescent="0.45">
      <c r="M1330" t="s">
        <v>6299</v>
      </c>
    </row>
    <row r="1331" spans="13:13" x14ac:dyDescent="0.45">
      <c r="M1331" t="s">
        <v>3282</v>
      </c>
    </row>
    <row r="1332" spans="13:13" x14ac:dyDescent="0.45">
      <c r="M1332" t="s">
        <v>6300</v>
      </c>
    </row>
    <row r="1333" spans="13:13" x14ac:dyDescent="0.45">
      <c r="M1333" t="s">
        <v>2555</v>
      </c>
    </row>
    <row r="1334" spans="13:13" x14ac:dyDescent="0.45">
      <c r="M1334" t="s">
        <v>6301</v>
      </c>
    </row>
    <row r="1335" spans="13:13" x14ac:dyDescent="0.45">
      <c r="M1335" t="s">
        <v>6302</v>
      </c>
    </row>
    <row r="1336" spans="13:13" x14ac:dyDescent="0.45">
      <c r="M1336" t="s">
        <v>6303</v>
      </c>
    </row>
    <row r="1337" spans="13:13" x14ac:dyDescent="0.45">
      <c r="M1337" t="s">
        <v>6304</v>
      </c>
    </row>
    <row r="1338" spans="13:13" x14ac:dyDescent="0.45">
      <c r="M1338" t="s">
        <v>6305</v>
      </c>
    </row>
    <row r="1339" spans="13:13" x14ac:dyDescent="0.45">
      <c r="M1339" t="s">
        <v>6306</v>
      </c>
    </row>
    <row r="1340" spans="13:13" x14ac:dyDescent="0.45">
      <c r="M1340" t="s">
        <v>6307</v>
      </c>
    </row>
    <row r="1341" spans="13:13" x14ac:dyDescent="0.45">
      <c r="M1341" t="s">
        <v>3817</v>
      </c>
    </row>
    <row r="1342" spans="13:13" x14ac:dyDescent="0.45">
      <c r="M1342" t="s">
        <v>6308</v>
      </c>
    </row>
    <row r="1343" spans="13:13" x14ac:dyDescent="0.45">
      <c r="M1343" t="s">
        <v>6309</v>
      </c>
    </row>
    <row r="1344" spans="13:13" x14ac:dyDescent="0.45">
      <c r="M1344" t="s">
        <v>3352</v>
      </c>
    </row>
    <row r="1345" spans="13:13" x14ac:dyDescent="0.45">
      <c r="M1345" t="s">
        <v>3750</v>
      </c>
    </row>
    <row r="1346" spans="13:13" x14ac:dyDescent="0.45">
      <c r="M1346" t="s">
        <v>6310</v>
      </c>
    </row>
    <row r="1347" spans="13:13" x14ac:dyDescent="0.45">
      <c r="M1347" t="s">
        <v>3353</v>
      </c>
    </row>
    <row r="1348" spans="13:13" x14ac:dyDescent="0.45">
      <c r="M1348" t="s">
        <v>3354</v>
      </c>
    </row>
    <row r="1349" spans="13:13" x14ac:dyDescent="0.45">
      <c r="M1349" t="s">
        <v>6311</v>
      </c>
    </row>
    <row r="1350" spans="13:13" x14ac:dyDescent="0.45">
      <c r="M1350" t="s">
        <v>3355</v>
      </c>
    </row>
    <row r="1351" spans="13:13" x14ac:dyDescent="0.45">
      <c r="M1351" t="s">
        <v>3356</v>
      </c>
    </row>
    <row r="1352" spans="13:13" x14ac:dyDescent="0.45">
      <c r="M1352" t="s">
        <v>3357</v>
      </c>
    </row>
    <row r="1353" spans="13:13" x14ac:dyDescent="0.45">
      <c r="M1353" t="s">
        <v>6312</v>
      </c>
    </row>
    <row r="1354" spans="13:13" x14ac:dyDescent="0.45">
      <c r="M1354" t="s">
        <v>3437</v>
      </c>
    </row>
    <row r="1355" spans="13:13" x14ac:dyDescent="0.45">
      <c r="M1355" t="s">
        <v>3438</v>
      </c>
    </row>
    <row r="1356" spans="13:13" x14ac:dyDescent="0.45">
      <c r="M1356" t="s">
        <v>3439</v>
      </c>
    </row>
    <row r="1357" spans="13:13" x14ac:dyDescent="0.45">
      <c r="M1357" t="s">
        <v>3440</v>
      </c>
    </row>
    <row r="1358" spans="13:13" x14ac:dyDescent="0.45">
      <c r="M1358" t="s">
        <v>6313</v>
      </c>
    </row>
    <row r="1359" spans="13:13" x14ac:dyDescent="0.45">
      <c r="M1359" t="s">
        <v>3441</v>
      </c>
    </row>
    <row r="1360" spans="13:13" x14ac:dyDescent="0.45">
      <c r="M1360" t="s">
        <v>3442</v>
      </c>
    </row>
    <row r="1361" spans="13:13" x14ac:dyDescent="0.45">
      <c r="M1361" t="s">
        <v>3443</v>
      </c>
    </row>
    <row r="1362" spans="13:13" x14ac:dyDescent="0.45">
      <c r="M1362" t="s">
        <v>6314</v>
      </c>
    </row>
    <row r="1363" spans="13:13" x14ac:dyDescent="0.45">
      <c r="M1363" t="s">
        <v>6315</v>
      </c>
    </row>
    <row r="1364" spans="13:13" x14ac:dyDescent="0.45">
      <c r="M1364" t="s">
        <v>3444</v>
      </c>
    </row>
    <row r="1365" spans="13:13" x14ac:dyDescent="0.45">
      <c r="M1365" t="s">
        <v>3678</v>
      </c>
    </row>
    <row r="1366" spans="13:13" x14ac:dyDescent="0.45">
      <c r="M1366" t="s">
        <v>191</v>
      </c>
    </row>
    <row r="1367" spans="13:13" x14ac:dyDescent="0.45">
      <c r="M1367" t="s">
        <v>6316</v>
      </c>
    </row>
    <row r="1368" spans="13:13" x14ac:dyDescent="0.45">
      <c r="M1368" t="s">
        <v>6317</v>
      </c>
    </row>
    <row r="1369" spans="13:13" x14ac:dyDescent="0.45">
      <c r="M1369" t="s">
        <v>3507</v>
      </c>
    </row>
    <row r="1370" spans="13:13" x14ac:dyDescent="0.45">
      <c r="M1370" t="s">
        <v>3508</v>
      </c>
    </row>
    <row r="1371" spans="13:13" x14ac:dyDescent="0.45">
      <c r="M1371" t="s">
        <v>3509</v>
      </c>
    </row>
    <row r="1372" spans="13:13" x14ac:dyDescent="0.45">
      <c r="M1372" t="s">
        <v>3706</v>
      </c>
    </row>
    <row r="1373" spans="13:13" x14ac:dyDescent="0.45">
      <c r="M1373" t="s">
        <v>6318</v>
      </c>
    </row>
    <row r="1374" spans="13:13" x14ac:dyDescent="0.45">
      <c r="M1374" t="s">
        <v>3510</v>
      </c>
    </row>
    <row r="1375" spans="13:13" x14ac:dyDescent="0.45">
      <c r="M1375" t="s">
        <v>6319</v>
      </c>
    </row>
    <row r="1376" spans="13:13" x14ac:dyDescent="0.45">
      <c r="M1376" t="s">
        <v>6320</v>
      </c>
    </row>
    <row r="1377" spans="13:13" x14ac:dyDescent="0.45">
      <c r="M1377" t="s">
        <v>3511</v>
      </c>
    </row>
    <row r="1378" spans="13:13" x14ac:dyDescent="0.45">
      <c r="M1378" t="s">
        <v>3512</v>
      </c>
    </row>
    <row r="1379" spans="13:13" x14ac:dyDescent="0.45">
      <c r="M1379" t="s">
        <v>6321</v>
      </c>
    </row>
    <row r="1380" spans="13:13" x14ac:dyDescent="0.45">
      <c r="M1380" t="s">
        <v>6322</v>
      </c>
    </row>
    <row r="1381" spans="13:13" x14ac:dyDescent="0.45">
      <c r="M1381" t="s">
        <v>3513</v>
      </c>
    </row>
    <row r="1382" spans="13:13" x14ac:dyDescent="0.45">
      <c r="M1382" t="s">
        <v>6323</v>
      </c>
    </row>
    <row r="1383" spans="13:13" x14ac:dyDescent="0.45">
      <c r="M1383" t="s">
        <v>6324</v>
      </c>
    </row>
    <row r="1384" spans="13:13" x14ac:dyDescent="0.45">
      <c r="M1384" t="s">
        <v>3514</v>
      </c>
    </row>
    <row r="1385" spans="13:13" x14ac:dyDescent="0.45">
      <c r="M1385" t="s">
        <v>3567</v>
      </c>
    </row>
    <row r="1386" spans="13:13" x14ac:dyDescent="0.45">
      <c r="M1386" t="s">
        <v>6325</v>
      </c>
    </row>
    <row r="1387" spans="13:13" x14ac:dyDescent="0.45">
      <c r="M1387" t="s">
        <v>192</v>
      </c>
    </row>
    <row r="1388" spans="13:13" x14ac:dyDescent="0.45">
      <c r="M1388" t="s">
        <v>6326</v>
      </c>
    </row>
    <row r="1389" spans="13:13" x14ac:dyDescent="0.45">
      <c r="M1389" t="s">
        <v>3568</v>
      </c>
    </row>
    <row r="1390" spans="13:13" x14ac:dyDescent="0.45">
      <c r="M1390" t="s">
        <v>3569</v>
      </c>
    </row>
    <row r="1391" spans="13:13" x14ac:dyDescent="0.45">
      <c r="M1391" t="s">
        <v>6327</v>
      </c>
    </row>
    <row r="1392" spans="13:13" x14ac:dyDescent="0.45">
      <c r="M1392" t="s">
        <v>3570</v>
      </c>
    </row>
    <row r="1393" spans="13:13" x14ac:dyDescent="0.45">
      <c r="M1393" t="s">
        <v>3571</v>
      </c>
    </row>
    <row r="1394" spans="13:13" x14ac:dyDescent="0.45">
      <c r="M1394" t="s">
        <v>3689</v>
      </c>
    </row>
    <row r="1395" spans="13:13" x14ac:dyDescent="0.45">
      <c r="M1395" t="s">
        <v>3572</v>
      </c>
    </row>
    <row r="1396" spans="13:13" x14ac:dyDescent="0.45">
      <c r="M1396" t="s">
        <v>6328</v>
      </c>
    </row>
    <row r="1397" spans="13:13" x14ac:dyDescent="0.45">
      <c r="M1397" t="s">
        <v>3747</v>
      </c>
    </row>
    <row r="1398" spans="13:13" x14ac:dyDescent="0.45">
      <c r="M1398" t="s">
        <v>6329</v>
      </c>
    </row>
    <row r="1399" spans="13:13" x14ac:dyDescent="0.45">
      <c r="M1399" t="s">
        <v>3573</v>
      </c>
    </row>
    <row r="1400" spans="13:13" x14ac:dyDescent="0.45">
      <c r="M1400" t="s">
        <v>3574</v>
      </c>
    </row>
    <row r="1401" spans="13:13" x14ac:dyDescent="0.45">
      <c r="M1401" t="s">
        <v>3575</v>
      </c>
    </row>
    <row r="1402" spans="13:13" x14ac:dyDescent="0.45">
      <c r="M1402" t="s">
        <v>3638</v>
      </c>
    </row>
    <row r="1403" spans="13:13" x14ac:dyDescent="0.45">
      <c r="M1403" t="s">
        <v>3639</v>
      </c>
    </row>
    <row r="1404" spans="13:13" x14ac:dyDescent="0.45">
      <c r="M1404" t="s">
        <v>3640</v>
      </c>
    </row>
    <row r="1405" spans="13:13" x14ac:dyDescent="0.45">
      <c r="M1405" t="s">
        <v>6330</v>
      </c>
    </row>
    <row r="1406" spans="13:13" x14ac:dyDescent="0.45">
      <c r="M1406" t="s">
        <v>3641</v>
      </c>
    </row>
    <row r="1407" spans="13:13" x14ac:dyDescent="0.45">
      <c r="M1407" t="s">
        <v>3642</v>
      </c>
    </row>
    <row r="1408" spans="13:13" x14ac:dyDescent="0.45">
      <c r="M1408" t="s">
        <v>3643</v>
      </c>
    </row>
    <row r="1409" spans="13:13" x14ac:dyDescent="0.45">
      <c r="M1409" t="s">
        <v>3644</v>
      </c>
    </row>
    <row r="1410" spans="13:13" x14ac:dyDescent="0.45">
      <c r="M1410" t="s">
        <v>3645</v>
      </c>
    </row>
    <row r="1411" spans="13:13" x14ac:dyDescent="0.45">
      <c r="M1411" t="s">
        <v>3646</v>
      </c>
    </row>
    <row r="1412" spans="13:13" x14ac:dyDescent="0.45">
      <c r="M1412" t="s">
        <v>3647</v>
      </c>
    </row>
    <row r="1413" spans="13:13" x14ac:dyDescent="0.45">
      <c r="M1413" t="s">
        <v>3648</v>
      </c>
    </row>
    <row r="1414" spans="13:13" x14ac:dyDescent="0.45">
      <c r="M1414" t="s">
        <v>2598</v>
      </c>
    </row>
    <row r="1415" spans="13:13" x14ac:dyDescent="0.45">
      <c r="M1415" t="s">
        <v>2599</v>
      </c>
    </row>
    <row r="1416" spans="13:13" x14ac:dyDescent="0.45">
      <c r="M1416" t="s">
        <v>2600</v>
      </c>
    </row>
    <row r="1417" spans="13:13" x14ac:dyDescent="0.45">
      <c r="M1417" t="s">
        <v>6331</v>
      </c>
    </row>
    <row r="1418" spans="13:13" x14ac:dyDescent="0.45">
      <c r="M1418" t="s">
        <v>6332</v>
      </c>
    </row>
    <row r="1419" spans="13:13" x14ac:dyDescent="0.45">
      <c r="M1419" t="s">
        <v>2601</v>
      </c>
    </row>
    <row r="1420" spans="13:13" x14ac:dyDescent="0.45">
      <c r="M1420" t="s">
        <v>2602</v>
      </c>
    </row>
    <row r="1421" spans="13:13" x14ac:dyDescent="0.45">
      <c r="M1421" t="s">
        <v>2603</v>
      </c>
    </row>
    <row r="1422" spans="13:13" x14ac:dyDescent="0.45">
      <c r="M1422" t="s">
        <v>193</v>
      </c>
    </row>
    <row r="1423" spans="13:13" x14ac:dyDescent="0.45">
      <c r="M1423" t="s">
        <v>6333</v>
      </c>
    </row>
    <row r="1424" spans="13:13" x14ac:dyDescent="0.45">
      <c r="M1424" t="s">
        <v>2604</v>
      </c>
    </row>
    <row r="1425" spans="13:13" x14ac:dyDescent="0.45">
      <c r="M1425" t="s">
        <v>6334</v>
      </c>
    </row>
    <row r="1426" spans="13:13" x14ac:dyDescent="0.45">
      <c r="M1426" t="s">
        <v>6335</v>
      </c>
    </row>
    <row r="1427" spans="13:13" x14ac:dyDescent="0.45">
      <c r="M1427" t="s">
        <v>6336</v>
      </c>
    </row>
    <row r="1428" spans="13:13" x14ac:dyDescent="0.45">
      <c r="M1428" t="s">
        <v>3829</v>
      </c>
    </row>
    <row r="1429" spans="13:13" x14ac:dyDescent="0.45">
      <c r="M1429" t="s">
        <v>3601</v>
      </c>
    </row>
    <row r="1430" spans="13:13" x14ac:dyDescent="0.45">
      <c r="M1430" t="s">
        <v>3602</v>
      </c>
    </row>
    <row r="1431" spans="13:13" x14ac:dyDescent="0.45">
      <c r="M1431" t="s">
        <v>3603</v>
      </c>
    </row>
    <row r="1432" spans="13:13" x14ac:dyDescent="0.45">
      <c r="M1432" t="s">
        <v>3604</v>
      </c>
    </row>
    <row r="1433" spans="13:13" x14ac:dyDescent="0.45">
      <c r="M1433" t="s">
        <v>6337</v>
      </c>
    </row>
    <row r="1434" spans="13:13" x14ac:dyDescent="0.45">
      <c r="M1434" t="s">
        <v>3605</v>
      </c>
    </row>
    <row r="1435" spans="13:13" x14ac:dyDescent="0.45">
      <c r="M1435" t="s">
        <v>6338</v>
      </c>
    </row>
    <row r="1436" spans="13:13" x14ac:dyDescent="0.45">
      <c r="M1436" t="s">
        <v>6339</v>
      </c>
    </row>
    <row r="1437" spans="13:13" x14ac:dyDescent="0.45">
      <c r="M1437" t="s">
        <v>3606</v>
      </c>
    </row>
    <row r="1438" spans="13:13" x14ac:dyDescent="0.45">
      <c r="M1438" t="s">
        <v>3607</v>
      </c>
    </row>
    <row r="1439" spans="13:13" x14ac:dyDescent="0.45">
      <c r="M1439" t="s">
        <v>6340</v>
      </c>
    </row>
    <row r="1440" spans="13:13" x14ac:dyDescent="0.45">
      <c r="M1440" t="s">
        <v>6341</v>
      </c>
    </row>
    <row r="1441" spans="13:13" x14ac:dyDescent="0.45">
      <c r="M1441" t="s">
        <v>3608</v>
      </c>
    </row>
    <row r="1442" spans="13:13" x14ac:dyDescent="0.45">
      <c r="M1442" t="s">
        <v>3609</v>
      </c>
    </row>
    <row r="1443" spans="13:13" x14ac:dyDescent="0.45">
      <c r="M1443" t="s">
        <v>3052</v>
      </c>
    </row>
    <row r="1444" spans="13:13" x14ac:dyDescent="0.45">
      <c r="M1444" t="s">
        <v>6342</v>
      </c>
    </row>
    <row r="1445" spans="13:13" x14ac:dyDescent="0.45">
      <c r="M1445" t="s">
        <v>6343</v>
      </c>
    </row>
    <row r="1446" spans="13:13" x14ac:dyDescent="0.45">
      <c r="M1446" t="s">
        <v>6344</v>
      </c>
    </row>
    <row r="1447" spans="13:13" x14ac:dyDescent="0.45">
      <c r="M1447" t="s">
        <v>3108</v>
      </c>
    </row>
    <row r="1448" spans="13:13" x14ac:dyDescent="0.45">
      <c r="M1448" t="s">
        <v>3109</v>
      </c>
    </row>
    <row r="1449" spans="13:13" x14ac:dyDescent="0.45">
      <c r="M1449" t="s">
        <v>6345</v>
      </c>
    </row>
    <row r="1450" spans="13:13" x14ac:dyDescent="0.45">
      <c r="M1450" t="s">
        <v>6346</v>
      </c>
    </row>
    <row r="1451" spans="13:13" x14ac:dyDescent="0.45">
      <c r="M1451" t="s">
        <v>6347</v>
      </c>
    </row>
    <row r="1452" spans="13:13" x14ac:dyDescent="0.45">
      <c r="M1452" t="s">
        <v>3110</v>
      </c>
    </row>
    <row r="1453" spans="13:13" x14ac:dyDescent="0.45">
      <c r="M1453" t="s">
        <v>6348</v>
      </c>
    </row>
    <row r="1454" spans="13:13" x14ac:dyDescent="0.45">
      <c r="M1454" t="s">
        <v>6349</v>
      </c>
    </row>
    <row r="1455" spans="13:13" x14ac:dyDescent="0.45">
      <c r="M1455" t="s">
        <v>6350</v>
      </c>
    </row>
    <row r="1456" spans="13:13" x14ac:dyDescent="0.45">
      <c r="M1456" t="s">
        <v>6351</v>
      </c>
    </row>
    <row r="1457" spans="13:13" x14ac:dyDescent="0.45">
      <c r="M1457" t="s">
        <v>6352</v>
      </c>
    </row>
    <row r="1458" spans="13:13" x14ac:dyDescent="0.45">
      <c r="M1458" t="s">
        <v>6353</v>
      </c>
    </row>
    <row r="1459" spans="13:13" x14ac:dyDescent="0.45">
      <c r="M1459" t="s">
        <v>3111</v>
      </c>
    </row>
    <row r="1460" spans="13:13" x14ac:dyDescent="0.45">
      <c r="M1460" t="s">
        <v>3112</v>
      </c>
    </row>
    <row r="1461" spans="13:13" x14ac:dyDescent="0.45">
      <c r="M1461" t="s">
        <v>6354</v>
      </c>
    </row>
    <row r="1462" spans="13:13" x14ac:dyDescent="0.45">
      <c r="M1462" t="s">
        <v>6355</v>
      </c>
    </row>
    <row r="1463" spans="13:13" x14ac:dyDescent="0.45">
      <c r="M1463" t="s">
        <v>3113</v>
      </c>
    </row>
    <row r="1464" spans="13:13" x14ac:dyDescent="0.45">
      <c r="M1464" t="s">
        <v>6356</v>
      </c>
    </row>
    <row r="1465" spans="13:13" x14ac:dyDescent="0.45">
      <c r="M1465" t="s">
        <v>6357</v>
      </c>
    </row>
    <row r="1466" spans="13:13" x14ac:dyDescent="0.45">
      <c r="M1466" t="s">
        <v>6358</v>
      </c>
    </row>
    <row r="1467" spans="13:13" x14ac:dyDescent="0.45">
      <c r="M1467" t="s">
        <v>3168</v>
      </c>
    </row>
    <row r="1468" spans="13:13" x14ac:dyDescent="0.45">
      <c r="M1468" t="s">
        <v>3169</v>
      </c>
    </row>
    <row r="1469" spans="13:13" x14ac:dyDescent="0.45">
      <c r="M1469" t="s">
        <v>3170</v>
      </c>
    </row>
    <row r="1470" spans="13:13" x14ac:dyDescent="0.45">
      <c r="M1470" t="s">
        <v>3171</v>
      </c>
    </row>
    <row r="1471" spans="13:13" x14ac:dyDescent="0.45">
      <c r="M1471" t="s">
        <v>3789</v>
      </c>
    </row>
    <row r="1472" spans="13:13" x14ac:dyDescent="0.45">
      <c r="M1472" t="s">
        <v>6359</v>
      </c>
    </row>
    <row r="1473" spans="13:13" x14ac:dyDescent="0.45">
      <c r="M1473" t="s">
        <v>3172</v>
      </c>
    </row>
    <row r="1474" spans="13:13" x14ac:dyDescent="0.45">
      <c r="M1474" t="s">
        <v>3173</v>
      </c>
    </row>
    <row r="1475" spans="13:13" x14ac:dyDescent="0.45">
      <c r="M1475" t="s">
        <v>3174</v>
      </c>
    </row>
    <row r="1476" spans="13:13" x14ac:dyDescent="0.45">
      <c r="M1476" t="s">
        <v>6360</v>
      </c>
    </row>
    <row r="1477" spans="13:13" x14ac:dyDescent="0.45">
      <c r="M1477" t="s">
        <v>6361</v>
      </c>
    </row>
    <row r="1478" spans="13:13" x14ac:dyDescent="0.45">
      <c r="M1478" t="s">
        <v>6362</v>
      </c>
    </row>
    <row r="1479" spans="13:13" x14ac:dyDescent="0.45">
      <c r="M1479" t="s">
        <v>6363</v>
      </c>
    </row>
    <row r="1480" spans="13:13" x14ac:dyDescent="0.45">
      <c r="M1480" t="s">
        <v>3175</v>
      </c>
    </row>
    <row r="1481" spans="13:13" x14ac:dyDescent="0.45">
      <c r="M1481" t="s">
        <v>3176</v>
      </c>
    </row>
    <row r="1482" spans="13:13" x14ac:dyDescent="0.45">
      <c r="M1482" t="s">
        <v>3244</v>
      </c>
    </row>
    <row r="1483" spans="13:13" x14ac:dyDescent="0.45">
      <c r="M1483" t="s">
        <v>6364</v>
      </c>
    </row>
    <row r="1484" spans="13:13" x14ac:dyDescent="0.45">
      <c r="M1484" t="s">
        <v>6365</v>
      </c>
    </row>
    <row r="1485" spans="13:13" x14ac:dyDescent="0.45">
      <c r="M1485" t="s">
        <v>6366</v>
      </c>
    </row>
    <row r="1486" spans="13:13" x14ac:dyDescent="0.45">
      <c r="M1486" t="s">
        <v>3245</v>
      </c>
    </row>
    <row r="1487" spans="13:13" x14ac:dyDescent="0.45">
      <c r="M1487" t="s">
        <v>6367</v>
      </c>
    </row>
    <row r="1488" spans="13:13" x14ac:dyDescent="0.45">
      <c r="M1488" t="s">
        <v>6368</v>
      </c>
    </row>
    <row r="1489" spans="13:13" x14ac:dyDescent="0.45">
      <c r="M1489" t="s">
        <v>6369</v>
      </c>
    </row>
    <row r="1490" spans="13:13" x14ac:dyDescent="0.45">
      <c r="M1490" t="s">
        <v>6370</v>
      </c>
    </row>
    <row r="1491" spans="13:13" x14ac:dyDescent="0.45">
      <c r="M1491" t="s">
        <v>3246</v>
      </c>
    </row>
    <row r="1492" spans="13:13" x14ac:dyDescent="0.45">
      <c r="M1492" t="s">
        <v>6371</v>
      </c>
    </row>
    <row r="1493" spans="13:13" x14ac:dyDescent="0.45">
      <c r="M1493" t="s">
        <v>3247</v>
      </c>
    </row>
    <row r="1494" spans="13:13" x14ac:dyDescent="0.45">
      <c r="M1494" t="s">
        <v>3248</v>
      </c>
    </row>
    <row r="1495" spans="13:13" x14ac:dyDescent="0.45">
      <c r="M1495" t="s">
        <v>6372</v>
      </c>
    </row>
    <row r="1496" spans="13:13" x14ac:dyDescent="0.45">
      <c r="M1496" t="s">
        <v>6373</v>
      </c>
    </row>
    <row r="1497" spans="13:13" x14ac:dyDescent="0.45">
      <c r="M1497" t="s">
        <v>3308</v>
      </c>
    </row>
    <row r="1498" spans="13:13" x14ac:dyDescent="0.45">
      <c r="M1498" t="s">
        <v>6374</v>
      </c>
    </row>
    <row r="1499" spans="13:13" x14ac:dyDescent="0.45">
      <c r="M1499" t="s">
        <v>3309</v>
      </c>
    </row>
    <row r="1500" spans="13:13" x14ac:dyDescent="0.45">
      <c r="M1500" t="s">
        <v>3310</v>
      </c>
    </row>
    <row r="1501" spans="13:13" x14ac:dyDescent="0.45">
      <c r="M1501" t="s">
        <v>3311</v>
      </c>
    </row>
    <row r="1502" spans="13:13" x14ac:dyDescent="0.45">
      <c r="M1502" t="s">
        <v>6375</v>
      </c>
    </row>
    <row r="1503" spans="13:13" x14ac:dyDescent="0.45">
      <c r="M1503" t="s">
        <v>6376</v>
      </c>
    </row>
    <row r="1504" spans="13:13" x14ac:dyDescent="0.45">
      <c r="M1504" t="s">
        <v>6377</v>
      </c>
    </row>
    <row r="1505" spans="13:13" x14ac:dyDescent="0.45">
      <c r="M1505" t="s">
        <v>6378</v>
      </c>
    </row>
    <row r="1506" spans="13:13" x14ac:dyDescent="0.45">
      <c r="M1506" t="s">
        <v>3312</v>
      </c>
    </row>
    <row r="1507" spans="13:13" x14ac:dyDescent="0.45">
      <c r="M1507" t="s">
        <v>3313</v>
      </c>
    </row>
    <row r="1508" spans="13:13" x14ac:dyDescent="0.45">
      <c r="M1508" t="s">
        <v>3314</v>
      </c>
    </row>
    <row r="1509" spans="13:13" x14ac:dyDescent="0.45">
      <c r="M1509" t="s">
        <v>3315</v>
      </c>
    </row>
    <row r="1510" spans="13:13" x14ac:dyDescent="0.45">
      <c r="M1510" t="s">
        <v>6379</v>
      </c>
    </row>
    <row r="1511" spans="13:13" x14ac:dyDescent="0.45">
      <c r="M1511" t="s">
        <v>3704</v>
      </c>
    </row>
    <row r="1512" spans="13:13" x14ac:dyDescent="0.45">
      <c r="M1512" t="s">
        <v>3695</v>
      </c>
    </row>
    <row r="1513" spans="13:13" x14ac:dyDescent="0.45">
      <c r="M1513" t="s">
        <v>6380</v>
      </c>
    </row>
    <row r="1514" spans="13:13" x14ac:dyDescent="0.45">
      <c r="M1514" t="s">
        <v>3797</v>
      </c>
    </row>
    <row r="1515" spans="13:13" x14ac:dyDescent="0.45">
      <c r="M1515" t="s">
        <v>3393</v>
      </c>
    </row>
    <row r="1516" spans="13:13" x14ac:dyDescent="0.45">
      <c r="M1516" t="s">
        <v>3780</v>
      </c>
    </row>
    <row r="1517" spans="13:13" x14ac:dyDescent="0.45">
      <c r="M1517" t="s">
        <v>3394</v>
      </c>
    </row>
    <row r="1518" spans="13:13" x14ac:dyDescent="0.45">
      <c r="M1518" t="s">
        <v>194</v>
      </c>
    </row>
    <row r="1519" spans="13:13" x14ac:dyDescent="0.45">
      <c r="M1519" t="s">
        <v>6381</v>
      </c>
    </row>
    <row r="1520" spans="13:13" x14ac:dyDescent="0.45">
      <c r="M1520" t="s">
        <v>3395</v>
      </c>
    </row>
    <row r="1521" spans="13:13" x14ac:dyDescent="0.45">
      <c r="M1521" t="s">
        <v>3396</v>
      </c>
    </row>
    <row r="1522" spans="13:13" x14ac:dyDescent="0.45">
      <c r="M1522" t="s">
        <v>3397</v>
      </c>
    </row>
    <row r="1523" spans="13:13" x14ac:dyDescent="0.45">
      <c r="M1523" t="s">
        <v>3398</v>
      </c>
    </row>
    <row r="1524" spans="13:13" x14ac:dyDescent="0.45">
      <c r="M1524" t="s">
        <v>3768</v>
      </c>
    </row>
    <row r="1525" spans="13:13" x14ac:dyDescent="0.45">
      <c r="M1525" t="s">
        <v>3399</v>
      </c>
    </row>
    <row r="1526" spans="13:13" x14ac:dyDescent="0.45">
      <c r="M1526" t="s">
        <v>3400</v>
      </c>
    </row>
    <row r="1527" spans="13:13" x14ac:dyDescent="0.45">
      <c r="M1527" t="s">
        <v>3401</v>
      </c>
    </row>
    <row r="1528" spans="13:13" x14ac:dyDescent="0.45">
      <c r="M1528" t="s">
        <v>6382</v>
      </c>
    </row>
    <row r="1529" spans="13:13" x14ac:dyDescent="0.45">
      <c r="M1529" t="s">
        <v>3471</v>
      </c>
    </row>
    <row r="1530" spans="13:13" x14ac:dyDescent="0.45">
      <c r="M1530" t="s">
        <v>6383</v>
      </c>
    </row>
    <row r="1531" spans="13:13" x14ac:dyDescent="0.45">
      <c r="M1531" t="s">
        <v>3818</v>
      </c>
    </row>
    <row r="1532" spans="13:13" x14ac:dyDescent="0.45">
      <c r="M1532" t="s">
        <v>3470</v>
      </c>
    </row>
    <row r="1533" spans="13:13" x14ac:dyDescent="0.45">
      <c r="M1533" t="s">
        <v>3472</v>
      </c>
    </row>
    <row r="1534" spans="13:13" x14ac:dyDescent="0.45">
      <c r="M1534" t="s">
        <v>6384</v>
      </c>
    </row>
    <row r="1535" spans="13:13" x14ac:dyDescent="0.45">
      <c r="M1535" t="s">
        <v>6385</v>
      </c>
    </row>
    <row r="1536" spans="13:13" x14ac:dyDescent="0.45">
      <c r="M1536" t="s">
        <v>6386</v>
      </c>
    </row>
    <row r="1537" spans="13:13" x14ac:dyDescent="0.45">
      <c r="M1537" t="s">
        <v>6387</v>
      </c>
    </row>
    <row r="1538" spans="13:13" x14ac:dyDescent="0.45">
      <c r="M1538" t="s">
        <v>6388</v>
      </c>
    </row>
    <row r="1539" spans="13:13" x14ac:dyDescent="0.45">
      <c r="M1539" t="s">
        <v>3473</v>
      </c>
    </row>
    <row r="1540" spans="13:13" x14ac:dyDescent="0.45">
      <c r="M1540" t="s">
        <v>6389</v>
      </c>
    </row>
    <row r="1541" spans="13:13" x14ac:dyDescent="0.45">
      <c r="M1541" t="s">
        <v>3474</v>
      </c>
    </row>
    <row r="1542" spans="13:13" x14ac:dyDescent="0.45">
      <c r="M1542" t="s">
        <v>6390</v>
      </c>
    </row>
    <row r="1543" spans="13:13" x14ac:dyDescent="0.45">
      <c r="M1543" t="s">
        <v>3475</v>
      </c>
    </row>
    <row r="1544" spans="13:13" x14ac:dyDescent="0.45">
      <c r="M1544" t="s">
        <v>3476</v>
      </c>
    </row>
    <row r="1545" spans="13:13" x14ac:dyDescent="0.45">
      <c r="M1545" t="s">
        <v>3477</v>
      </c>
    </row>
    <row r="1546" spans="13:13" x14ac:dyDescent="0.45">
      <c r="M1546" t="s">
        <v>3478</v>
      </c>
    </row>
    <row r="1547" spans="13:13" x14ac:dyDescent="0.45">
      <c r="M1547" t="s">
        <v>6391</v>
      </c>
    </row>
    <row r="1548" spans="13:13" x14ac:dyDescent="0.45">
      <c r="M1548" t="s">
        <v>6392</v>
      </c>
    </row>
    <row r="1549" spans="13:13" x14ac:dyDescent="0.45">
      <c r="M1549" t="s">
        <v>6393</v>
      </c>
    </row>
    <row r="1550" spans="13:13" x14ac:dyDescent="0.45">
      <c r="M1550" t="s">
        <v>3536</v>
      </c>
    </row>
    <row r="1551" spans="13:13" x14ac:dyDescent="0.45">
      <c r="M1551" t="s">
        <v>3537</v>
      </c>
    </row>
    <row r="1552" spans="13:13" x14ac:dyDescent="0.45">
      <c r="M1552" t="s">
        <v>6394</v>
      </c>
    </row>
    <row r="1553" spans="13:13" x14ac:dyDescent="0.45">
      <c r="M1553" t="s">
        <v>3538</v>
      </c>
    </row>
    <row r="1554" spans="13:13" x14ac:dyDescent="0.45">
      <c r="M1554" t="s">
        <v>3725</v>
      </c>
    </row>
    <row r="1555" spans="13:13" x14ac:dyDescent="0.45">
      <c r="M1555" t="s">
        <v>6395</v>
      </c>
    </row>
    <row r="1556" spans="13:13" x14ac:dyDescent="0.45">
      <c r="M1556" t="s">
        <v>3539</v>
      </c>
    </row>
    <row r="1557" spans="13:13" x14ac:dyDescent="0.45">
      <c r="M1557" t="s">
        <v>6396</v>
      </c>
    </row>
    <row r="1558" spans="13:13" x14ac:dyDescent="0.45">
      <c r="M1558" t="s">
        <v>3540</v>
      </c>
    </row>
    <row r="1559" spans="13:13" x14ac:dyDescent="0.45">
      <c r="M1559" t="s">
        <v>3541</v>
      </c>
    </row>
    <row r="1560" spans="13:13" x14ac:dyDescent="0.45">
      <c r="M1560" t="s">
        <v>3542</v>
      </c>
    </row>
    <row r="1561" spans="13:13" x14ac:dyDescent="0.45">
      <c r="M1561" t="s">
        <v>3543</v>
      </c>
    </row>
    <row r="1562" spans="13:13" x14ac:dyDescent="0.45">
      <c r="M1562" t="s">
        <v>3544</v>
      </c>
    </row>
    <row r="1563" spans="13:13" x14ac:dyDescent="0.45">
      <c r="M1563" t="s">
        <v>6397</v>
      </c>
    </row>
    <row r="1564" spans="13:13" x14ac:dyDescent="0.45">
      <c r="M1564" t="s">
        <v>2605</v>
      </c>
    </row>
    <row r="1565" spans="13:13" x14ac:dyDescent="0.45">
      <c r="M1565" t="s">
        <v>2667</v>
      </c>
    </row>
    <row r="1566" spans="13:13" x14ac:dyDescent="0.45">
      <c r="M1566" t="s">
        <v>2668</v>
      </c>
    </row>
    <row r="1567" spans="13:13" x14ac:dyDescent="0.45">
      <c r="M1567" t="s">
        <v>2669</v>
      </c>
    </row>
    <row r="1568" spans="13:13" x14ac:dyDescent="0.45">
      <c r="M1568" t="s">
        <v>2670</v>
      </c>
    </row>
    <row r="1569" spans="13:13" x14ac:dyDescent="0.45">
      <c r="M1569" t="s">
        <v>2671</v>
      </c>
    </row>
    <row r="1570" spans="13:13" x14ac:dyDescent="0.45">
      <c r="M1570" t="s">
        <v>2672</v>
      </c>
    </row>
    <row r="1571" spans="13:13" x14ac:dyDescent="0.45">
      <c r="M1571" t="s">
        <v>2673</v>
      </c>
    </row>
    <row r="1572" spans="13:13" x14ac:dyDescent="0.45">
      <c r="M1572" t="s">
        <v>2674</v>
      </c>
    </row>
    <row r="1573" spans="13:13" x14ac:dyDescent="0.45">
      <c r="M1573" t="s">
        <v>2675</v>
      </c>
    </row>
    <row r="1574" spans="13:13" x14ac:dyDescent="0.45">
      <c r="M1574" t="s">
        <v>2676</v>
      </c>
    </row>
    <row r="1575" spans="13:13" x14ac:dyDescent="0.45">
      <c r="M1575" t="s">
        <v>2677</v>
      </c>
    </row>
    <row r="1576" spans="13:13" x14ac:dyDescent="0.45">
      <c r="M1576" t="s">
        <v>2739</v>
      </c>
    </row>
    <row r="1577" spans="13:13" x14ac:dyDescent="0.45">
      <c r="M1577" t="s">
        <v>2740</v>
      </c>
    </row>
    <row r="1578" spans="13:13" x14ac:dyDescent="0.45">
      <c r="M1578" t="s">
        <v>6398</v>
      </c>
    </row>
    <row r="1579" spans="13:13" x14ac:dyDescent="0.45">
      <c r="M1579" t="s">
        <v>6399</v>
      </c>
    </row>
    <row r="1580" spans="13:13" x14ac:dyDescent="0.45">
      <c r="M1580" t="s">
        <v>3760</v>
      </c>
    </row>
    <row r="1581" spans="13:13" x14ac:dyDescent="0.45">
      <c r="M1581" t="s">
        <v>2741</v>
      </c>
    </row>
    <row r="1582" spans="13:13" x14ac:dyDescent="0.45">
      <c r="M1582" t="s">
        <v>6400</v>
      </c>
    </row>
    <row r="1583" spans="13:13" x14ac:dyDescent="0.45">
      <c r="M1583" t="s">
        <v>6401</v>
      </c>
    </row>
    <row r="1584" spans="13:13" x14ac:dyDescent="0.45">
      <c r="M1584" t="s">
        <v>6402</v>
      </c>
    </row>
    <row r="1585" spans="13:13" x14ac:dyDescent="0.45">
      <c r="M1585" t="s">
        <v>6403</v>
      </c>
    </row>
    <row r="1586" spans="13:13" x14ac:dyDescent="0.45">
      <c r="M1586" t="s">
        <v>2742</v>
      </c>
    </row>
    <row r="1587" spans="13:13" x14ac:dyDescent="0.45">
      <c r="M1587" t="s">
        <v>6404</v>
      </c>
    </row>
    <row r="1588" spans="13:13" x14ac:dyDescent="0.45">
      <c r="M1588" t="s">
        <v>6405</v>
      </c>
    </row>
    <row r="1589" spans="13:13" x14ac:dyDescent="0.45">
      <c r="M1589" t="s">
        <v>2743</v>
      </c>
    </row>
    <row r="1590" spans="13:13" x14ac:dyDescent="0.45">
      <c r="M1590" t="s">
        <v>6406</v>
      </c>
    </row>
    <row r="1591" spans="13:13" x14ac:dyDescent="0.45">
      <c r="M1591" t="s">
        <v>6407</v>
      </c>
    </row>
    <row r="1592" spans="13:13" x14ac:dyDescent="0.45">
      <c r="M1592" t="s">
        <v>2744</v>
      </c>
    </row>
    <row r="1593" spans="13:13" x14ac:dyDescent="0.45">
      <c r="M1593" t="s">
        <v>2745</v>
      </c>
    </row>
    <row r="1594" spans="13:13" x14ac:dyDescent="0.45">
      <c r="M1594" t="s">
        <v>2746</v>
      </c>
    </row>
    <row r="1595" spans="13:13" x14ac:dyDescent="0.45">
      <c r="M1595" t="s">
        <v>3735</v>
      </c>
    </row>
    <row r="1596" spans="13:13" x14ac:dyDescent="0.45">
      <c r="M1596" t="s">
        <v>2808</v>
      </c>
    </row>
    <row r="1597" spans="13:13" x14ac:dyDescent="0.45">
      <c r="M1597" t="s">
        <v>3832</v>
      </c>
    </row>
    <row r="1598" spans="13:13" x14ac:dyDescent="0.45">
      <c r="M1598" t="s">
        <v>6408</v>
      </c>
    </row>
    <row r="1599" spans="13:13" x14ac:dyDescent="0.45">
      <c r="M1599" t="s">
        <v>2809</v>
      </c>
    </row>
    <row r="1600" spans="13:13" x14ac:dyDescent="0.45">
      <c r="M1600" t="s">
        <v>6409</v>
      </c>
    </row>
    <row r="1601" spans="13:13" x14ac:dyDescent="0.45">
      <c r="M1601" t="s">
        <v>6410</v>
      </c>
    </row>
    <row r="1602" spans="13:13" x14ac:dyDescent="0.45">
      <c r="M1602" t="s">
        <v>804</v>
      </c>
    </row>
    <row r="1603" spans="13:13" x14ac:dyDescent="0.45">
      <c r="M1603" t="s">
        <v>2810</v>
      </c>
    </row>
    <row r="1604" spans="13:13" x14ac:dyDescent="0.45">
      <c r="M1604" t="s">
        <v>805</v>
      </c>
    </row>
    <row r="1605" spans="13:13" x14ac:dyDescent="0.45">
      <c r="M1605" t="s">
        <v>6411</v>
      </c>
    </row>
    <row r="1606" spans="13:13" x14ac:dyDescent="0.45">
      <c r="M1606" t="s">
        <v>6412</v>
      </c>
    </row>
    <row r="1607" spans="13:13" x14ac:dyDescent="0.45">
      <c r="M1607" t="s">
        <v>2811</v>
      </c>
    </row>
    <row r="1608" spans="13:13" x14ac:dyDescent="0.45">
      <c r="M1608" t="s">
        <v>2554</v>
      </c>
    </row>
    <row r="1609" spans="13:13" x14ac:dyDescent="0.45">
      <c r="M1609" t="s">
        <v>806</v>
      </c>
    </row>
    <row r="1610" spans="13:13" x14ac:dyDescent="0.45">
      <c r="M1610" t="s">
        <v>2812</v>
      </c>
    </row>
    <row r="1611" spans="13:13" x14ac:dyDescent="0.45">
      <c r="M1611" t="s">
        <v>3819</v>
      </c>
    </row>
    <row r="1612" spans="13:13" x14ac:dyDescent="0.45">
      <c r="M1612" t="s">
        <v>6413</v>
      </c>
    </row>
    <row r="1613" spans="13:13" x14ac:dyDescent="0.45">
      <c r="M1613" t="s">
        <v>6414</v>
      </c>
    </row>
    <row r="1614" spans="13:13" x14ac:dyDescent="0.45">
      <c r="M1614" t="s">
        <v>6415</v>
      </c>
    </row>
    <row r="1615" spans="13:13" x14ac:dyDescent="0.45">
      <c r="M1615" t="s">
        <v>6416</v>
      </c>
    </row>
    <row r="1616" spans="13:13" x14ac:dyDescent="0.45">
      <c r="M1616" t="s">
        <v>6417</v>
      </c>
    </row>
    <row r="1617" spans="13:13" x14ac:dyDescent="0.45">
      <c r="M1617" t="s">
        <v>3830</v>
      </c>
    </row>
    <row r="1618" spans="13:13" x14ac:dyDescent="0.45">
      <c r="M1618" t="s">
        <v>6418</v>
      </c>
    </row>
    <row r="1619" spans="13:13" x14ac:dyDescent="0.45">
      <c r="M1619" t="s">
        <v>2888</v>
      </c>
    </row>
    <row r="1620" spans="13:13" x14ac:dyDescent="0.45">
      <c r="M1620" t="s">
        <v>2889</v>
      </c>
    </row>
    <row r="1621" spans="13:13" x14ac:dyDescent="0.45">
      <c r="M1621" t="s">
        <v>6419</v>
      </c>
    </row>
    <row r="1622" spans="13:13" x14ac:dyDescent="0.45">
      <c r="M1622" t="s">
        <v>2890</v>
      </c>
    </row>
    <row r="1623" spans="13:13" x14ac:dyDescent="0.45">
      <c r="M1623" t="s">
        <v>6420</v>
      </c>
    </row>
    <row r="1624" spans="13:13" x14ac:dyDescent="0.45">
      <c r="M1624" t="s">
        <v>6421</v>
      </c>
    </row>
    <row r="1625" spans="13:13" x14ac:dyDescent="0.45">
      <c r="M1625" t="s">
        <v>6422</v>
      </c>
    </row>
    <row r="1626" spans="13:13" x14ac:dyDescent="0.45">
      <c r="M1626" t="s">
        <v>6423</v>
      </c>
    </row>
    <row r="1627" spans="13:13" x14ac:dyDescent="0.45">
      <c r="M1627" t="s">
        <v>6424</v>
      </c>
    </row>
    <row r="1628" spans="13:13" x14ac:dyDescent="0.45">
      <c r="M1628" t="s">
        <v>6425</v>
      </c>
    </row>
    <row r="1629" spans="13:13" x14ac:dyDescent="0.45">
      <c r="M1629" t="s">
        <v>6426</v>
      </c>
    </row>
    <row r="1630" spans="13:13" x14ac:dyDescent="0.45">
      <c r="M1630" t="s">
        <v>2891</v>
      </c>
    </row>
    <row r="1631" spans="13:13" x14ac:dyDescent="0.45">
      <c r="M1631" t="s">
        <v>2892</v>
      </c>
    </row>
    <row r="1632" spans="13:13" x14ac:dyDescent="0.45">
      <c r="M1632" t="s">
        <v>2953</v>
      </c>
    </row>
    <row r="1633" spans="13:13" x14ac:dyDescent="0.45">
      <c r="M1633" t="s">
        <v>2947</v>
      </c>
    </row>
    <row r="1634" spans="13:13" x14ac:dyDescent="0.45">
      <c r="M1634" t="s">
        <v>6427</v>
      </c>
    </row>
    <row r="1635" spans="13:13" x14ac:dyDescent="0.45">
      <c r="M1635" t="s">
        <v>6428</v>
      </c>
    </row>
    <row r="1636" spans="13:13" x14ac:dyDescent="0.45">
      <c r="M1636" t="s">
        <v>2948</v>
      </c>
    </row>
    <row r="1637" spans="13:13" x14ac:dyDescent="0.45">
      <c r="M1637" t="s">
        <v>2949</v>
      </c>
    </row>
    <row r="1638" spans="13:13" x14ac:dyDescent="0.45">
      <c r="M1638" t="s">
        <v>3820</v>
      </c>
    </row>
    <row r="1639" spans="13:13" x14ac:dyDescent="0.45">
      <c r="M1639" t="s">
        <v>2950</v>
      </c>
    </row>
    <row r="1640" spans="13:13" x14ac:dyDescent="0.45">
      <c r="M1640" t="s">
        <v>2951</v>
      </c>
    </row>
    <row r="1641" spans="13:13" x14ac:dyDescent="0.45">
      <c r="M1641" t="s">
        <v>2952</v>
      </c>
    </row>
    <row r="1642" spans="13:13" x14ac:dyDescent="0.45">
      <c r="M1642" t="s">
        <v>2954</v>
      </c>
    </row>
    <row r="1643" spans="13:13" x14ac:dyDescent="0.45">
      <c r="M1643" t="s">
        <v>2955</v>
      </c>
    </row>
    <row r="1644" spans="13:13" x14ac:dyDescent="0.45">
      <c r="M1644" t="s">
        <v>2956</v>
      </c>
    </row>
    <row r="1645" spans="13:13" x14ac:dyDescent="0.45">
      <c r="M1645" t="s">
        <v>6429</v>
      </c>
    </row>
    <row r="1646" spans="13:13" x14ac:dyDescent="0.45">
      <c r="M1646" t="s">
        <v>3014</v>
      </c>
    </row>
    <row r="1647" spans="13:13" x14ac:dyDescent="0.45">
      <c r="M1647" t="s">
        <v>6430</v>
      </c>
    </row>
    <row r="1648" spans="13:13" x14ac:dyDescent="0.45">
      <c r="M1648" t="s">
        <v>6431</v>
      </c>
    </row>
    <row r="1649" spans="13:13" x14ac:dyDescent="0.45">
      <c r="M1649" t="s">
        <v>3015</v>
      </c>
    </row>
    <row r="1650" spans="13:13" x14ac:dyDescent="0.45">
      <c r="M1650" t="s">
        <v>6432</v>
      </c>
    </row>
    <row r="1651" spans="13:13" x14ac:dyDescent="0.45">
      <c r="M1651" t="s">
        <v>6433</v>
      </c>
    </row>
    <row r="1652" spans="13:13" x14ac:dyDescent="0.45">
      <c r="M1652" t="s">
        <v>3016</v>
      </c>
    </row>
    <row r="1653" spans="13:13" x14ac:dyDescent="0.45">
      <c r="M1653" t="s">
        <v>3737</v>
      </c>
    </row>
    <row r="1654" spans="13:13" x14ac:dyDescent="0.45">
      <c r="M1654" t="s">
        <v>6434</v>
      </c>
    </row>
    <row r="1655" spans="13:13" x14ac:dyDescent="0.45">
      <c r="M1655" t="s">
        <v>3017</v>
      </c>
    </row>
    <row r="1656" spans="13:13" x14ac:dyDescent="0.45">
      <c r="M1656" t="s">
        <v>3018</v>
      </c>
    </row>
    <row r="1657" spans="13:13" x14ac:dyDescent="0.45">
      <c r="M1657" t="s">
        <v>3019</v>
      </c>
    </row>
    <row r="1658" spans="13:13" x14ac:dyDescent="0.45">
      <c r="M1658" t="s">
        <v>6435</v>
      </c>
    </row>
    <row r="1659" spans="13:13" x14ac:dyDescent="0.45">
      <c r="M1659" t="s">
        <v>2561</v>
      </c>
    </row>
    <row r="1660" spans="13:13" x14ac:dyDescent="0.45">
      <c r="M1660" t="s">
        <v>3081</v>
      </c>
    </row>
    <row r="1661" spans="13:13" x14ac:dyDescent="0.45">
      <c r="M1661" t="s">
        <v>195</v>
      </c>
    </row>
    <row r="1662" spans="13:13" x14ac:dyDescent="0.45">
      <c r="M1662" t="s">
        <v>3082</v>
      </c>
    </row>
    <row r="1663" spans="13:13" x14ac:dyDescent="0.45">
      <c r="M1663" t="s">
        <v>6436</v>
      </c>
    </row>
    <row r="1664" spans="13:13" x14ac:dyDescent="0.45">
      <c r="M1664" t="s">
        <v>6437</v>
      </c>
    </row>
    <row r="1665" spans="13:13" x14ac:dyDescent="0.45">
      <c r="M1665" t="s">
        <v>6438</v>
      </c>
    </row>
    <row r="1666" spans="13:13" x14ac:dyDescent="0.45">
      <c r="M1666" t="s">
        <v>3083</v>
      </c>
    </row>
    <row r="1667" spans="13:13" x14ac:dyDescent="0.45">
      <c r="M1667" t="s">
        <v>6439</v>
      </c>
    </row>
    <row r="1668" spans="13:13" x14ac:dyDescent="0.45">
      <c r="M1668" t="s">
        <v>6440</v>
      </c>
    </row>
    <row r="1669" spans="13:13" x14ac:dyDescent="0.45">
      <c r="M1669" t="s">
        <v>3141</v>
      </c>
    </row>
    <row r="1670" spans="13:13" x14ac:dyDescent="0.45">
      <c r="M1670" t="s">
        <v>3142</v>
      </c>
    </row>
    <row r="1671" spans="13:13" x14ac:dyDescent="0.45">
      <c r="M1671" t="s">
        <v>6441</v>
      </c>
    </row>
    <row r="1672" spans="13:13" x14ac:dyDescent="0.45">
      <c r="M1672" t="s">
        <v>3143</v>
      </c>
    </row>
    <row r="1673" spans="13:13" x14ac:dyDescent="0.45">
      <c r="M1673" t="s">
        <v>6442</v>
      </c>
    </row>
    <row r="1674" spans="13:13" x14ac:dyDescent="0.45">
      <c r="M1674" t="s">
        <v>3786</v>
      </c>
    </row>
    <row r="1675" spans="13:13" x14ac:dyDescent="0.45">
      <c r="M1675" t="s">
        <v>2620</v>
      </c>
    </row>
    <row r="1676" spans="13:13" x14ac:dyDescent="0.45">
      <c r="M1676" t="s">
        <v>6443</v>
      </c>
    </row>
    <row r="1677" spans="13:13" x14ac:dyDescent="0.45">
      <c r="M1677" t="s">
        <v>2621</v>
      </c>
    </row>
    <row r="1678" spans="13:13" x14ac:dyDescent="0.45">
      <c r="M1678" t="s">
        <v>2622</v>
      </c>
    </row>
    <row r="1679" spans="13:13" x14ac:dyDescent="0.45">
      <c r="M1679" t="s">
        <v>6444</v>
      </c>
    </row>
    <row r="1680" spans="13:13" x14ac:dyDescent="0.45">
      <c r="M1680" t="s">
        <v>2623</v>
      </c>
    </row>
    <row r="1681" spans="13:13" x14ac:dyDescent="0.45">
      <c r="M1681" t="s">
        <v>2624</v>
      </c>
    </row>
    <row r="1682" spans="13:13" x14ac:dyDescent="0.45">
      <c r="M1682" t="s">
        <v>3803</v>
      </c>
    </row>
    <row r="1683" spans="13:13" x14ac:dyDescent="0.45">
      <c r="M1683" t="s">
        <v>2693</v>
      </c>
    </row>
    <row r="1684" spans="13:13" x14ac:dyDescent="0.45">
      <c r="M1684" t="s">
        <v>6445</v>
      </c>
    </row>
    <row r="1685" spans="13:13" x14ac:dyDescent="0.45">
      <c r="M1685" t="s">
        <v>2694</v>
      </c>
    </row>
    <row r="1686" spans="13:13" x14ac:dyDescent="0.45">
      <c r="M1686" t="s">
        <v>3696</v>
      </c>
    </row>
    <row r="1687" spans="13:13" x14ac:dyDescent="0.45">
      <c r="M1687" t="s">
        <v>2695</v>
      </c>
    </row>
    <row r="1688" spans="13:13" x14ac:dyDescent="0.45">
      <c r="M1688" t="s">
        <v>2696</v>
      </c>
    </row>
    <row r="1689" spans="13:13" x14ac:dyDescent="0.45">
      <c r="M1689" t="s">
        <v>3821</v>
      </c>
    </row>
    <row r="1690" spans="13:13" x14ac:dyDescent="0.45">
      <c r="M1690" t="s">
        <v>2697</v>
      </c>
    </row>
    <row r="1691" spans="13:13" x14ac:dyDescent="0.45">
      <c r="M1691" t="s">
        <v>3675</v>
      </c>
    </row>
    <row r="1692" spans="13:13" x14ac:dyDescent="0.45">
      <c r="M1692" t="s">
        <v>2698</v>
      </c>
    </row>
    <row r="1693" spans="13:13" x14ac:dyDescent="0.45">
      <c r="M1693" t="s">
        <v>2699</v>
      </c>
    </row>
    <row r="1694" spans="13:13" x14ac:dyDescent="0.45">
      <c r="M1694" t="s">
        <v>2700</v>
      </c>
    </row>
    <row r="1695" spans="13:13" x14ac:dyDescent="0.45">
      <c r="M1695" t="s">
        <v>2701</v>
      </c>
    </row>
    <row r="1696" spans="13:13" x14ac:dyDescent="0.45">
      <c r="M1696" t="s">
        <v>2702</v>
      </c>
    </row>
    <row r="1697" spans="13:13" x14ac:dyDescent="0.45">
      <c r="M1697" t="s">
        <v>2762</v>
      </c>
    </row>
    <row r="1698" spans="13:13" x14ac:dyDescent="0.45">
      <c r="M1698" t="s">
        <v>2763</v>
      </c>
    </row>
    <row r="1699" spans="13:13" x14ac:dyDescent="0.45">
      <c r="M1699" t="s">
        <v>2764</v>
      </c>
    </row>
    <row r="1700" spans="13:13" x14ac:dyDescent="0.45">
      <c r="M1700" t="s">
        <v>2765</v>
      </c>
    </row>
    <row r="1701" spans="13:13" x14ac:dyDescent="0.45">
      <c r="M1701" t="s">
        <v>2766</v>
      </c>
    </row>
    <row r="1702" spans="13:13" x14ac:dyDescent="0.45">
      <c r="M1702" t="s">
        <v>6446</v>
      </c>
    </row>
    <row r="1703" spans="13:13" x14ac:dyDescent="0.45">
      <c r="M1703" t="s">
        <v>2767</v>
      </c>
    </row>
    <row r="1704" spans="13:13" x14ac:dyDescent="0.45">
      <c r="M1704" t="s">
        <v>2768</v>
      </c>
    </row>
    <row r="1705" spans="13:13" x14ac:dyDescent="0.45">
      <c r="M1705" t="s">
        <v>2769</v>
      </c>
    </row>
    <row r="1706" spans="13:13" x14ac:dyDescent="0.45">
      <c r="M1706" t="s">
        <v>2770</v>
      </c>
    </row>
    <row r="1707" spans="13:13" x14ac:dyDescent="0.45">
      <c r="M1707" t="s">
        <v>6447</v>
      </c>
    </row>
    <row r="1708" spans="13:13" x14ac:dyDescent="0.45">
      <c r="M1708" t="s">
        <v>2837</v>
      </c>
    </row>
    <row r="1709" spans="13:13" x14ac:dyDescent="0.45">
      <c r="M1709" t="s">
        <v>3790</v>
      </c>
    </row>
    <row r="1710" spans="13:13" x14ac:dyDescent="0.45">
      <c r="M1710" t="s">
        <v>6448</v>
      </c>
    </row>
    <row r="1711" spans="13:13" x14ac:dyDescent="0.45">
      <c r="M1711" t="s">
        <v>6449</v>
      </c>
    </row>
    <row r="1712" spans="13:13" x14ac:dyDescent="0.45">
      <c r="M1712" t="s">
        <v>2838</v>
      </c>
    </row>
    <row r="1713" spans="13:13" x14ac:dyDescent="0.45">
      <c r="M1713" t="s">
        <v>2839</v>
      </c>
    </row>
    <row r="1714" spans="13:13" x14ac:dyDescent="0.45">
      <c r="M1714" t="s">
        <v>6450</v>
      </c>
    </row>
    <row r="1715" spans="13:13" x14ac:dyDescent="0.45">
      <c r="M1715" t="s">
        <v>6451</v>
      </c>
    </row>
    <row r="1716" spans="13:13" x14ac:dyDescent="0.45">
      <c r="M1716" t="s">
        <v>6452</v>
      </c>
    </row>
    <row r="1717" spans="13:13" x14ac:dyDescent="0.45">
      <c r="M1717" t="s">
        <v>3800</v>
      </c>
    </row>
    <row r="1718" spans="13:13" x14ac:dyDescent="0.45">
      <c r="M1718" t="s">
        <v>6453</v>
      </c>
    </row>
    <row r="1719" spans="13:13" x14ac:dyDescent="0.45">
      <c r="M1719" t="s">
        <v>3822</v>
      </c>
    </row>
    <row r="1720" spans="13:13" x14ac:dyDescent="0.45">
      <c r="M1720" t="s">
        <v>3713</v>
      </c>
    </row>
    <row r="1721" spans="13:13" x14ac:dyDescent="0.45">
      <c r="M1721" t="s">
        <v>6454</v>
      </c>
    </row>
    <row r="1722" spans="13:13" x14ac:dyDescent="0.45">
      <c r="M1722" t="s">
        <v>3823</v>
      </c>
    </row>
    <row r="1723" spans="13:13" x14ac:dyDescent="0.45">
      <c r="M1723" t="s">
        <v>3677</v>
      </c>
    </row>
    <row r="1724" spans="13:13" x14ac:dyDescent="0.45">
      <c r="M1724" t="s">
        <v>6455</v>
      </c>
    </row>
    <row r="1725" spans="13:13" x14ac:dyDescent="0.45">
      <c r="M1725" t="s">
        <v>6456</v>
      </c>
    </row>
    <row r="1726" spans="13:13" x14ac:dyDescent="0.45">
      <c r="M1726" t="s">
        <v>2840</v>
      </c>
    </row>
    <row r="1727" spans="13:13" x14ac:dyDescent="0.45">
      <c r="M1727" t="s">
        <v>2841</v>
      </c>
    </row>
    <row r="1728" spans="13:13" x14ac:dyDescent="0.45">
      <c r="M1728" t="s">
        <v>2842</v>
      </c>
    </row>
    <row r="1729" spans="13:13" x14ac:dyDescent="0.45">
      <c r="M1729" t="s">
        <v>2843</v>
      </c>
    </row>
    <row r="1730" spans="13:13" x14ac:dyDescent="0.45">
      <c r="M1730" t="s">
        <v>2844</v>
      </c>
    </row>
    <row r="1731" spans="13:13" x14ac:dyDescent="0.45">
      <c r="M1731" t="s">
        <v>6457</v>
      </c>
    </row>
    <row r="1732" spans="13:13" x14ac:dyDescent="0.45">
      <c r="M1732" t="s">
        <v>6458</v>
      </c>
    </row>
    <row r="1733" spans="13:13" x14ac:dyDescent="0.45">
      <c r="M1733" t="s">
        <v>6459</v>
      </c>
    </row>
    <row r="1734" spans="13:13" x14ac:dyDescent="0.45">
      <c r="M1734" t="s">
        <v>2911</v>
      </c>
    </row>
    <row r="1735" spans="13:13" x14ac:dyDescent="0.45">
      <c r="M1735" t="s">
        <v>6460</v>
      </c>
    </row>
    <row r="1736" spans="13:13" x14ac:dyDescent="0.45">
      <c r="M1736" t="s">
        <v>2912</v>
      </c>
    </row>
    <row r="1737" spans="13:13" x14ac:dyDescent="0.45">
      <c r="M1737" t="s">
        <v>2913</v>
      </c>
    </row>
    <row r="1738" spans="13:13" x14ac:dyDescent="0.45">
      <c r="M1738" t="s">
        <v>6461</v>
      </c>
    </row>
    <row r="1739" spans="13:13" x14ac:dyDescent="0.45">
      <c r="M1739" t="s">
        <v>2914</v>
      </c>
    </row>
    <row r="1740" spans="13:13" x14ac:dyDescent="0.45">
      <c r="M1740" t="s">
        <v>6462</v>
      </c>
    </row>
    <row r="1741" spans="13:13" x14ac:dyDescent="0.45">
      <c r="M1741" t="s">
        <v>2915</v>
      </c>
    </row>
    <row r="1742" spans="13:13" x14ac:dyDescent="0.45">
      <c r="M1742" t="s">
        <v>6463</v>
      </c>
    </row>
    <row r="1743" spans="13:13" x14ac:dyDescent="0.45">
      <c r="M1743" t="s">
        <v>2916</v>
      </c>
    </row>
    <row r="1744" spans="13:13" x14ac:dyDescent="0.45">
      <c r="M1744" t="s">
        <v>2917</v>
      </c>
    </row>
    <row r="1745" spans="13:13" x14ac:dyDescent="0.45">
      <c r="M1745" t="s">
        <v>2918</v>
      </c>
    </row>
    <row r="1746" spans="13:13" x14ac:dyDescent="0.45">
      <c r="M1746" t="s">
        <v>2919</v>
      </c>
    </row>
    <row r="1747" spans="13:13" x14ac:dyDescent="0.45">
      <c r="M1747" t="s">
        <v>2920</v>
      </c>
    </row>
    <row r="1748" spans="13:13" x14ac:dyDescent="0.45">
      <c r="M1748" t="s">
        <v>2921</v>
      </c>
    </row>
    <row r="1749" spans="13:13" x14ac:dyDescent="0.45">
      <c r="M1749" t="s">
        <v>2922</v>
      </c>
    </row>
    <row r="1750" spans="13:13" x14ac:dyDescent="0.45">
      <c r="M1750" t="s">
        <v>2971</v>
      </c>
    </row>
    <row r="1751" spans="13:13" x14ac:dyDescent="0.45">
      <c r="M1751" t="s">
        <v>2972</v>
      </c>
    </row>
    <row r="1752" spans="13:13" x14ac:dyDescent="0.45">
      <c r="M1752" t="s">
        <v>6464</v>
      </c>
    </row>
    <row r="1753" spans="13:13" x14ac:dyDescent="0.45">
      <c r="M1753" t="s">
        <v>6465</v>
      </c>
    </row>
    <row r="1754" spans="13:13" x14ac:dyDescent="0.45">
      <c r="M1754" t="s">
        <v>6466</v>
      </c>
    </row>
    <row r="1755" spans="13:13" x14ac:dyDescent="0.45">
      <c r="M1755" t="s">
        <v>6467</v>
      </c>
    </row>
    <row r="1756" spans="13:13" x14ac:dyDescent="0.45">
      <c r="M1756" t="s">
        <v>2973</v>
      </c>
    </row>
    <row r="1757" spans="13:13" x14ac:dyDescent="0.45">
      <c r="M1757" t="s">
        <v>2974</v>
      </c>
    </row>
    <row r="1758" spans="13:13" x14ac:dyDescent="0.45">
      <c r="M1758" t="s">
        <v>2975</v>
      </c>
    </row>
    <row r="1759" spans="13:13" x14ac:dyDescent="0.45">
      <c r="M1759" t="s">
        <v>3673</v>
      </c>
    </row>
    <row r="1760" spans="13:13" x14ac:dyDescent="0.45">
      <c r="M1760" t="s">
        <v>2976</v>
      </c>
    </row>
    <row r="1761" spans="13:13" x14ac:dyDescent="0.45">
      <c r="M1761" t="s">
        <v>2977</v>
      </c>
    </row>
    <row r="1762" spans="13:13" x14ac:dyDescent="0.45">
      <c r="M1762" t="s">
        <v>6468</v>
      </c>
    </row>
    <row r="1763" spans="13:13" x14ac:dyDescent="0.45">
      <c r="M1763" t="s">
        <v>3743</v>
      </c>
    </row>
    <row r="1764" spans="13:13" x14ac:dyDescent="0.45">
      <c r="M1764" t="s">
        <v>6469</v>
      </c>
    </row>
    <row r="1765" spans="13:13" x14ac:dyDescent="0.45">
      <c r="M1765" t="s">
        <v>2978</v>
      </c>
    </row>
    <row r="1766" spans="13:13" x14ac:dyDescent="0.45">
      <c r="M1766" t="s">
        <v>6470</v>
      </c>
    </row>
    <row r="1767" spans="13:13" x14ac:dyDescent="0.45">
      <c r="M1767" t="s">
        <v>6471</v>
      </c>
    </row>
    <row r="1768" spans="13:13" x14ac:dyDescent="0.45">
      <c r="M1768" t="s">
        <v>2979</v>
      </c>
    </row>
    <row r="1769" spans="13:13" x14ac:dyDescent="0.45">
      <c r="M1769" t="s">
        <v>3032</v>
      </c>
    </row>
    <row r="1770" spans="13:13" x14ac:dyDescent="0.45">
      <c r="M1770" t="s">
        <v>6472</v>
      </c>
    </row>
    <row r="1771" spans="13:13" x14ac:dyDescent="0.45">
      <c r="M1771" t="s">
        <v>6473</v>
      </c>
    </row>
    <row r="1772" spans="13:13" x14ac:dyDescent="0.45">
      <c r="M1772" t="s">
        <v>3031</v>
      </c>
    </row>
    <row r="1773" spans="13:13" x14ac:dyDescent="0.45">
      <c r="M1773" t="s">
        <v>3033</v>
      </c>
    </row>
    <row r="1774" spans="13:13" x14ac:dyDescent="0.45">
      <c r="M1774" t="s">
        <v>3034</v>
      </c>
    </row>
    <row r="1775" spans="13:13" x14ac:dyDescent="0.45">
      <c r="M1775" t="s">
        <v>3035</v>
      </c>
    </row>
    <row r="1776" spans="13:13" x14ac:dyDescent="0.45">
      <c r="M1776" t="s">
        <v>3036</v>
      </c>
    </row>
    <row r="1777" spans="13:13" x14ac:dyDescent="0.45">
      <c r="M1777" t="s">
        <v>6474</v>
      </c>
    </row>
    <row r="1778" spans="13:13" x14ac:dyDescent="0.45">
      <c r="M1778" t="s">
        <v>196</v>
      </c>
    </row>
    <row r="1779" spans="13:13" x14ac:dyDescent="0.45">
      <c r="M1779" t="s">
        <v>3824</v>
      </c>
    </row>
    <row r="1780" spans="13:13" x14ac:dyDescent="0.45">
      <c r="M1780" t="s">
        <v>3037</v>
      </c>
    </row>
    <row r="1781" spans="13:13" x14ac:dyDescent="0.45">
      <c r="M1781" t="s">
        <v>3038</v>
      </c>
    </row>
    <row r="1782" spans="13:13" x14ac:dyDescent="0.45">
      <c r="M1782" t="s">
        <v>6475</v>
      </c>
    </row>
    <row r="1783" spans="13:13" x14ac:dyDescent="0.45">
      <c r="M1783" t="s">
        <v>3039</v>
      </c>
    </row>
    <row r="1784" spans="13:13" x14ac:dyDescent="0.45">
      <c r="M1784" t="s">
        <v>3040</v>
      </c>
    </row>
    <row r="1785" spans="13:13" x14ac:dyDescent="0.45">
      <c r="M1785" t="s">
        <v>3041</v>
      </c>
    </row>
    <row r="1786" spans="13:13" x14ac:dyDescent="0.45">
      <c r="M1786" t="s">
        <v>3095</v>
      </c>
    </row>
    <row r="1787" spans="13:13" x14ac:dyDescent="0.45">
      <c r="M1787" t="s">
        <v>3096</v>
      </c>
    </row>
    <row r="1788" spans="13:13" x14ac:dyDescent="0.45">
      <c r="M1788" t="s">
        <v>3097</v>
      </c>
    </row>
    <row r="1789" spans="13:13" x14ac:dyDescent="0.45">
      <c r="M1789" t="s">
        <v>3098</v>
      </c>
    </row>
    <row r="1790" spans="13:13" x14ac:dyDescent="0.45">
      <c r="M1790" t="s">
        <v>3099</v>
      </c>
    </row>
    <row r="1791" spans="13:13" x14ac:dyDescent="0.45">
      <c r="M1791" t="s">
        <v>3100</v>
      </c>
    </row>
    <row r="1792" spans="13:13" x14ac:dyDescent="0.45">
      <c r="M1792" t="s">
        <v>3101</v>
      </c>
    </row>
    <row r="1793" spans="13:13" x14ac:dyDescent="0.45">
      <c r="M1793" t="s">
        <v>3102</v>
      </c>
    </row>
    <row r="1794" spans="13:13" x14ac:dyDescent="0.45">
      <c r="M1794" t="s">
        <v>3103</v>
      </c>
    </row>
    <row r="1795" spans="13:13" x14ac:dyDescent="0.45">
      <c r="M1795" t="s">
        <v>3104</v>
      </c>
    </row>
    <row r="1796" spans="13:13" x14ac:dyDescent="0.45">
      <c r="M1796" t="s">
        <v>6476</v>
      </c>
    </row>
    <row r="1797" spans="13:13" x14ac:dyDescent="0.45">
      <c r="M1797" t="s">
        <v>3105</v>
      </c>
    </row>
    <row r="1798" spans="13:13" x14ac:dyDescent="0.45">
      <c r="M1798" t="s">
        <v>6477</v>
      </c>
    </row>
    <row r="1799" spans="13:13" x14ac:dyDescent="0.45">
      <c r="M1799" t="s">
        <v>3167</v>
      </c>
    </row>
    <row r="1800" spans="13:13" x14ac:dyDescent="0.45">
      <c r="M1800" t="s">
        <v>3777</v>
      </c>
    </row>
    <row r="1801" spans="13:13" x14ac:dyDescent="0.45">
      <c r="M1801" t="s">
        <v>6478</v>
      </c>
    </row>
    <row r="1802" spans="13:13" x14ac:dyDescent="0.45">
      <c r="M1802" t="s">
        <v>6479</v>
      </c>
    </row>
    <row r="1803" spans="13:13" x14ac:dyDescent="0.45">
      <c r="M1803" t="s">
        <v>2606</v>
      </c>
    </row>
    <row r="1804" spans="13:13" x14ac:dyDescent="0.45">
      <c r="M1804" t="s">
        <v>3770</v>
      </c>
    </row>
    <row r="1805" spans="13:13" x14ac:dyDescent="0.45">
      <c r="M1805" t="s">
        <v>2607</v>
      </c>
    </row>
    <row r="1806" spans="13:13" x14ac:dyDescent="0.45">
      <c r="M1806" t="s">
        <v>2608</v>
      </c>
    </row>
    <row r="1807" spans="13:13" x14ac:dyDescent="0.45">
      <c r="M1807" t="s">
        <v>6480</v>
      </c>
    </row>
    <row r="1808" spans="13:13" x14ac:dyDescent="0.45">
      <c r="M1808" t="s">
        <v>6481</v>
      </c>
    </row>
    <row r="1809" spans="13:13" x14ac:dyDescent="0.45">
      <c r="M1809" t="s">
        <v>6482</v>
      </c>
    </row>
    <row r="1810" spans="13:13" x14ac:dyDescent="0.45">
      <c r="M1810" t="s">
        <v>2609</v>
      </c>
    </row>
    <row r="1811" spans="13:13" x14ac:dyDescent="0.45">
      <c r="M1811" t="s">
        <v>6483</v>
      </c>
    </row>
    <row r="1812" spans="13:13" x14ac:dyDescent="0.45">
      <c r="M1812" t="s">
        <v>2610</v>
      </c>
    </row>
    <row r="1813" spans="13:13" x14ac:dyDescent="0.45">
      <c r="M1813" t="s">
        <v>198</v>
      </c>
    </row>
    <row r="1814" spans="13:13" x14ac:dyDescent="0.45">
      <c r="M1814" t="s">
        <v>2678</v>
      </c>
    </row>
    <row r="1815" spans="13:13" x14ac:dyDescent="0.45">
      <c r="M1815" t="s">
        <v>2679</v>
      </c>
    </row>
    <row r="1816" spans="13:13" x14ac:dyDescent="0.45">
      <c r="M1816" t="s">
        <v>2680</v>
      </c>
    </row>
    <row r="1817" spans="13:13" x14ac:dyDescent="0.45">
      <c r="M1817" t="s">
        <v>2681</v>
      </c>
    </row>
    <row r="1818" spans="13:13" x14ac:dyDescent="0.45">
      <c r="M1818" t="s">
        <v>2682</v>
      </c>
    </row>
    <row r="1819" spans="13:13" x14ac:dyDescent="0.45">
      <c r="M1819" t="s">
        <v>2683</v>
      </c>
    </row>
    <row r="1820" spans="13:13" x14ac:dyDescent="0.45">
      <c r="M1820" t="s">
        <v>6484</v>
      </c>
    </row>
    <row r="1821" spans="13:13" x14ac:dyDescent="0.45">
      <c r="M1821" t="s">
        <v>6485</v>
      </c>
    </row>
    <row r="1822" spans="13:13" x14ac:dyDescent="0.45">
      <c r="M1822" t="s">
        <v>2559</v>
      </c>
    </row>
    <row r="1823" spans="13:13" x14ac:dyDescent="0.45">
      <c r="M1823" t="s">
        <v>2747</v>
      </c>
    </row>
    <row r="1824" spans="13:13" x14ac:dyDescent="0.45">
      <c r="M1824" t="s">
        <v>2748</v>
      </c>
    </row>
    <row r="1825" spans="13:13" x14ac:dyDescent="0.45">
      <c r="M1825" t="s">
        <v>6486</v>
      </c>
    </row>
    <row r="1826" spans="13:13" x14ac:dyDescent="0.45">
      <c r="M1826" t="s">
        <v>3783</v>
      </c>
    </row>
    <row r="1827" spans="13:13" x14ac:dyDescent="0.45">
      <c r="M1827" t="s">
        <v>2749</v>
      </c>
    </row>
    <row r="1828" spans="13:13" x14ac:dyDescent="0.45">
      <c r="M1828" t="s">
        <v>2750</v>
      </c>
    </row>
    <row r="1829" spans="13:13" x14ac:dyDescent="0.45">
      <c r="M1829" t="s">
        <v>2751</v>
      </c>
    </row>
    <row r="1830" spans="13:13" x14ac:dyDescent="0.45">
      <c r="M1830" t="s">
        <v>2813</v>
      </c>
    </row>
    <row r="1831" spans="13:13" x14ac:dyDescent="0.45">
      <c r="M1831" t="s">
        <v>2814</v>
      </c>
    </row>
    <row r="1832" spans="13:13" x14ac:dyDescent="0.45">
      <c r="M1832" t="s">
        <v>6487</v>
      </c>
    </row>
    <row r="1833" spans="13:13" x14ac:dyDescent="0.45">
      <c r="M1833" t="s">
        <v>2815</v>
      </c>
    </row>
    <row r="1834" spans="13:13" x14ac:dyDescent="0.45">
      <c r="M1834" t="s">
        <v>6488</v>
      </c>
    </row>
    <row r="1835" spans="13:13" x14ac:dyDescent="0.45">
      <c r="M1835" t="s">
        <v>2816</v>
      </c>
    </row>
    <row r="1836" spans="13:13" x14ac:dyDescent="0.45">
      <c r="M1836" t="s">
        <v>2817</v>
      </c>
    </row>
    <row r="1837" spans="13:13" x14ac:dyDescent="0.45">
      <c r="M1837" t="s">
        <v>2818</v>
      </c>
    </row>
    <row r="1838" spans="13:13" x14ac:dyDescent="0.45">
      <c r="M1838" t="s">
        <v>2819</v>
      </c>
    </row>
    <row r="1839" spans="13:13" x14ac:dyDescent="0.45">
      <c r="M1839" t="s">
        <v>2820</v>
      </c>
    </row>
    <row r="1840" spans="13:13" x14ac:dyDescent="0.45">
      <c r="M1840" t="s">
        <v>2821</v>
      </c>
    </row>
    <row r="1841" spans="13:13" x14ac:dyDescent="0.45">
      <c r="M1841" t="s">
        <v>6489</v>
      </c>
    </row>
    <row r="1842" spans="13:13" x14ac:dyDescent="0.45">
      <c r="M1842" t="s">
        <v>2822</v>
      </c>
    </row>
    <row r="1843" spans="13:13" x14ac:dyDescent="0.45">
      <c r="M1843" t="s">
        <v>2823</v>
      </c>
    </row>
    <row r="1844" spans="13:13" x14ac:dyDescent="0.45">
      <c r="M1844" t="s">
        <v>2824</v>
      </c>
    </row>
    <row r="1845" spans="13:13" x14ac:dyDescent="0.45">
      <c r="M1845" t="s">
        <v>2825</v>
      </c>
    </row>
    <row r="1846" spans="13:13" x14ac:dyDescent="0.45">
      <c r="M1846" t="s">
        <v>2826</v>
      </c>
    </row>
    <row r="1847" spans="13:13" x14ac:dyDescent="0.45">
      <c r="M1847" t="s">
        <v>2893</v>
      </c>
    </row>
    <row r="1848" spans="13:13" x14ac:dyDescent="0.45">
      <c r="M1848" t="s">
        <v>2894</v>
      </c>
    </row>
    <row r="1849" spans="13:13" x14ac:dyDescent="0.45">
      <c r="M1849" t="s">
        <v>2895</v>
      </c>
    </row>
    <row r="1850" spans="13:13" x14ac:dyDescent="0.45">
      <c r="M1850" t="s">
        <v>2896</v>
      </c>
    </row>
    <row r="1851" spans="13:13" x14ac:dyDescent="0.45">
      <c r="M1851" t="s">
        <v>6490</v>
      </c>
    </row>
    <row r="1852" spans="13:13" x14ac:dyDescent="0.45">
      <c r="M1852" t="s">
        <v>6491</v>
      </c>
    </row>
    <row r="1853" spans="13:13" x14ac:dyDescent="0.45">
      <c r="M1853" t="s">
        <v>2897</v>
      </c>
    </row>
    <row r="1854" spans="13:13" x14ac:dyDescent="0.45">
      <c r="M1854" t="s">
        <v>6492</v>
      </c>
    </row>
    <row r="1855" spans="13:13" x14ac:dyDescent="0.45">
      <c r="M1855" t="s">
        <v>2898</v>
      </c>
    </row>
    <row r="1856" spans="13:13" x14ac:dyDescent="0.45">
      <c r="M1856" t="s">
        <v>2560</v>
      </c>
    </row>
    <row r="1857" spans="13:13" x14ac:dyDescent="0.45">
      <c r="M1857" t="s">
        <v>3740</v>
      </c>
    </row>
    <row r="1858" spans="13:13" x14ac:dyDescent="0.45">
      <c r="M1858" t="s">
        <v>6493</v>
      </c>
    </row>
    <row r="1859" spans="13:13" x14ac:dyDescent="0.45">
      <c r="M1859" t="s">
        <v>2899</v>
      </c>
    </row>
    <row r="1860" spans="13:13" x14ac:dyDescent="0.45">
      <c r="M1860" t="s">
        <v>6494</v>
      </c>
    </row>
    <row r="1861" spans="13:13" x14ac:dyDescent="0.45">
      <c r="M1861" t="s">
        <v>2900</v>
      </c>
    </row>
    <row r="1862" spans="13:13" x14ac:dyDescent="0.45">
      <c r="M1862" t="s">
        <v>2901</v>
      </c>
    </row>
    <row r="1863" spans="13:13" x14ac:dyDescent="0.45">
      <c r="M1863" t="s">
        <v>2963</v>
      </c>
    </row>
    <row r="1864" spans="13:13" x14ac:dyDescent="0.45">
      <c r="M1864" t="s">
        <v>2957</v>
      </c>
    </row>
    <row r="1865" spans="13:13" x14ac:dyDescent="0.45">
      <c r="M1865" t="s">
        <v>3694</v>
      </c>
    </row>
    <row r="1866" spans="13:13" x14ac:dyDescent="0.45">
      <c r="M1866" t="s">
        <v>6495</v>
      </c>
    </row>
    <row r="1867" spans="13:13" x14ac:dyDescent="0.45">
      <c r="M1867" t="s">
        <v>6496</v>
      </c>
    </row>
    <row r="1868" spans="13:13" x14ac:dyDescent="0.45">
      <c r="M1868" t="s">
        <v>3693</v>
      </c>
    </row>
    <row r="1869" spans="13:13" x14ac:dyDescent="0.45">
      <c r="M1869" t="s">
        <v>2958</v>
      </c>
    </row>
    <row r="1870" spans="13:13" x14ac:dyDescent="0.45">
      <c r="M1870" t="s">
        <v>2959</v>
      </c>
    </row>
    <row r="1871" spans="13:13" x14ac:dyDescent="0.45">
      <c r="M1871" t="s">
        <v>6497</v>
      </c>
    </row>
    <row r="1872" spans="13:13" x14ac:dyDescent="0.45">
      <c r="M1872" t="s">
        <v>3691</v>
      </c>
    </row>
    <row r="1873" spans="13:13" x14ac:dyDescent="0.45">
      <c r="M1873" t="s">
        <v>6498</v>
      </c>
    </row>
    <row r="1874" spans="13:13" x14ac:dyDescent="0.45">
      <c r="M1874" t="s">
        <v>2960</v>
      </c>
    </row>
    <row r="1875" spans="13:13" x14ac:dyDescent="0.45">
      <c r="M1875" t="s">
        <v>6499</v>
      </c>
    </row>
    <row r="1876" spans="13:13" x14ac:dyDescent="0.45">
      <c r="M1876" t="s">
        <v>2961</v>
      </c>
    </row>
    <row r="1877" spans="13:13" x14ac:dyDescent="0.45">
      <c r="M1877" t="s">
        <v>2962</v>
      </c>
    </row>
    <row r="1878" spans="13:13" x14ac:dyDescent="0.45">
      <c r="M1878" t="s">
        <v>2964</v>
      </c>
    </row>
    <row r="1879" spans="13:13" x14ac:dyDescent="0.45">
      <c r="M1879" t="s">
        <v>6500</v>
      </c>
    </row>
    <row r="1880" spans="13:13" x14ac:dyDescent="0.45">
      <c r="M1880" t="s">
        <v>6501</v>
      </c>
    </row>
    <row r="1881" spans="13:13" x14ac:dyDescent="0.45">
      <c r="M1881" t="s">
        <v>6502</v>
      </c>
    </row>
    <row r="1882" spans="13:13" x14ac:dyDescent="0.45">
      <c r="M1882" t="s">
        <v>6503</v>
      </c>
    </row>
    <row r="1883" spans="13:13" x14ac:dyDescent="0.45">
      <c r="M1883" t="s">
        <v>6504</v>
      </c>
    </row>
    <row r="1884" spans="13:13" x14ac:dyDescent="0.45">
      <c r="M1884" t="s">
        <v>3710</v>
      </c>
    </row>
    <row r="1885" spans="13:13" x14ac:dyDescent="0.45">
      <c r="M1885" t="s">
        <v>2965</v>
      </c>
    </row>
    <row r="1886" spans="13:13" x14ac:dyDescent="0.45">
      <c r="M1886" t="s">
        <v>6505</v>
      </c>
    </row>
    <row r="1887" spans="13:13" x14ac:dyDescent="0.45">
      <c r="M1887" t="s">
        <v>3020</v>
      </c>
    </row>
    <row r="1888" spans="13:13" x14ac:dyDescent="0.45">
      <c r="M1888" t="s">
        <v>6506</v>
      </c>
    </row>
    <row r="1889" spans="13:13" x14ac:dyDescent="0.45">
      <c r="M1889" t="s">
        <v>3021</v>
      </c>
    </row>
    <row r="1890" spans="13:13" x14ac:dyDescent="0.45">
      <c r="M1890" t="s">
        <v>3022</v>
      </c>
    </row>
    <row r="1891" spans="13:13" x14ac:dyDescent="0.45">
      <c r="M1891" t="s">
        <v>3023</v>
      </c>
    </row>
    <row r="1892" spans="13:13" x14ac:dyDescent="0.45">
      <c r="M1892" t="s">
        <v>6507</v>
      </c>
    </row>
    <row r="1893" spans="13:13" x14ac:dyDescent="0.45">
      <c r="M1893" t="s">
        <v>3144</v>
      </c>
    </row>
    <row r="1894" spans="13:13" x14ac:dyDescent="0.45">
      <c r="M1894" t="s">
        <v>6508</v>
      </c>
    </row>
    <row r="1895" spans="13:13" x14ac:dyDescent="0.45">
      <c r="M1895" t="s">
        <v>6509</v>
      </c>
    </row>
    <row r="1896" spans="13:13" x14ac:dyDescent="0.45">
      <c r="M1896" t="s">
        <v>6510</v>
      </c>
    </row>
    <row r="1897" spans="13:13" x14ac:dyDescent="0.45">
      <c r="M1897" t="s">
        <v>6511</v>
      </c>
    </row>
    <row r="1898" spans="13:13" x14ac:dyDescent="0.45">
      <c r="M1898" t="s">
        <v>6512</v>
      </c>
    </row>
    <row r="1899" spans="13:13" x14ac:dyDescent="0.45">
      <c r="M1899" t="s">
        <v>3145</v>
      </c>
    </row>
    <row r="1900" spans="13:13" x14ac:dyDescent="0.45">
      <c r="M1900" t="s">
        <v>3146</v>
      </c>
    </row>
    <row r="1901" spans="13:13" x14ac:dyDescent="0.45">
      <c r="M1901" t="s">
        <v>6513</v>
      </c>
    </row>
    <row r="1902" spans="13:13" x14ac:dyDescent="0.45">
      <c r="M1902" t="s">
        <v>3147</v>
      </c>
    </row>
    <row r="1903" spans="13:13" x14ac:dyDescent="0.45">
      <c r="M1903" t="s">
        <v>3148</v>
      </c>
    </row>
    <row r="1904" spans="13:13" x14ac:dyDescent="0.45">
      <c r="M1904" t="s">
        <v>6514</v>
      </c>
    </row>
    <row r="1905" spans="13:13" x14ac:dyDescent="0.45">
      <c r="M1905" t="s">
        <v>3149</v>
      </c>
    </row>
    <row r="1906" spans="13:13" x14ac:dyDescent="0.45">
      <c r="M1906" t="s">
        <v>6515</v>
      </c>
    </row>
    <row r="1907" spans="13:13" x14ac:dyDescent="0.45">
      <c r="M1907" t="s">
        <v>3216</v>
      </c>
    </row>
    <row r="1908" spans="13:13" x14ac:dyDescent="0.45">
      <c r="M1908" t="s">
        <v>6516</v>
      </c>
    </row>
    <row r="1909" spans="13:13" x14ac:dyDescent="0.45">
      <c r="M1909" t="s">
        <v>6517</v>
      </c>
    </row>
    <row r="1910" spans="13:13" x14ac:dyDescent="0.45">
      <c r="M1910" t="s">
        <v>6518</v>
      </c>
    </row>
    <row r="1911" spans="13:13" x14ac:dyDescent="0.45">
      <c r="M1911" t="s">
        <v>3217</v>
      </c>
    </row>
    <row r="1912" spans="13:13" x14ac:dyDescent="0.45">
      <c r="M1912" t="s">
        <v>199</v>
      </c>
    </row>
    <row r="1913" spans="13:13" x14ac:dyDescent="0.45">
      <c r="M1913" t="s">
        <v>3218</v>
      </c>
    </row>
    <row r="1914" spans="13:13" x14ac:dyDescent="0.45">
      <c r="M1914" t="s">
        <v>6519</v>
      </c>
    </row>
    <row r="1915" spans="13:13" x14ac:dyDescent="0.45">
      <c r="M1915" t="s">
        <v>3219</v>
      </c>
    </row>
    <row r="1916" spans="13:13" x14ac:dyDescent="0.45">
      <c r="M1916" t="s">
        <v>807</v>
      </c>
    </row>
    <row r="1917" spans="13:13" x14ac:dyDescent="0.45">
      <c r="M1917" t="s">
        <v>3223</v>
      </c>
    </row>
    <row r="1918" spans="13:13" x14ac:dyDescent="0.45">
      <c r="M1918" t="s">
        <v>3220</v>
      </c>
    </row>
    <row r="1919" spans="13:13" x14ac:dyDescent="0.45">
      <c r="M1919" t="s">
        <v>808</v>
      </c>
    </row>
    <row r="1920" spans="13:13" x14ac:dyDescent="0.45">
      <c r="M1920" t="s">
        <v>3221</v>
      </c>
    </row>
    <row r="1921" spans="13:13" x14ac:dyDescent="0.45">
      <c r="M1921" t="s">
        <v>3222</v>
      </c>
    </row>
    <row r="1922" spans="13:13" x14ac:dyDescent="0.45">
      <c r="M1922" t="s">
        <v>6520</v>
      </c>
    </row>
    <row r="1923" spans="13:13" x14ac:dyDescent="0.45">
      <c r="M1923" t="s">
        <v>3825</v>
      </c>
    </row>
    <row r="1924" spans="13:13" x14ac:dyDescent="0.45">
      <c r="M1924" t="s">
        <v>3283</v>
      </c>
    </row>
    <row r="1925" spans="13:13" x14ac:dyDescent="0.45">
      <c r="M1925" t="s">
        <v>3676</v>
      </c>
    </row>
    <row r="1926" spans="13:13" x14ac:dyDescent="0.45">
      <c r="M1926" t="s">
        <v>3284</v>
      </c>
    </row>
    <row r="1927" spans="13:13" x14ac:dyDescent="0.45">
      <c r="M1927" t="s">
        <v>6521</v>
      </c>
    </row>
    <row r="1928" spans="13:13" x14ac:dyDescent="0.45">
      <c r="M1928" t="s">
        <v>6522</v>
      </c>
    </row>
    <row r="1929" spans="13:13" x14ac:dyDescent="0.45">
      <c r="M1929" t="s">
        <v>6523</v>
      </c>
    </row>
    <row r="1930" spans="13:13" x14ac:dyDescent="0.45">
      <c r="M1930" t="s">
        <v>6524</v>
      </c>
    </row>
    <row r="1931" spans="13:13" x14ac:dyDescent="0.45">
      <c r="M1931" t="s">
        <v>6525</v>
      </c>
    </row>
    <row r="1932" spans="13:13" x14ac:dyDescent="0.45">
      <c r="M1932" t="s">
        <v>3285</v>
      </c>
    </row>
    <row r="1933" spans="13:13" x14ac:dyDescent="0.45">
      <c r="M1933" t="s">
        <v>3286</v>
      </c>
    </row>
    <row r="1934" spans="13:13" x14ac:dyDescent="0.45">
      <c r="M1934" t="s">
        <v>3287</v>
      </c>
    </row>
    <row r="1935" spans="13:13" x14ac:dyDescent="0.45">
      <c r="M1935" t="s">
        <v>3288</v>
      </c>
    </row>
    <row r="1936" spans="13:13" x14ac:dyDescent="0.45">
      <c r="M1936" t="s">
        <v>3289</v>
      </c>
    </row>
    <row r="1937" spans="13:13" x14ac:dyDescent="0.45">
      <c r="M1937" t="s">
        <v>200</v>
      </c>
    </row>
    <row r="1938" spans="13:13" x14ac:dyDescent="0.45">
      <c r="M1938" t="s">
        <v>3290</v>
      </c>
    </row>
    <row r="1939" spans="13:13" x14ac:dyDescent="0.45">
      <c r="M1939" t="s">
        <v>6526</v>
      </c>
    </row>
    <row r="1940" spans="13:13" x14ac:dyDescent="0.45">
      <c r="M1940" t="s">
        <v>6527</v>
      </c>
    </row>
    <row r="1941" spans="13:13" x14ac:dyDescent="0.45">
      <c r="M1941" t="s">
        <v>6528</v>
      </c>
    </row>
    <row r="1942" spans="13:13" x14ac:dyDescent="0.45">
      <c r="M1942" t="s">
        <v>3291</v>
      </c>
    </row>
    <row r="1943" spans="13:13" x14ac:dyDescent="0.45">
      <c r="M1943" t="s">
        <v>3358</v>
      </c>
    </row>
    <row r="1944" spans="13:13" x14ac:dyDescent="0.45">
      <c r="M1944" t="s">
        <v>3826</v>
      </c>
    </row>
    <row r="1945" spans="13:13" x14ac:dyDescent="0.45">
      <c r="M1945" t="s">
        <v>3359</v>
      </c>
    </row>
    <row r="1946" spans="13:13" x14ac:dyDescent="0.45">
      <c r="M1946" t="s">
        <v>3360</v>
      </c>
    </row>
    <row r="1947" spans="13:13" x14ac:dyDescent="0.45">
      <c r="M1947" t="s">
        <v>3361</v>
      </c>
    </row>
    <row r="1948" spans="13:13" x14ac:dyDescent="0.45">
      <c r="M1948" t="s">
        <v>3362</v>
      </c>
    </row>
    <row r="1949" spans="13:13" x14ac:dyDescent="0.45">
      <c r="M1949" t="s">
        <v>3363</v>
      </c>
    </row>
    <row r="1950" spans="13:13" x14ac:dyDescent="0.45">
      <c r="M1950" t="s">
        <v>3364</v>
      </c>
    </row>
    <row r="1951" spans="13:13" x14ac:dyDescent="0.45">
      <c r="M1951" t="s">
        <v>6529</v>
      </c>
    </row>
    <row r="1952" spans="13:13" x14ac:dyDescent="0.45">
      <c r="M1952" t="s">
        <v>6530</v>
      </c>
    </row>
    <row r="1953" spans="13:13" x14ac:dyDescent="0.45">
      <c r="M1953" t="s">
        <v>3671</v>
      </c>
    </row>
    <row r="1954" spans="13:13" x14ac:dyDescent="0.45">
      <c r="M1954" t="s">
        <v>3365</v>
      </c>
    </row>
    <row r="1955" spans="13:13" x14ac:dyDescent="0.45">
      <c r="M1955" t="s">
        <v>3366</v>
      </c>
    </row>
    <row r="1956" spans="13:13" x14ac:dyDescent="0.45">
      <c r="M1956" t="s">
        <v>6531</v>
      </c>
    </row>
    <row r="1957" spans="13:13" x14ac:dyDescent="0.45">
      <c r="M1957" t="s">
        <v>3445</v>
      </c>
    </row>
    <row r="1958" spans="13:13" x14ac:dyDescent="0.45">
      <c r="M1958" t="s">
        <v>3446</v>
      </c>
    </row>
    <row r="1959" spans="13:13" x14ac:dyDescent="0.45">
      <c r="M1959" t="s">
        <v>3447</v>
      </c>
    </row>
    <row r="1960" spans="13:13" x14ac:dyDescent="0.45">
      <c r="M1960" t="s">
        <v>3734</v>
      </c>
    </row>
    <row r="1961" spans="13:13" x14ac:dyDescent="0.45">
      <c r="M1961" t="s">
        <v>6532</v>
      </c>
    </row>
    <row r="1962" spans="13:13" x14ac:dyDescent="0.45">
      <c r="M1962" t="s">
        <v>6533</v>
      </c>
    </row>
    <row r="1963" spans="13:13" x14ac:dyDescent="0.45">
      <c r="M1963" t="s">
        <v>3448</v>
      </c>
    </row>
    <row r="1964" spans="13:13" x14ac:dyDescent="0.45">
      <c r="M1964" t="s">
        <v>3751</v>
      </c>
    </row>
    <row r="1965" spans="13:13" x14ac:dyDescent="0.45">
      <c r="M1965" t="s">
        <v>6534</v>
      </c>
    </row>
    <row r="1966" spans="13:13" x14ac:dyDescent="0.45">
      <c r="M1966" t="s">
        <v>3766</v>
      </c>
    </row>
    <row r="1967" spans="13:13" x14ac:dyDescent="0.45">
      <c r="M1967" t="s">
        <v>3718</v>
      </c>
    </row>
    <row r="1968" spans="13:13" x14ac:dyDescent="0.45">
      <c r="M1968" t="s">
        <v>6535</v>
      </c>
    </row>
    <row r="1969" spans="13:13" x14ac:dyDescent="0.45">
      <c r="M1969" t="s">
        <v>3449</v>
      </c>
    </row>
    <row r="1970" spans="13:13" x14ac:dyDescent="0.45">
      <c r="M1970" t="s">
        <v>3450</v>
      </c>
    </row>
    <row r="1971" spans="13:13" x14ac:dyDescent="0.45">
      <c r="M1971" t="s">
        <v>3451</v>
      </c>
    </row>
    <row r="1972" spans="13:13" x14ac:dyDescent="0.45">
      <c r="M1972" t="s">
        <v>3452</v>
      </c>
    </row>
    <row r="1973" spans="13:13" x14ac:dyDescent="0.45">
      <c r="M1973" t="s">
        <v>3453</v>
      </c>
    </row>
    <row r="1974" spans="13:13" x14ac:dyDescent="0.45">
      <c r="M1974" t="s">
        <v>3454</v>
      </c>
    </row>
    <row r="1975" spans="13:13" x14ac:dyDescent="0.45">
      <c r="M1975" t="s">
        <v>3455</v>
      </c>
    </row>
    <row r="1976" spans="13:13" x14ac:dyDescent="0.45">
      <c r="M1976" t="s">
        <v>3456</v>
      </c>
    </row>
    <row r="1977" spans="13:13" x14ac:dyDescent="0.45">
      <c r="M1977" t="s">
        <v>3515</v>
      </c>
    </row>
    <row r="1978" spans="13:13" x14ac:dyDescent="0.45">
      <c r="M1978" t="s">
        <v>3731</v>
      </c>
    </row>
    <row r="1979" spans="13:13" x14ac:dyDescent="0.45">
      <c r="M1979" t="s">
        <v>3778</v>
      </c>
    </row>
    <row r="1980" spans="13:13" x14ac:dyDescent="0.45">
      <c r="M1980" t="s">
        <v>6536</v>
      </c>
    </row>
    <row r="1981" spans="13:13" x14ac:dyDescent="0.45">
      <c r="M1981" t="s">
        <v>3516</v>
      </c>
    </row>
    <row r="1982" spans="13:13" x14ac:dyDescent="0.45">
      <c r="M1982" t="s">
        <v>3517</v>
      </c>
    </row>
    <row r="1983" spans="13:13" x14ac:dyDescent="0.45">
      <c r="M1983" t="s">
        <v>3518</v>
      </c>
    </row>
    <row r="1984" spans="13:13" x14ac:dyDescent="0.45">
      <c r="M1984" t="s">
        <v>3519</v>
      </c>
    </row>
    <row r="1985" spans="13:13" x14ac:dyDescent="0.45">
      <c r="M1985" t="s">
        <v>6537</v>
      </c>
    </row>
    <row r="1986" spans="13:13" x14ac:dyDescent="0.45">
      <c r="M1986" t="s">
        <v>3520</v>
      </c>
    </row>
    <row r="1987" spans="13:13" x14ac:dyDescent="0.45">
      <c r="M1987" t="s">
        <v>3521</v>
      </c>
    </row>
    <row r="1988" spans="13:13" x14ac:dyDescent="0.45">
      <c r="M1988" t="s">
        <v>3522</v>
      </c>
    </row>
    <row r="1989" spans="13:13" x14ac:dyDescent="0.45">
      <c r="M1989" t="s">
        <v>3523</v>
      </c>
    </row>
    <row r="1990" spans="13:13" x14ac:dyDescent="0.45">
      <c r="M1990" t="s">
        <v>3524</v>
      </c>
    </row>
    <row r="1991" spans="13:13" x14ac:dyDescent="0.45">
      <c r="M1991" t="s">
        <v>3692</v>
      </c>
    </row>
    <row r="1992" spans="13:13" x14ac:dyDescent="0.45">
      <c r="M1992" t="s">
        <v>6538</v>
      </c>
    </row>
    <row r="1993" spans="13:13" x14ac:dyDescent="0.45">
      <c r="M1993" t="s">
        <v>6539</v>
      </c>
    </row>
    <row r="1994" spans="13:13" x14ac:dyDescent="0.45">
      <c r="M1994" t="s">
        <v>3670</v>
      </c>
    </row>
    <row r="1995" spans="13:13" x14ac:dyDescent="0.45">
      <c r="M1995" t="s">
        <v>6540</v>
      </c>
    </row>
    <row r="1996" spans="13:13" x14ac:dyDescent="0.45">
      <c r="M1996" t="s">
        <v>6541</v>
      </c>
    </row>
    <row r="1997" spans="13:13" x14ac:dyDescent="0.45">
      <c r="M1997" t="s">
        <v>3576</v>
      </c>
    </row>
    <row r="1998" spans="13:13" x14ac:dyDescent="0.45">
      <c r="M1998" t="s">
        <v>3577</v>
      </c>
    </row>
    <row r="1999" spans="13:13" x14ac:dyDescent="0.45">
      <c r="M1999" t="s">
        <v>3578</v>
      </c>
    </row>
    <row r="2000" spans="13:13" x14ac:dyDescent="0.45">
      <c r="M2000" t="s">
        <v>3579</v>
      </c>
    </row>
    <row r="2001" spans="13:13" x14ac:dyDescent="0.45">
      <c r="M2001" t="s">
        <v>6542</v>
      </c>
    </row>
    <row r="2002" spans="13:13" x14ac:dyDescent="0.45">
      <c r="M2002" t="s">
        <v>3580</v>
      </c>
    </row>
    <row r="2003" spans="13:13" x14ac:dyDescent="0.45">
      <c r="M2003" t="s">
        <v>3581</v>
      </c>
    </row>
    <row r="2004" spans="13:13" x14ac:dyDescent="0.45">
      <c r="M2004" t="s">
        <v>3582</v>
      </c>
    </row>
    <row r="2005" spans="13:13" x14ac:dyDescent="0.45">
      <c r="M2005" t="s">
        <v>3583</v>
      </c>
    </row>
    <row r="2006" spans="13:13" x14ac:dyDescent="0.45">
      <c r="M2006" t="s">
        <v>809</v>
      </c>
    </row>
    <row r="2007" spans="13:13" x14ac:dyDescent="0.45">
      <c r="M2007" t="s">
        <v>3649</v>
      </c>
    </row>
    <row r="2008" spans="13:13" x14ac:dyDescent="0.45">
      <c r="M2008" t="s">
        <v>6543</v>
      </c>
    </row>
    <row r="2009" spans="13:13" x14ac:dyDescent="0.45">
      <c r="M2009" t="s">
        <v>6544</v>
      </c>
    </row>
    <row r="2010" spans="13:13" x14ac:dyDescent="0.45">
      <c r="M2010" t="s">
        <v>6545</v>
      </c>
    </row>
    <row r="2011" spans="13:13" x14ac:dyDescent="0.45">
      <c r="M2011" t="s">
        <v>3650</v>
      </c>
    </row>
    <row r="2012" spans="13:13" x14ac:dyDescent="0.45">
      <c r="M2012" t="s">
        <v>6546</v>
      </c>
    </row>
    <row r="2013" spans="13:13" x14ac:dyDescent="0.45">
      <c r="M2013" t="s">
        <v>6547</v>
      </c>
    </row>
    <row r="2014" spans="13:13" x14ac:dyDescent="0.45">
      <c r="M2014" t="s">
        <v>6548</v>
      </c>
    </row>
    <row r="2015" spans="13:13" x14ac:dyDescent="0.45">
      <c r="M2015" t="s">
        <v>6549</v>
      </c>
    </row>
    <row r="2016" spans="13:13" x14ac:dyDescent="0.45">
      <c r="M2016" t="s">
        <v>6550</v>
      </c>
    </row>
    <row r="2017" spans="13:13" x14ac:dyDescent="0.45">
      <c r="M2017" t="s">
        <v>3651</v>
      </c>
    </row>
    <row r="2018" spans="13:13" x14ac:dyDescent="0.45">
      <c r="M2018" t="s">
        <v>6551</v>
      </c>
    </row>
    <row r="2019" spans="13:13" x14ac:dyDescent="0.45">
      <c r="M2019" t="s">
        <v>6552</v>
      </c>
    </row>
    <row r="2020" spans="13:13" x14ac:dyDescent="0.45">
      <c r="M2020" t="s">
        <v>3652</v>
      </c>
    </row>
    <row r="2021" spans="13:13" x14ac:dyDescent="0.45">
      <c r="M2021" t="s">
        <v>3241</v>
      </c>
    </row>
    <row r="2022" spans="13:13" x14ac:dyDescent="0.45">
      <c r="M2022" t="s">
        <v>3242</v>
      </c>
    </row>
    <row r="2023" spans="13:13" x14ac:dyDescent="0.45">
      <c r="M2023" t="s">
        <v>3243</v>
      </c>
    </row>
    <row r="2024" spans="13:13" x14ac:dyDescent="0.45">
      <c r="M2024" t="s">
        <v>201</v>
      </c>
    </row>
  </sheetData>
  <sheetProtection sheet="1" objects="1" scenarios="1" selectLockedCells="1" selectUnlockedCells="1"/>
  <sortState xmlns:xlrd2="http://schemas.microsoft.com/office/spreadsheetml/2017/richdata2" ref="F2:F1018">
    <sortCondition ref="F1018"/>
  </sortState>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15"/>
  <sheetViews>
    <sheetView workbookViewId="0">
      <pane ySplit="1" topLeftCell="A2" activePane="bottomLeft" state="frozen"/>
      <selection pane="bottomLeft" sqref="A1:XFD1048576"/>
    </sheetView>
  </sheetViews>
  <sheetFormatPr defaultRowHeight="14.25" x14ac:dyDescent="0.45"/>
  <cols>
    <col min="1" max="1" width="175" customWidth="1"/>
  </cols>
  <sheetData>
    <row r="1" spans="1:1" x14ac:dyDescent="0.45">
      <c r="A1" s="1" t="s">
        <v>10297</v>
      </c>
    </row>
    <row r="2" spans="1:1" x14ac:dyDescent="0.45">
      <c r="A2" t="s">
        <v>10293</v>
      </c>
    </row>
    <row r="3" spans="1:1" x14ac:dyDescent="0.45">
      <c r="A3" t="s">
        <v>10661</v>
      </c>
    </row>
    <row r="4" spans="1:1" x14ac:dyDescent="0.45">
      <c r="A4" t="s">
        <v>10294</v>
      </c>
    </row>
    <row r="5" spans="1:1" x14ac:dyDescent="0.45">
      <c r="A5" t="s">
        <v>10296</v>
      </c>
    </row>
    <row r="6" spans="1:1" x14ac:dyDescent="0.45">
      <c r="A6" t="s">
        <v>10664</v>
      </c>
    </row>
    <row r="7" spans="1:1" x14ac:dyDescent="0.45">
      <c r="A7" t="s">
        <v>10295</v>
      </c>
    </row>
    <row r="8" spans="1:1" x14ac:dyDescent="0.45">
      <c r="A8" t="s">
        <v>10662</v>
      </c>
    </row>
    <row r="9" spans="1:1" x14ac:dyDescent="0.45">
      <c r="A9" t="s">
        <v>10663</v>
      </c>
    </row>
    <row r="11" spans="1:1" x14ac:dyDescent="0.45">
      <c r="A11" s="1" t="s">
        <v>10298</v>
      </c>
    </row>
    <row r="12" spans="1:1" x14ac:dyDescent="0.45">
      <c r="A12" t="s">
        <v>10299</v>
      </c>
    </row>
    <row r="13" spans="1:1" x14ac:dyDescent="0.45">
      <c r="A13" t="s">
        <v>10300</v>
      </c>
    </row>
    <row r="14" spans="1:1" x14ac:dyDescent="0.45">
      <c r="A14" t="s">
        <v>10301</v>
      </c>
    </row>
    <row r="15" spans="1:1" x14ac:dyDescent="0.45">
      <c r="A15" t="s">
        <v>10302</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D310"/>
  <sheetViews>
    <sheetView zoomScale="85" zoomScaleNormal="85" workbookViewId="0">
      <pane ySplit="1" topLeftCell="A164" activePane="bottomLeft" state="frozen"/>
      <selection pane="bottomLeft" activeCell="B251" sqref="B251"/>
    </sheetView>
  </sheetViews>
  <sheetFormatPr defaultRowHeight="14.25" x14ac:dyDescent="0.45"/>
  <cols>
    <col min="1" max="1" width="44.86328125" bestFit="1" customWidth="1"/>
    <col min="2" max="2" width="28.86328125" customWidth="1"/>
    <col min="3" max="3" width="52.86328125" customWidth="1"/>
    <col min="4" max="4" width="6.86328125" bestFit="1" customWidth="1"/>
  </cols>
  <sheetData>
    <row r="1" spans="1:4" s="1" customFormat="1" x14ac:dyDescent="0.45">
      <c r="A1" s="1" t="s">
        <v>488</v>
      </c>
      <c r="B1" s="1" t="s">
        <v>773</v>
      </c>
      <c r="C1" s="1" t="s">
        <v>774</v>
      </c>
      <c r="D1" s="1" t="s">
        <v>772</v>
      </c>
    </row>
    <row r="2" spans="1:4" x14ac:dyDescent="0.45">
      <c r="A2" t="s">
        <v>490</v>
      </c>
      <c r="B2" t="s">
        <v>489</v>
      </c>
      <c r="C2" t="s">
        <v>741</v>
      </c>
      <c r="D2">
        <v>0</v>
      </c>
    </row>
    <row r="3" spans="1:4" x14ac:dyDescent="0.45">
      <c r="A3" t="s">
        <v>811</v>
      </c>
      <c r="B3" t="s">
        <v>490</v>
      </c>
      <c r="C3" t="s">
        <v>742</v>
      </c>
      <c r="D3">
        <v>0</v>
      </c>
    </row>
    <row r="4" spans="1:4" x14ac:dyDescent="0.45">
      <c r="A4" t="s">
        <v>492</v>
      </c>
      <c r="B4" t="s">
        <v>491</v>
      </c>
      <c r="C4" t="s">
        <v>743</v>
      </c>
      <c r="D4">
        <v>0</v>
      </c>
    </row>
    <row r="5" spans="1:4" x14ac:dyDescent="0.45">
      <c r="A5" t="s">
        <v>493</v>
      </c>
      <c r="B5" t="s">
        <v>492</v>
      </c>
      <c r="C5" t="s">
        <v>744</v>
      </c>
      <c r="D5">
        <v>0</v>
      </c>
    </row>
    <row r="6" spans="1:4" x14ac:dyDescent="0.45">
      <c r="A6" t="s">
        <v>494</v>
      </c>
      <c r="B6" t="s">
        <v>493</v>
      </c>
      <c r="C6" t="s">
        <v>745</v>
      </c>
      <c r="D6">
        <v>0</v>
      </c>
    </row>
    <row r="7" spans="1:4" x14ac:dyDescent="0.45">
      <c r="A7" t="s">
        <v>1025</v>
      </c>
      <c r="B7" t="s">
        <v>494</v>
      </c>
      <c r="C7" t="s">
        <v>746</v>
      </c>
      <c r="D7">
        <v>0</v>
      </c>
    </row>
    <row r="8" spans="1:4" x14ac:dyDescent="0.45">
      <c r="A8" t="s">
        <v>812</v>
      </c>
      <c r="B8" t="s">
        <v>495</v>
      </c>
      <c r="C8" t="s">
        <v>747</v>
      </c>
      <c r="D8">
        <v>0</v>
      </c>
    </row>
    <row r="9" spans="1:4" x14ac:dyDescent="0.45">
      <c r="A9" t="s">
        <v>495</v>
      </c>
      <c r="B9" t="s">
        <v>496</v>
      </c>
      <c r="C9" t="s">
        <v>750</v>
      </c>
      <c r="D9">
        <v>0</v>
      </c>
    </row>
    <row r="10" spans="1:4" x14ac:dyDescent="0.45">
      <c r="A10" t="s">
        <v>508</v>
      </c>
      <c r="B10" t="s">
        <v>497</v>
      </c>
      <c r="C10" t="s">
        <v>748</v>
      </c>
      <c r="D10">
        <v>0</v>
      </c>
    </row>
    <row r="11" spans="1:4" x14ac:dyDescent="0.45">
      <c r="A11" t="s">
        <v>813</v>
      </c>
      <c r="B11" t="s">
        <v>498</v>
      </c>
      <c r="C11" t="s">
        <v>749</v>
      </c>
      <c r="D11">
        <v>0</v>
      </c>
    </row>
    <row r="12" spans="1:4" x14ac:dyDescent="0.45">
      <c r="A12" t="s">
        <v>1026</v>
      </c>
      <c r="B12" t="s">
        <v>499</v>
      </c>
      <c r="C12" t="s">
        <v>753</v>
      </c>
      <c r="D12">
        <v>0</v>
      </c>
    </row>
    <row r="13" spans="1:4" x14ac:dyDescent="0.45">
      <c r="A13" t="s">
        <v>506</v>
      </c>
      <c r="B13" t="s">
        <v>500</v>
      </c>
      <c r="C13" t="s">
        <v>751</v>
      </c>
      <c r="D13">
        <v>0</v>
      </c>
    </row>
    <row r="14" spans="1:4" x14ac:dyDescent="0.45">
      <c r="A14" t="s">
        <v>814</v>
      </c>
      <c r="B14" t="s">
        <v>501</v>
      </c>
      <c r="C14" t="s">
        <v>752</v>
      </c>
      <c r="D14">
        <v>0</v>
      </c>
    </row>
    <row r="15" spans="1:4" x14ac:dyDescent="0.45">
      <c r="A15" t="s">
        <v>815</v>
      </c>
      <c r="B15" t="s">
        <v>502</v>
      </c>
      <c r="C15" t="s">
        <v>754</v>
      </c>
      <c r="D15">
        <v>0</v>
      </c>
    </row>
    <row r="16" spans="1:4" x14ac:dyDescent="0.45">
      <c r="A16" t="s">
        <v>1027</v>
      </c>
      <c r="B16" t="s">
        <v>503</v>
      </c>
      <c r="C16" t="s">
        <v>756</v>
      </c>
      <c r="D16">
        <v>0</v>
      </c>
    </row>
    <row r="17" spans="1:4" x14ac:dyDescent="0.45">
      <c r="A17" t="s">
        <v>816</v>
      </c>
      <c r="B17" t="s">
        <v>504</v>
      </c>
      <c r="C17" t="s">
        <v>757</v>
      </c>
      <c r="D17">
        <v>0</v>
      </c>
    </row>
    <row r="18" spans="1:4" x14ac:dyDescent="0.45">
      <c r="A18" t="s">
        <v>1028</v>
      </c>
      <c r="B18" t="s">
        <v>505</v>
      </c>
      <c r="C18" t="s">
        <v>755</v>
      </c>
      <c r="D18">
        <v>0</v>
      </c>
    </row>
    <row r="19" spans="1:4" x14ac:dyDescent="0.45">
      <c r="A19" t="s">
        <v>740</v>
      </c>
      <c r="B19" t="s">
        <v>506</v>
      </c>
      <c r="C19" t="s">
        <v>702</v>
      </c>
      <c r="D19">
        <v>0</v>
      </c>
    </row>
    <row r="20" spans="1:4" x14ac:dyDescent="0.45">
      <c r="A20" t="s">
        <v>500</v>
      </c>
      <c r="B20" t="s">
        <v>507</v>
      </c>
      <c r="C20" t="s">
        <v>759</v>
      </c>
      <c r="D20">
        <v>0</v>
      </c>
    </row>
    <row r="21" spans="1:4" x14ac:dyDescent="0.45">
      <c r="A21" t="s">
        <v>817</v>
      </c>
      <c r="B21" t="s">
        <v>508</v>
      </c>
      <c r="C21" t="s">
        <v>760</v>
      </c>
      <c r="D21">
        <v>0</v>
      </c>
    </row>
    <row r="22" spans="1:4" x14ac:dyDescent="0.45">
      <c r="A22" t="s">
        <v>504</v>
      </c>
      <c r="B22" t="s">
        <v>509</v>
      </c>
      <c r="C22" t="s">
        <v>720</v>
      </c>
      <c r="D22">
        <v>0</v>
      </c>
    </row>
    <row r="23" spans="1:4" x14ac:dyDescent="0.45">
      <c r="A23" t="s">
        <v>741</v>
      </c>
      <c r="B23" t="s">
        <v>510</v>
      </c>
      <c r="C23" t="s">
        <v>761</v>
      </c>
      <c r="D23">
        <v>0</v>
      </c>
    </row>
    <row r="24" spans="1:4" x14ac:dyDescent="0.45">
      <c r="A24" t="s">
        <v>503</v>
      </c>
      <c r="B24" t="s">
        <v>511</v>
      </c>
      <c r="C24" t="s">
        <v>735</v>
      </c>
      <c r="D24">
        <v>0</v>
      </c>
    </row>
    <row r="25" spans="1:4" x14ac:dyDescent="0.45">
      <c r="A25" t="s">
        <v>507</v>
      </c>
      <c r="B25" t="s">
        <v>512</v>
      </c>
      <c r="C25" t="s">
        <v>147</v>
      </c>
      <c r="D25">
        <v>0</v>
      </c>
    </row>
    <row r="26" spans="1:4" x14ac:dyDescent="0.45">
      <c r="A26" t="s">
        <v>498</v>
      </c>
      <c r="B26" t="s">
        <v>513</v>
      </c>
      <c r="C26" t="s">
        <v>765</v>
      </c>
      <c r="D26">
        <v>0</v>
      </c>
    </row>
    <row r="27" spans="1:4" x14ac:dyDescent="0.45">
      <c r="A27" t="s">
        <v>499</v>
      </c>
      <c r="B27" t="s">
        <v>514</v>
      </c>
      <c r="C27" t="s">
        <v>766</v>
      </c>
      <c r="D27">
        <v>0</v>
      </c>
    </row>
    <row r="28" spans="1:4" x14ac:dyDescent="0.45">
      <c r="A28" t="s">
        <v>497</v>
      </c>
      <c r="B28" t="s">
        <v>515</v>
      </c>
      <c r="C28" t="s">
        <v>764</v>
      </c>
      <c r="D28">
        <v>0</v>
      </c>
    </row>
    <row r="29" spans="1:4" x14ac:dyDescent="0.45">
      <c r="A29" t="s">
        <v>502</v>
      </c>
      <c r="B29" t="s">
        <v>516</v>
      </c>
      <c r="C29" t="s">
        <v>763</v>
      </c>
      <c r="D29">
        <v>0</v>
      </c>
    </row>
    <row r="30" spans="1:4" x14ac:dyDescent="0.45">
      <c r="A30" t="s">
        <v>509</v>
      </c>
      <c r="B30" t="s">
        <v>517</v>
      </c>
      <c r="C30" t="s">
        <v>65</v>
      </c>
      <c r="D30">
        <v>0</v>
      </c>
    </row>
    <row r="31" spans="1:4" x14ac:dyDescent="0.45">
      <c r="A31" t="s">
        <v>501</v>
      </c>
      <c r="B31" t="s">
        <v>518</v>
      </c>
      <c r="C31" t="s">
        <v>769</v>
      </c>
      <c r="D31">
        <v>0</v>
      </c>
    </row>
    <row r="32" spans="1:4" x14ac:dyDescent="0.45">
      <c r="A32" t="s">
        <v>818</v>
      </c>
      <c r="B32" t="s">
        <v>519</v>
      </c>
      <c r="C32" t="s">
        <v>771</v>
      </c>
      <c r="D32">
        <v>0</v>
      </c>
    </row>
    <row r="33" spans="1:4" x14ac:dyDescent="0.45">
      <c r="A33" t="s">
        <v>819</v>
      </c>
      <c r="B33" t="s">
        <v>35</v>
      </c>
      <c r="C33" t="s">
        <v>490</v>
      </c>
      <c r="D33">
        <v>1</v>
      </c>
    </row>
    <row r="34" spans="1:4" x14ac:dyDescent="0.45">
      <c r="A34" t="s">
        <v>505</v>
      </c>
      <c r="B34" t="s">
        <v>520</v>
      </c>
      <c r="C34" t="s">
        <v>491</v>
      </c>
      <c r="D34">
        <v>1</v>
      </c>
    </row>
    <row r="35" spans="1:4" x14ac:dyDescent="0.45">
      <c r="A35" t="s">
        <v>742</v>
      </c>
      <c r="B35" t="s">
        <v>521</v>
      </c>
      <c r="C35" t="s">
        <v>489</v>
      </c>
      <c r="D35">
        <v>1</v>
      </c>
    </row>
    <row r="36" spans="1:4" x14ac:dyDescent="0.45">
      <c r="A36" t="s">
        <v>743</v>
      </c>
      <c r="B36" t="s">
        <v>522</v>
      </c>
      <c r="C36" t="s">
        <v>492</v>
      </c>
      <c r="D36">
        <v>1</v>
      </c>
    </row>
    <row r="37" spans="1:4" x14ac:dyDescent="0.45">
      <c r="A37" t="s">
        <v>511</v>
      </c>
      <c r="B37" t="s">
        <v>523</v>
      </c>
      <c r="C37" t="s">
        <v>493</v>
      </c>
      <c r="D37">
        <v>1</v>
      </c>
    </row>
    <row r="38" spans="1:4" x14ac:dyDescent="0.45">
      <c r="A38" t="s">
        <v>512</v>
      </c>
      <c r="B38" t="s">
        <v>524</v>
      </c>
      <c r="C38" t="s">
        <v>494</v>
      </c>
      <c r="D38">
        <v>1</v>
      </c>
    </row>
    <row r="39" spans="1:4" x14ac:dyDescent="0.45">
      <c r="A39" t="s">
        <v>744</v>
      </c>
      <c r="B39" t="s">
        <v>525</v>
      </c>
      <c r="C39" t="s">
        <v>495</v>
      </c>
      <c r="D39">
        <v>1</v>
      </c>
    </row>
    <row r="40" spans="1:4" x14ac:dyDescent="0.45">
      <c r="A40" t="s">
        <v>513</v>
      </c>
      <c r="B40" t="s">
        <v>524</v>
      </c>
      <c r="C40" t="s">
        <v>508</v>
      </c>
      <c r="D40">
        <v>1</v>
      </c>
    </row>
    <row r="41" spans="1:4" x14ac:dyDescent="0.45">
      <c r="A41" t="s">
        <v>820</v>
      </c>
      <c r="B41" t="s">
        <v>526</v>
      </c>
      <c r="C41" t="s">
        <v>506</v>
      </c>
      <c r="D41">
        <v>1</v>
      </c>
    </row>
    <row r="42" spans="1:4" x14ac:dyDescent="0.45">
      <c r="A42" t="s">
        <v>821</v>
      </c>
      <c r="B42" t="s">
        <v>527</v>
      </c>
      <c r="C42" t="s">
        <v>740</v>
      </c>
      <c r="D42">
        <v>1</v>
      </c>
    </row>
    <row r="43" spans="1:4" x14ac:dyDescent="0.45">
      <c r="A43" t="s">
        <v>733</v>
      </c>
      <c r="B43" t="s">
        <v>528</v>
      </c>
      <c r="C43" t="s">
        <v>500</v>
      </c>
      <c r="D43">
        <v>1</v>
      </c>
    </row>
    <row r="44" spans="1:4" x14ac:dyDescent="0.45">
      <c r="A44" t="s">
        <v>514</v>
      </c>
      <c r="B44" t="s">
        <v>529</v>
      </c>
      <c r="C44" t="s">
        <v>504</v>
      </c>
      <c r="D44">
        <v>1</v>
      </c>
    </row>
    <row r="45" spans="1:4" x14ac:dyDescent="0.45">
      <c r="A45" t="s">
        <v>822</v>
      </c>
      <c r="B45" t="s">
        <v>530</v>
      </c>
      <c r="C45" t="s">
        <v>503</v>
      </c>
      <c r="D45">
        <v>1</v>
      </c>
    </row>
    <row r="46" spans="1:4" x14ac:dyDescent="0.45">
      <c r="A46" t="s">
        <v>823</v>
      </c>
      <c r="B46" t="s">
        <v>531</v>
      </c>
      <c r="C46" t="s">
        <v>507</v>
      </c>
      <c r="D46">
        <v>1</v>
      </c>
    </row>
    <row r="47" spans="1:4" x14ac:dyDescent="0.45">
      <c r="A47" t="s">
        <v>17</v>
      </c>
      <c r="B47" t="s">
        <v>532</v>
      </c>
      <c r="C47" t="s">
        <v>498</v>
      </c>
      <c r="D47">
        <v>1</v>
      </c>
    </row>
    <row r="48" spans="1:4" x14ac:dyDescent="0.45">
      <c r="A48" t="s">
        <v>525</v>
      </c>
      <c r="B48" t="s">
        <v>533</v>
      </c>
      <c r="C48" t="s">
        <v>499</v>
      </c>
      <c r="D48">
        <v>1</v>
      </c>
    </row>
    <row r="49" spans="1:4" x14ac:dyDescent="0.45">
      <c r="A49" t="s">
        <v>1029</v>
      </c>
      <c r="B49" t="s">
        <v>38</v>
      </c>
      <c r="C49" t="s">
        <v>497</v>
      </c>
      <c r="D49">
        <v>1</v>
      </c>
    </row>
    <row r="50" spans="1:4" x14ac:dyDescent="0.45">
      <c r="A50" t="s">
        <v>515</v>
      </c>
      <c r="B50" t="s">
        <v>534</v>
      </c>
      <c r="C50" t="s">
        <v>502</v>
      </c>
      <c r="D50">
        <v>1</v>
      </c>
    </row>
    <row r="51" spans="1:4" x14ac:dyDescent="0.45">
      <c r="A51" t="s">
        <v>1030</v>
      </c>
      <c r="B51" t="s">
        <v>535</v>
      </c>
      <c r="C51" t="s">
        <v>509</v>
      </c>
      <c r="D51">
        <v>1</v>
      </c>
    </row>
    <row r="52" spans="1:4" x14ac:dyDescent="0.45">
      <c r="A52" t="s">
        <v>824</v>
      </c>
      <c r="B52" t="s">
        <v>536</v>
      </c>
      <c r="C52" t="s">
        <v>501</v>
      </c>
      <c r="D52">
        <v>1</v>
      </c>
    </row>
    <row r="53" spans="1:4" x14ac:dyDescent="0.45">
      <c r="A53" t="s">
        <v>510</v>
      </c>
      <c r="B53" t="s">
        <v>537</v>
      </c>
      <c r="C53" t="s">
        <v>505</v>
      </c>
      <c r="D53">
        <v>1</v>
      </c>
    </row>
    <row r="54" spans="1:4" x14ac:dyDescent="0.45">
      <c r="A54" t="s">
        <v>745</v>
      </c>
      <c r="B54" t="s">
        <v>71</v>
      </c>
      <c r="C54" t="s">
        <v>511</v>
      </c>
      <c r="D54">
        <v>1</v>
      </c>
    </row>
    <row r="55" spans="1:4" x14ac:dyDescent="0.45">
      <c r="A55" t="s">
        <v>1031</v>
      </c>
      <c r="B55" t="s">
        <v>538</v>
      </c>
      <c r="C55" t="s">
        <v>512</v>
      </c>
      <c r="D55">
        <v>1</v>
      </c>
    </row>
    <row r="56" spans="1:4" x14ac:dyDescent="0.45">
      <c r="A56" t="s">
        <v>516</v>
      </c>
      <c r="B56" t="s">
        <v>539</v>
      </c>
      <c r="C56" t="s">
        <v>513</v>
      </c>
      <c r="D56">
        <v>1</v>
      </c>
    </row>
    <row r="57" spans="1:4" x14ac:dyDescent="0.45">
      <c r="A57" t="s">
        <v>517</v>
      </c>
      <c r="B57" t="s">
        <v>540</v>
      </c>
      <c r="C57" t="s">
        <v>514</v>
      </c>
      <c r="D57">
        <v>1</v>
      </c>
    </row>
    <row r="58" spans="1:4" x14ac:dyDescent="0.45">
      <c r="A58" t="s">
        <v>518</v>
      </c>
      <c r="B58" t="s">
        <v>541</v>
      </c>
      <c r="C58" t="s">
        <v>525</v>
      </c>
      <c r="D58">
        <v>1</v>
      </c>
    </row>
    <row r="59" spans="1:4" x14ac:dyDescent="0.45">
      <c r="A59" t="s">
        <v>519</v>
      </c>
      <c r="B59" t="s">
        <v>542</v>
      </c>
      <c r="C59" t="s">
        <v>515</v>
      </c>
      <c r="D59">
        <v>1</v>
      </c>
    </row>
    <row r="60" spans="1:4" x14ac:dyDescent="0.45">
      <c r="A60" t="s">
        <v>35</v>
      </c>
      <c r="B60" t="s">
        <v>543</v>
      </c>
      <c r="C60" t="s">
        <v>510</v>
      </c>
      <c r="D60">
        <v>1</v>
      </c>
    </row>
    <row r="61" spans="1:4" x14ac:dyDescent="0.45">
      <c r="A61" t="s">
        <v>520</v>
      </c>
      <c r="B61" t="s">
        <v>544</v>
      </c>
      <c r="C61" t="s">
        <v>523</v>
      </c>
      <c r="D61">
        <v>1</v>
      </c>
    </row>
    <row r="62" spans="1:4" x14ac:dyDescent="0.45">
      <c r="A62" t="s">
        <v>522</v>
      </c>
      <c r="B62" t="s">
        <v>545</v>
      </c>
      <c r="C62" t="s">
        <v>516</v>
      </c>
      <c r="D62">
        <v>1</v>
      </c>
    </row>
    <row r="63" spans="1:4" x14ac:dyDescent="0.45">
      <c r="A63" t="s">
        <v>825</v>
      </c>
      <c r="B63" t="s">
        <v>546</v>
      </c>
      <c r="C63" t="s">
        <v>517</v>
      </c>
      <c r="D63">
        <v>1</v>
      </c>
    </row>
    <row r="64" spans="1:4" x14ac:dyDescent="0.45">
      <c r="A64" t="s">
        <v>826</v>
      </c>
      <c r="B64" t="s">
        <v>547</v>
      </c>
      <c r="C64" t="s">
        <v>518</v>
      </c>
      <c r="D64">
        <v>1</v>
      </c>
    </row>
    <row r="65" spans="1:4" x14ac:dyDescent="0.45">
      <c r="A65" t="s">
        <v>1032</v>
      </c>
      <c r="B65" t="s">
        <v>548</v>
      </c>
      <c r="C65" t="s">
        <v>519</v>
      </c>
      <c r="D65">
        <v>1</v>
      </c>
    </row>
    <row r="66" spans="1:4" x14ac:dyDescent="0.45">
      <c r="A66" t="s">
        <v>1033</v>
      </c>
      <c r="B66" t="s">
        <v>549</v>
      </c>
      <c r="C66" t="s">
        <v>35</v>
      </c>
      <c r="D66">
        <v>1</v>
      </c>
    </row>
    <row r="67" spans="1:4" x14ac:dyDescent="0.45">
      <c r="A67" t="s">
        <v>1034</v>
      </c>
      <c r="B67" t="s">
        <v>550</v>
      </c>
      <c r="C67" t="s">
        <v>520</v>
      </c>
      <c r="D67">
        <v>1</v>
      </c>
    </row>
    <row r="68" spans="1:4" x14ac:dyDescent="0.45">
      <c r="A68" t="s">
        <v>827</v>
      </c>
      <c r="B68" t="s">
        <v>551</v>
      </c>
      <c r="C68" t="s">
        <v>522</v>
      </c>
      <c r="D68">
        <v>1</v>
      </c>
    </row>
    <row r="69" spans="1:4" x14ac:dyDescent="0.45">
      <c r="A69" t="s">
        <v>521</v>
      </c>
      <c r="B69" t="s">
        <v>552</v>
      </c>
      <c r="C69" t="s">
        <v>521</v>
      </c>
      <c r="D69">
        <v>1</v>
      </c>
    </row>
    <row r="70" spans="1:4" x14ac:dyDescent="0.45">
      <c r="A70" t="s">
        <v>828</v>
      </c>
      <c r="B70" t="s">
        <v>553</v>
      </c>
      <c r="C70" t="s">
        <v>532</v>
      </c>
      <c r="D70">
        <v>1</v>
      </c>
    </row>
    <row r="71" spans="1:4" x14ac:dyDescent="0.45">
      <c r="A71" t="s">
        <v>829</v>
      </c>
      <c r="B71" t="s">
        <v>554</v>
      </c>
      <c r="C71" t="s">
        <v>531</v>
      </c>
      <c r="D71">
        <v>1</v>
      </c>
    </row>
    <row r="72" spans="1:4" x14ac:dyDescent="0.45">
      <c r="A72" t="s">
        <v>830</v>
      </c>
      <c r="B72" t="s">
        <v>555</v>
      </c>
      <c r="C72" t="s">
        <v>530</v>
      </c>
      <c r="D72">
        <v>1</v>
      </c>
    </row>
    <row r="73" spans="1:4" x14ac:dyDescent="0.45">
      <c r="A73" t="s">
        <v>532</v>
      </c>
      <c r="B73" t="s">
        <v>556</v>
      </c>
      <c r="C73" t="s">
        <v>529</v>
      </c>
      <c r="D73">
        <v>1</v>
      </c>
    </row>
    <row r="74" spans="1:4" x14ac:dyDescent="0.45">
      <c r="A74" t="s">
        <v>531</v>
      </c>
      <c r="B74" t="s">
        <v>557</v>
      </c>
      <c r="C74" t="s">
        <v>526</v>
      </c>
      <c r="D74">
        <v>1</v>
      </c>
    </row>
    <row r="75" spans="1:4" x14ac:dyDescent="0.45">
      <c r="A75" t="s">
        <v>530</v>
      </c>
      <c r="B75" t="s">
        <v>558</v>
      </c>
      <c r="C75" t="s">
        <v>533</v>
      </c>
      <c r="D75">
        <v>1</v>
      </c>
    </row>
    <row r="76" spans="1:4" x14ac:dyDescent="0.45">
      <c r="A76" t="s">
        <v>529</v>
      </c>
      <c r="B76" t="s">
        <v>559</v>
      </c>
      <c r="C76" t="s">
        <v>528</v>
      </c>
      <c r="D76">
        <v>1</v>
      </c>
    </row>
    <row r="77" spans="1:4" x14ac:dyDescent="0.45">
      <c r="A77" t="s">
        <v>831</v>
      </c>
      <c r="B77" t="s">
        <v>560</v>
      </c>
      <c r="C77" t="s">
        <v>527</v>
      </c>
      <c r="D77">
        <v>1</v>
      </c>
    </row>
    <row r="78" spans="1:4" x14ac:dyDescent="0.45">
      <c r="A78" t="s">
        <v>526</v>
      </c>
      <c r="B78" t="s">
        <v>561</v>
      </c>
      <c r="C78" t="s">
        <v>38</v>
      </c>
      <c r="D78">
        <v>1</v>
      </c>
    </row>
    <row r="79" spans="1:4" x14ac:dyDescent="0.45">
      <c r="A79" t="s">
        <v>533</v>
      </c>
      <c r="B79" t="s">
        <v>562</v>
      </c>
      <c r="C79" t="s">
        <v>534</v>
      </c>
      <c r="D79">
        <v>1</v>
      </c>
    </row>
    <row r="80" spans="1:4" x14ac:dyDescent="0.45">
      <c r="A80" t="s">
        <v>1035</v>
      </c>
      <c r="B80" t="s">
        <v>563</v>
      </c>
      <c r="C80" t="s">
        <v>535</v>
      </c>
      <c r="D80">
        <v>1</v>
      </c>
    </row>
    <row r="81" spans="1:4" x14ac:dyDescent="0.45">
      <c r="A81" t="s">
        <v>832</v>
      </c>
      <c r="B81" t="s">
        <v>564</v>
      </c>
      <c r="C81" t="s">
        <v>539</v>
      </c>
      <c r="D81">
        <v>1</v>
      </c>
    </row>
    <row r="82" spans="1:4" x14ac:dyDescent="0.45">
      <c r="A82" t="s">
        <v>833</v>
      </c>
      <c r="B82" t="s">
        <v>565</v>
      </c>
      <c r="C82" t="s">
        <v>536</v>
      </c>
      <c r="D82">
        <v>1</v>
      </c>
    </row>
    <row r="83" spans="1:4" x14ac:dyDescent="0.45">
      <c r="A83" t="s">
        <v>834</v>
      </c>
      <c r="B83" t="s">
        <v>566</v>
      </c>
      <c r="C83" t="s">
        <v>537</v>
      </c>
      <c r="D83">
        <v>1</v>
      </c>
    </row>
    <row r="84" spans="1:4" x14ac:dyDescent="0.45">
      <c r="A84" t="s">
        <v>528</v>
      </c>
      <c r="B84" t="s">
        <v>567</v>
      </c>
      <c r="C84" t="s">
        <v>71</v>
      </c>
      <c r="D84">
        <v>1</v>
      </c>
    </row>
    <row r="85" spans="1:4" x14ac:dyDescent="0.45">
      <c r="A85" t="s">
        <v>527</v>
      </c>
      <c r="B85" t="s">
        <v>568</v>
      </c>
      <c r="C85" t="s">
        <v>538</v>
      </c>
      <c r="D85">
        <v>1</v>
      </c>
    </row>
    <row r="86" spans="1:4" x14ac:dyDescent="0.45">
      <c r="A86" t="s">
        <v>746</v>
      </c>
      <c r="B86" t="s">
        <v>569</v>
      </c>
      <c r="C86" t="s">
        <v>540</v>
      </c>
      <c r="D86">
        <v>1</v>
      </c>
    </row>
    <row r="87" spans="1:4" x14ac:dyDescent="0.45">
      <c r="A87" t="s">
        <v>835</v>
      </c>
      <c r="B87" t="s">
        <v>570</v>
      </c>
      <c r="C87" t="s">
        <v>554</v>
      </c>
      <c r="D87">
        <v>1</v>
      </c>
    </row>
    <row r="88" spans="1:4" x14ac:dyDescent="0.45">
      <c r="A88" t="s">
        <v>1036</v>
      </c>
      <c r="B88" t="s">
        <v>571</v>
      </c>
      <c r="C88" t="s">
        <v>548</v>
      </c>
      <c r="D88">
        <v>1</v>
      </c>
    </row>
    <row r="89" spans="1:4" x14ac:dyDescent="0.45">
      <c r="A89" t="s">
        <v>38</v>
      </c>
      <c r="B89" t="s">
        <v>572</v>
      </c>
      <c r="C89" t="s">
        <v>551</v>
      </c>
      <c r="D89">
        <v>1</v>
      </c>
    </row>
    <row r="90" spans="1:4" x14ac:dyDescent="0.45">
      <c r="A90" t="s">
        <v>836</v>
      </c>
      <c r="B90" t="s">
        <v>573</v>
      </c>
      <c r="C90" t="s">
        <v>549</v>
      </c>
      <c r="D90">
        <v>1</v>
      </c>
    </row>
    <row r="91" spans="1:4" x14ac:dyDescent="0.45">
      <c r="A91" t="s">
        <v>734</v>
      </c>
      <c r="B91" t="s">
        <v>574</v>
      </c>
      <c r="C91" t="s">
        <v>550</v>
      </c>
      <c r="D91">
        <v>1</v>
      </c>
    </row>
    <row r="92" spans="1:4" x14ac:dyDescent="0.45">
      <c r="A92" t="s">
        <v>534</v>
      </c>
      <c r="B92" t="s">
        <v>575</v>
      </c>
      <c r="C92" t="s">
        <v>541</v>
      </c>
      <c r="D92">
        <v>1</v>
      </c>
    </row>
    <row r="93" spans="1:4" x14ac:dyDescent="0.45">
      <c r="A93" t="s">
        <v>837</v>
      </c>
      <c r="B93" t="s">
        <v>576</v>
      </c>
      <c r="C93" t="s">
        <v>546</v>
      </c>
      <c r="D93">
        <v>1</v>
      </c>
    </row>
    <row r="94" spans="1:4" x14ac:dyDescent="0.45">
      <c r="A94" t="s">
        <v>539</v>
      </c>
      <c r="B94" t="s">
        <v>577</v>
      </c>
      <c r="C94" t="s">
        <v>545</v>
      </c>
      <c r="D94">
        <v>1</v>
      </c>
    </row>
    <row r="95" spans="1:4" x14ac:dyDescent="0.45">
      <c r="A95" t="s">
        <v>747</v>
      </c>
      <c r="B95" t="s">
        <v>578</v>
      </c>
      <c r="C95" t="s">
        <v>542</v>
      </c>
      <c r="D95">
        <v>1</v>
      </c>
    </row>
    <row r="96" spans="1:4" x14ac:dyDescent="0.45">
      <c r="A96" t="s">
        <v>537</v>
      </c>
      <c r="B96" t="s">
        <v>579</v>
      </c>
      <c r="C96" t="s">
        <v>543</v>
      </c>
      <c r="D96">
        <v>1</v>
      </c>
    </row>
    <row r="97" spans="1:4" x14ac:dyDescent="0.45">
      <c r="A97" t="s">
        <v>71</v>
      </c>
      <c r="B97" t="s">
        <v>107</v>
      </c>
      <c r="C97" t="s">
        <v>547</v>
      </c>
      <c r="D97">
        <v>1</v>
      </c>
    </row>
    <row r="98" spans="1:4" x14ac:dyDescent="0.45">
      <c r="A98" t="s">
        <v>838</v>
      </c>
      <c r="B98" t="s">
        <v>580</v>
      </c>
      <c r="C98" t="s">
        <v>544</v>
      </c>
      <c r="D98">
        <v>1</v>
      </c>
    </row>
    <row r="99" spans="1:4" x14ac:dyDescent="0.45">
      <c r="A99" t="s">
        <v>1037</v>
      </c>
      <c r="B99" t="s">
        <v>581</v>
      </c>
      <c r="C99" t="s">
        <v>553</v>
      </c>
      <c r="D99">
        <v>1</v>
      </c>
    </row>
    <row r="100" spans="1:4" x14ac:dyDescent="0.45">
      <c r="A100" t="s">
        <v>1038</v>
      </c>
      <c r="B100" t="s">
        <v>582</v>
      </c>
      <c r="C100" t="s">
        <v>552</v>
      </c>
      <c r="D100">
        <v>1</v>
      </c>
    </row>
    <row r="101" spans="1:4" x14ac:dyDescent="0.45">
      <c r="A101" t="s">
        <v>538</v>
      </c>
      <c r="B101" t="s">
        <v>583</v>
      </c>
      <c r="C101" t="s">
        <v>555</v>
      </c>
      <c r="D101">
        <v>1</v>
      </c>
    </row>
    <row r="102" spans="1:4" x14ac:dyDescent="0.45">
      <c r="A102" t="s">
        <v>540</v>
      </c>
      <c r="B102" t="s">
        <v>584</v>
      </c>
      <c r="C102" t="s">
        <v>556</v>
      </c>
      <c r="D102">
        <v>1</v>
      </c>
    </row>
    <row r="103" spans="1:4" x14ac:dyDescent="0.45">
      <c r="A103" t="s">
        <v>839</v>
      </c>
      <c r="B103" t="s">
        <v>585</v>
      </c>
      <c r="C103" t="s">
        <v>560</v>
      </c>
      <c r="D103">
        <v>1</v>
      </c>
    </row>
    <row r="104" spans="1:4" x14ac:dyDescent="0.45">
      <c r="A104" t="s">
        <v>554</v>
      </c>
      <c r="B104" t="s">
        <v>586</v>
      </c>
      <c r="C104" t="s">
        <v>557</v>
      </c>
      <c r="D104">
        <v>1</v>
      </c>
    </row>
    <row r="105" spans="1:4" x14ac:dyDescent="0.45">
      <c r="A105" t="s">
        <v>548</v>
      </c>
      <c r="B105" t="s">
        <v>587</v>
      </c>
      <c r="C105" t="s">
        <v>558</v>
      </c>
      <c r="D105">
        <v>1</v>
      </c>
    </row>
    <row r="106" spans="1:4" x14ac:dyDescent="0.45">
      <c r="A106" t="s">
        <v>840</v>
      </c>
      <c r="B106" t="s">
        <v>588</v>
      </c>
      <c r="C106" t="s">
        <v>559</v>
      </c>
      <c r="D106">
        <v>1</v>
      </c>
    </row>
    <row r="107" spans="1:4" x14ac:dyDescent="0.45">
      <c r="A107" t="s">
        <v>95</v>
      </c>
      <c r="B107" t="s">
        <v>589</v>
      </c>
      <c r="C107" t="s">
        <v>563</v>
      </c>
      <c r="D107">
        <v>1</v>
      </c>
    </row>
    <row r="108" spans="1:4" x14ac:dyDescent="0.45">
      <c r="A108" t="s">
        <v>1039</v>
      </c>
      <c r="B108" t="s">
        <v>590</v>
      </c>
      <c r="C108" t="s">
        <v>561</v>
      </c>
      <c r="D108">
        <v>1</v>
      </c>
    </row>
    <row r="109" spans="1:4" x14ac:dyDescent="0.45">
      <c r="A109" t="s">
        <v>841</v>
      </c>
      <c r="B109" t="s">
        <v>591</v>
      </c>
      <c r="C109" t="s">
        <v>565</v>
      </c>
      <c r="D109">
        <v>1</v>
      </c>
    </row>
    <row r="110" spans="1:4" x14ac:dyDescent="0.45">
      <c r="A110" t="s">
        <v>1040</v>
      </c>
      <c r="B110" t="s">
        <v>592</v>
      </c>
      <c r="C110" t="s">
        <v>564</v>
      </c>
      <c r="D110">
        <v>1</v>
      </c>
    </row>
    <row r="111" spans="1:4" x14ac:dyDescent="0.45">
      <c r="A111" t="s">
        <v>842</v>
      </c>
      <c r="B111" t="s">
        <v>593</v>
      </c>
      <c r="C111" t="s">
        <v>567</v>
      </c>
      <c r="D111">
        <v>1</v>
      </c>
    </row>
    <row r="112" spans="1:4" x14ac:dyDescent="0.45">
      <c r="A112" t="s">
        <v>843</v>
      </c>
      <c r="B112" t="s">
        <v>594</v>
      </c>
      <c r="C112" t="s">
        <v>566</v>
      </c>
      <c r="D112">
        <v>1</v>
      </c>
    </row>
    <row r="113" spans="1:4" x14ac:dyDescent="0.45">
      <c r="A113" t="s">
        <v>549</v>
      </c>
      <c r="B113" t="s">
        <v>595</v>
      </c>
      <c r="C113" t="s">
        <v>562</v>
      </c>
      <c r="D113">
        <v>1</v>
      </c>
    </row>
    <row r="114" spans="1:4" x14ac:dyDescent="0.45">
      <c r="A114" t="s">
        <v>750</v>
      </c>
      <c r="B114" t="s">
        <v>596</v>
      </c>
      <c r="C114" t="s">
        <v>568</v>
      </c>
      <c r="D114">
        <v>1</v>
      </c>
    </row>
    <row r="115" spans="1:4" x14ac:dyDescent="0.45">
      <c r="A115" t="s">
        <v>551</v>
      </c>
      <c r="B115" t="s">
        <v>597</v>
      </c>
      <c r="C115" t="s">
        <v>570</v>
      </c>
      <c r="D115">
        <v>1</v>
      </c>
    </row>
    <row r="116" spans="1:4" x14ac:dyDescent="0.45">
      <c r="A116" t="s">
        <v>550</v>
      </c>
      <c r="B116" t="s">
        <v>598</v>
      </c>
      <c r="C116" t="s">
        <v>578</v>
      </c>
      <c r="D116">
        <v>1</v>
      </c>
    </row>
    <row r="117" spans="1:4" x14ac:dyDescent="0.45">
      <c r="A117" t="s">
        <v>748</v>
      </c>
      <c r="B117" t="s">
        <v>599</v>
      </c>
      <c r="C117" t="s">
        <v>576</v>
      </c>
      <c r="D117">
        <v>1</v>
      </c>
    </row>
    <row r="118" spans="1:4" x14ac:dyDescent="0.45">
      <c r="A118" t="s">
        <v>541</v>
      </c>
      <c r="B118" t="s">
        <v>600</v>
      </c>
      <c r="C118" t="s">
        <v>574</v>
      </c>
      <c r="D118">
        <v>1</v>
      </c>
    </row>
    <row r="119" spans="1:4" x14ac:dyDescent="0.45">
      <c r="A119" t="s">
        <v>1041</v>
      </c>
      <c r="B119" t="s">
        <v>601</v>
      </c>
      <c r="C119" t="s">
        <v>758</v>
      </c>
      <c r="D119">
        <v>1</v>
      </c>
    </row>
    <row r="120" spans="1:4" x14ac:dyDescent="0.45">
      <c r="A120" t="s">
        <v>546</v>
      </c>
      <c r="B120" t="s">
        <v>602</v>
      </c>
      <c r="C120" t="s">
        <v>571</v>
      </c>
      <c r="D120">
        <v>1</v>
      </c>
    </row>
    <row r="121" spans="1:4" x14ac:dyDescent="0.45">
      <c r="A121" t="s">
        <v>1042</v>
      </c>
      <c r="B121" t="s">
        <v>603</v>
      </c>
      <c r="C121" t="s">
        <v>577</v>
      </c>
      <c r="D121">
        <v>1</v>
      </c>
    </row>
    <row r="122" spans="1:4" x14ac:dyDescent="0.45">
      <c r="A122" t="s">
        <v>844</v>
      </c>
      <c r="B122" t="s">
        <v>604</v>
      </c>
      <c r="C122" t="s">
        <v>575</v>
      </c>
      <c r="D122">
        <v>1</v>
      </c>
    </row>
    <row r="123" spans="1:4" x14ac:dyDescent="0.45">
      <c r="A123" t="s">
        <v>1043</v>
      </c>
      <c r="B123" t="s">
        <v>605</v>
      </c>
      <c r="C123" t="s">
        <v>575</v>
      </c>
      <c r="D123">
        <v>1</v>
      </c>
    </row>
    <row r="124" spans="1:4" x14ac:dyDescent="0.45">
      <c r="A124" t="s">
        <v>545</v>
      </c>
      <c r="B124" t="s">
        <v>606</v>
      </c>
      <c r="C124" t="s">
        <v>579</v>
      </c>
      <c r="D124">
        <v>1</v>
      </c>
    </row>
    <row r="125" spans="1:4" x14ac:dyDescent="0.45">
      <c r="A125" t="s">
        <v>542</v>
      </c>
      <c r="B125" t="s">
        <v>607</v>
      </c>
      <c r="C125" t="s">
        <v>580</v>
      </c>
      <c r="D125">
        <v>1</v>
      </c>
    </row>
    <row r="126" spans="1:4" x14ac:dyDescent="0.45">
      <c r="A126" t="s">
        <v>543</v>
      </c>
      <c r="B126" t="s">
        <v>608</v>
      </c>
      <c r="C126" t="s">
        <v>581</v>
      </c>
      <c r="D126">
        <v>1</v>
      </c>
    </row>
    <row r="127" spans="1:4" x14ac:dyDescent="0.45">
      <c r="A127" t="s">
        <v>547</v>
      </c>
      <c r="B127" t="s">
        <v>609</v>
      </c>
      <c r="C127" t="s">
        <v>582</v>
      </c>
      <c r="D127">
        <v>1</v>
      </c>
    </row>
    <row r="128" spans="1:4" x14ac:dyDescent="0.45">
      <c r="A128" t="s">
        <v>544</v>
      </c>
      <c r="B128" t="s">
        <v>610</v>
      </c>
      <c r="C128" t="s">
        <v>583</v>
      </c>
      <c r="D128">
        <v>1</v>
      </c>
    </row>
    <row r="129" spans="1:4" x14ac:dyDescent="0.45">
      <c r="A129" t="s">
        <v>845</v>
      </c>
      <c r="B129" t="s">
        <v>611</v>
      </c>
      <c r="C129" t="s">
        <v>584</v>
      </c>
      <c r="D129">
        <v>1</v>
      </c>
    </row>
    <row r="130" spans="1:4" x14ac:dyDescent="0.45">
      <c r="A130" t="s">
        <v>553</v>
      </c>
      <c r="B130" t="s">
        <v>612</v>
      </c>
      <c r="C130" t="s">
        <v>587</v>
      </c>
      <c r="D130">
        <v>1</v>
      </c>
    </row>
    <row r="131" spans="1:4" x14ac:dyDescent="0.45">
      <c r="A131" t="s">
        <v>846</v>
      </c>
      <c r="B131" t="s">
        <v>613</v>
      </c>
      <c r="C131" t="s">
        <v>589</v>
      </c>
      <c r="D131">
        <v>1</v>
      </c>
    </row>
    <row r="132" spans="1:4" x14ac:dyDescent="0.45">
      <c r="A132" t="s">
        <v>847</v>
      </c>
      <c r="B132" t="s">
        <v>614</v>
      </c>
      <c r="C132" t="s">
        <v>592</v>
      </c>
      <c r="D132">
        <v>1</v>
      </c>
    </row>
    <row r="133" spans="1:4" x14ac:dyDescent="0.45">
      <c r="A133" t="s">
        <v>749</v>
      </c>
      <c r="B133" t="s">
        <v>615</v>
      </c>
      <c r="C133" t="s">
        <v>585</v>
      </c>
      <c r="D133">
        <v>1</v>
      </c>
    </row>
    <row r="134" spans="1:4" x14ac:dyDescent="0.45">
      <c r="A134" t="s">
        <v>848</v>
      </c>
      <c r="B134" t="s">
        <v>616</v>
      </c>
      <c r="C134" t="s">
        <v>586</v>
      </c>
      <c r="D134">
        <v>1</v>
      </c>
    </row>
    <row r="135" spans="1:4" x14ac:dyDescent="0.45">
      <c r="A135" t="s">
        <v>1044</v>
      </c>
      <c r="B135" t="s">
        <v>617</v>
      </c>
      <c r="C135" t="s">
        <v>588</v>
      </c>
      <c r="D135">
        <v>1</v>
      </c>
    </row>
    <row r="136" spans="1:4" x14ac:dyDescent="0.45">
      <c r="A136" t="s">
        <v>552</v>
      </c>
      <c r="B136" t="s">
        <v>618</v>
      </c>
      <c r="C136" t="s">
        <v>590</v>
      </c>
      <c r="D136">
        <v>1</v>
      </c>
    </row>
    <row r="137" spans="1:4" x14ac:dyDescent="0.45">
      <c r="A137" t="s">
        <v>1045</v>
      </c>
      <c r="B137" t="s">
        <v>619</v>
      </c>
      <c r="C137" t="s">
        <v>591</v>
      </c>
      <c r="D137">
        <v>1</v>
      </c>
    </row>
    <row r="138" spans="1:4" x14ac:dyDescent="0.45">
      <c r="A138" t="s">
        <v>849</v>
      </c>
      <c r="B138" t="s">
        <v>620</v>
      </c>
      <c r="C138" t="s">
        <v>593</v>
      </c>
      <c r="D138">
        <v>1</v>
      </c>
    </row>
    <row r="139" spans="1:4" x14ac:dyDescent="0.45">
      <c r="A139" t="s">
        <v>850</v>
      </c>
      <c r="B139" t="s">
        <v>621</v>
      </c>
      <c r="C139" t="s">
        <v>598</v>
      </c>
      <c r="D139">
        <v>1</v>
      </c>
    </row>
    <row r="140" spans="1:4" x14ac:dyDescent="0.45">
      <c r="A140" t="s">
        <v>851</v>
      </c>
      <c r="B140" t="s">
        <v>622</v>
      </c>
      <c r="C140" t="s">
        <v>762</v>
      </c>
      <c r="D140">
        <v>1</v>
      </c>
    </row>
    <row r="141" spans="1:4" x14ac:dyDescent="0.45">
      <c r="A141" t="s">
        <v>753</v>
      </c>
      <c r="B141" t="s">
        <v>623</v>
      </c>
      <c r="C141" t="s">
        <v>600</v>
      </c>
      <c r="D141">
        <v>1</v>
      </c>
    </row>
    <row r="142" spans="1:4" x14ac:dyDescent="0.45">
      <c r="A142" t="s">
        <v>751</v>
      </c>
      <c r="B142" t="s">
        <v>624</v>
      </c>
      <c r="C142" t="s">
        <v>594</v>
      </c>
      <c r="D142">
        <v>1</v>
      </c>
    </row>
    <row r="143" spans="1:4" x14ac:dyDescent="0.45">
      <c r="A143" t="s">
        <v>852</v>
      </c>
      <c r="B143" t="s">
        <v>625</v>
      </c>
      <c r="C143" t="s">
        <v>595</v>
      </c>
      <c r="D143">
        <v>1</v>
      </c>
    </row>
    <row r="144" spans="1:4" x14ac:dyDescent="0.45">
      <c r="A144" t="s">
        <v>1046</v>
      </c>
      <c r="B144" t="s">
        <v>626</v>
      </c>
      <c r="C144" t="s">
        <v>597</v>
      </c>
      <c r="D144">
        <v>1</v>
      </c>
    </row>
    <row r="145" spans="1:4" x14ac:dyDescent="0.45">
      <c r="A145" t="s">
        <v>853</v>
      </c>
      <c r="B145" t="s">
        <v>627</v>
      </c>
      <c r="C145" t="s">
        <v>596</v>
      </c>
      <c r="D145">
        <v>1</v>
      </c>
    </row>
    <row r="146" spans="1:4" x14ac:dyDescent="0.45">
      <c r="A146" t="s">
        <v>752</v>
      </c>
      <c r="B146" t="s">
        <v>628</v>
      </c>
      <c r="C146" t="s">
        <v>601</v>
      </c>
      <c r="D146">
        <v>1</v>
      </c>
    </row>
    <row r="147" spans="1:4" x14ac:dyDescent="0.45">
      <c r="A147" t="s">
        <v>854</v>
      </c>
      <c r="B147" t="s">
        <v>629</v>
      </c>
      <c r="C147" t="s">
        <v>612</v>
      </c>
      <c r="D147">
        <v>1</v>
      </c>
    </row>
    <row r="148" spans="1:4" x14ac:dyDescent="0.45">
      <c r="A148" t="s">
        <v>1047</v>
      </c>
      <c r="B148" t="s">
        <v>630</v>
      </c>
      <c r="C148" t="s">
        <v>607</v>
      </c>
      <c r="D148">
        <v>1</v>
      </c>
    </row>
    <row r="149" spans="1:4" x14ac:dyDescent="0.45">
      <c r="A149" t="s">
        <v>754</v>
      </c>
      <c r="B149" t="s">
        <v>631</v>
      </c>
      <c r="C149" t="s">
        <v>615</v>
      </c>
      <c r="D149">
        <v>1</v>
      </c>
    </row>
    <row r="150" spans="1:4" x14ac:dyDescent="0.45">
      <c r="A150" t="s">
        <v>1048</v>
      </c>
      <c r="B150" t="s">
        <v>632</v>
      </c>
      <c r="C150" t="s">
        <v>611</v>
      </c>
      <c r="D150">
        <v>1</v>
      </c>
    </row>
    <row r="151" spans="1:4" x14ac:dyDescent="0.45">
      <c r="A151" t="s">
        <v>1049</v>
      </c>
      <c r="B151" t="s">
        <v>633</v>
      </c>
      <c r="C151" t="s">
        <v>608</v>
      </c>
      <c r="D151">
        <v>1</v>
      </c>
    </row>
    <row r="152" spans="1:4" x14ac:dyDescent="0.45">
      <c r="A152" t="s">
        <v>556</v>
      </c>
      <c r="B152" t="s">
        <v>634</v>
      </c>
      <c r="C152" t="s">
        <v>613</v>
      </c>
      <c r="D152">
        <v>1</v>
      </c>
    </row>
    <row r="153" spans="1:4" x14ac:dyDescent="0.45">
      <c r="A153" t="s">
        <v>560</v>
      </c>
      <c r="B153" t="s">
        <v>635</v>
      </c>
      <c r="C153" t="s">
        <v>616</v>
      </c>
      <c r="D153">
        <v>1</v>
      </c>
    </row>
    <row r="154" spans="1:4" x14ac:dyDescent="0.45">
      <c r="A154" t="s">
        <v>555</v>
      </c>
      <c r="B154" t="s">
        <v>636</v>
      </c>
      <c r="C154" t="s">
        <v>614</v>
      </c>
      <c r="D154">
        <v>1</v>
      </c>
    </row>
    <row r="155" spans="1:4" x14ac:dyDescent="0.45">
      <c r="A155" t="s">
        <v>557</v>
      </c>
      <c r="B155" t="s">
        <v>637</v>
      </c>
      <c r="C155" t="s">
        <v>604</v>
      </c>
      <c r="D155">
        <v>1</v>
      </c>
    </row>
    <row r="156" spans="1:4" x14ac:dyDescent="0.45">
      <c r="A156" t="s">
        <v>559</v>
      </c>
      <c r="B156" t="s">
        <v>638</v>
      </c>
      <c r="C156" t="s">
        <v>609</v>
      </c>
      <c r="D156">
        <v>1</v>
      </c>
    </row>
    <row r="157" spans="1:4" x14ac:dyDescent="0.45">
      <c r="A157" t="s">
        <v>148</v>
      </c>
      <c r="B157" t="s">
        <v>639</v>
      </c>
      <c r="C157" t="s">
        <v>605</v>
      </c>
      <c r="D157">
        <v>1</v>
      </c>
    </row>
    <row r="158" spans="1:4" x14ac:dyDescent="0.45">
      <c r="A158" t="s">
        <v>563</v>
      </c>
      <c r="B158" t="s">
        <v>640</v>
      </c>
      <c r="C158" t="s">
        <v>603</v>
      </c>
      <c r="D158">
        <v>1</v>
      </c>
    </row>
    <row r="159" spans="1:4" x14ac:dyDescent="0.45">
      <c r="A159" t="s">
        <v>756</v>
      </c>
      <c r="B159" t="s">
        <v>641</v>
      </c>
      <c r="C159" t="s">
        <v>602</v>
      </c>
      <c r="D159">
        <v>1</v>
      </c>
    </row>
    <row r="160" spans="1:4" x14ac:dyDescent="0.45">
      <c r="A160" t="s">
        <v>757</v>
      </c>
      <c r="B160" t="s">
        <v>642</v>
      </c>
      <c r="C160" t="s">
        <v>617</v>
      </c>
      <c r="D160">
        <v>1</v>
      </c>
    </row>
    <row r="161" spans="1:4" x14ac:dyDescent="0.45">
      <c r="A161" t="s">
        <v>1050</v>
      </c>
      <c r="B161" t="s">
        <v>643</v>
      </c>
      <c r="C161" t="s">
        <v>618</v>
      </c>
      <c r="D161">
        <v>1</v>
      </c>
    </row>
    <row r="162" spans="1:4" x14ac:dyDescent="0.45">
      <c r="A162" t="s">
        <v>855</v>
      </c>
      <c r="B162" t="s">
        <v>15</v>
      </c>
      <c r="C162" t="s">
        <v>619</v>
      </c>
      <c r="D162">
        <v>1</v>
      </c>
    </row>
    <row r="163" spans="1:4" x14ac:dyDescent="0.45">
      <c r="A163" t="s">
        <v>561</v>
      </c>
      <c r="C163" t="s">
        <v>621</v>
      </c>
      <c r="D163">
        <v>1</v>
      </c>
    </row>
    <row r="164" spans="1:4" x14ac:dyDescent="0.45">
      <c r="A164" t="s">
        <v>856</v>
      </c>
      <c r="C164" t="s">
        <v>620</v>
      </c>
      <c r="D164">
        <v>1</v>
      </c>
    </row>
    <row r="165" spans="1:4" x14ac:dyDescent="0.45">
      <c r="A165" t="s">
        <v>564</v>
      </c>
      <c r="C165" t="s">
        <v>625</v>
      </c>
      <c r="D165">
        <v>1</v>
      </c>
    </row>
    <row r="166" spans="1:4" x14ac:dyDescent="0.45">
      <c r="A166" t="s">
        <v>755</v>
      </c>
      <c r="C166" t="s">
        <v>622</v>
      </c>
      <c r="D166">
        <v>1</v>
      </c>
    </row>
    <row r="167" spans="1:4" x14ac:dyDescent="0.45">
      <c r="A167" t="s">
        <v>702</v>
      </c>
      <c r="C167" t="s">
        <v>626</v>
      </c>
      <c r="D167">
        <v>1</v>
      </c>
    </row>
    <row r="168" spans="1:4" x14ac:dyDescent="0.45">
      <c r="A168" t="s">
        <v>567</v>
      </c>
      <c r="C168" t="s">
        <v>624</v>
      </c>
      <c r="D168">
        <v>1</v>
      </c>
    </row>
    <row r="169" spans="1:4" x14ac:dyDescent="0.45">
      <c r="A169" t="s">
        <v>566</v>
      </c>
      <c r="C169" t="s">
        <v>627</v>
      </c>
      <c r="D169">
        <v>1</v>
      </c>
    </row>
    <row r="170" spans="1:4" x14ac:dyDescent="0.45">
      <c r="A170" t="s">
        <v>562</v>
      </c>
      <c r="C170" t="s">
        <v>623</v>
      </c>
      <c r="D170">
        <v>1</v>
      </c>
    </row>
    <row r="171" spans="1:4" x14ac:dyDescent="0.45">
      <c r="A171" t="s">
        <v>568</v>
      </c>
      <c r="C171" t="s">
        <v>628</v>
      </c>
      <c r="D171">
        <v>1</v>
      </c>
    </row>
    <row r="172" spans="1:4" x14ac:dyDescent="0.45">
      <c r="A172" t="s">
        <v>1051</v>
      </c>
      <c r="C172" t="s">
        <v>629</v>
      </c>
      <c r="D172">
        <v>1</v>
      </c>
    </row>
    <row r="173" spans="1:4" x14ac:dyDescent="0.45">
      <c r="A173" t="s">
        <v>570</v>
      </c>
      <c r="C173" t="s">
        <v>637</v>
      </c>
      <c r="D173">
        <v>1</v>
      </c>
    </row>
    <row r="174" spans="1:4" x14ac:dyDescent="0.45">
      <c r="A174" t="s">
        <v>578</v>
      </c>
      <c r="C174" t="s">
        <v>640</v>
      </c>
      <c r="D174">
        <v>1</v>
      </c>
    </row>
    <row r="175" spans="1:4" x14ac:dyDescent="0.45">
      <c r="A175" t="s">
        <v>576</v>
      </c>
      <c r="C175" t="s">
        <v>630</v>
      </c>
      <c r="D175">
        <v>1</v>
      </c>
    </row>
    <row r="176" spans="1:4" x14ac:dyDescent="0.45">
      <c r="A176" t="s">
        <v>574</v>
      </c>
      <c r="C176" t="s">
        <v>636</v>
      </c>
      <c r="D176">
        <v>1</v>
      </c>
    </row>
    <row r="177" spans="1:4" x14ac:dyDescent="0.45">
      <c r="A177" t="s">
        <v>758</v>
      </c>
      <c r="C177" t="s">
        <v>635</v>
      </c>
      <c r="D177">
        <v>1</v>
      </c>
    </row>
    <row r="178" spans="1:4" x14ac:dyDescent="0.45">
      <c r="A178" t="s">
        <v>1052</v>
      </c>
      <c r="C178" t="s">
        <v>638</v>
      </c>
      <c r="D178">
        <v>1</v>
      </c>
    </row>
    <row r="179" spans="1:4" x14ac:dyDescent="0.45">
      <c r="A179" t="s">
        <v>759</v>
      </c>
      <c r="C179" t="s">
        <v>639</v>
      </c>
      <c r="D179">
        <v>1</v>
      </c>
    </row>
    <row r="180" spans="1:4" x14ac:dyDescent="0.45">
      <c r="A180" t="s">
        <v>857</v>
      </c>
      <c r="C180" t="s">
        <v>634</v>
      </c>
      <c r="D180">
        <v>1</v>
      </c>
    </row>
    <row r="181" spans="1:4" x14ac:dyDescent="0.45">
      <c r="A181" t="s">
        <v>571</v>
      </c>
      <c r="C181" t="s">
        <v>770</v>
      </c>
      <c r="D181">
        <v>1</v>
      </c>
    </row>
    <row r="182" spans="1:4" x14ac:dyDescent="0.45">
      <c r="A182" t="s">
        <v>577</v>
      </c>
      <c r="C182" t="s">
        <v>767</v>
      </c>
      <c r="D182">
        <v>1</v>
      </c>
    </row>
    <row r="183" spans="1:4" x14ac:dyDescent="0.45">
      <c r="A183" t="s">
        <v>575</v>
      </c>
      <c r="C183" t="s">
        <v>768</v>
      </c>
      <c r="D183">
        <v>1</v>
      </c>
    </row>
    <row r="184" spans="1:4" x14ac:dyDescent="0.45">
      <c r="A184" t="s">
        <v>858</v>
      </c>
      <c r="C184" t="s">
        <v>642</v>
      </c>
      <c r="D184">
        <v>1</v>
      </c>
    </row>
    <row r="185" spans="1:4" x14ac:dyDescent="0.45">
      <c r="A185" t="s">
        <v>579</v>
      </c>
      <c r="C185" t="s">
        <v>641</v>
      </c>
      <c r="D185">
        <v>1</v>
      </c>
    </row>
    <row r="186" spans="1:4" x14ac:dyDescent="0.45">
      <c r="A186" t="s">
        <v>760</v>
      </c>
      <c r="C186" t="s">
        <v>643</v>
      </c>
      <c r="D186">
        <v>1</v>
      </c>
    </row>
    <row r="187" spans="1:4" x14ac:dyDescent="0.45">
      <c r="A187" t="s">
        <v>859</v>
      </c>
      <c r="C187" t="s">
        <v>524</v>
      </c>
      <c r="D187">
        <v>2</v>
      </c>
    </row>
    <row r="188" spans="1:4" x14ac:dyDescent="0.45">
      <c r="A188" t="s">
        <v>1053</v>
      </c>
    </row>
    <row r="189" spans="1:4" x14ac:dyDescent="0.45">
      <c r="A189" t="s">
        <v>720</v>
      </c>
    </row>
    <row r="190" spans="1:4" x14ac:dyDescent="0.45">
      <c r="A190" t="s">
        <v>860</v>
      </c>
    </row>
    <row r="191" spans="1:4" x14ac:dyDescent="0.45">
      <c r="A191" t="s">
        <v>580</v>
      </c>
    </row>
    <row r="192" spans="1:4" x14ac:dyDescent="0.45">
      <c r="A192" t="s">
        <v>581</v>
      </c>
    </row>
    <row r="193" spans="1:1" x14ac:dyDescent="0.45">
      <c r="A193" t="s">
        <v>582</v>
      </c>
    </row>
    <row r="194" spans="1:1" x14ac:dyDescent="0.45">
      <c r="A194" t="s">
        <v>15</v>
      </c>
    </row>
    <row r="195" spans="1:1" x14ac:dyDescent="0.45">
      <c r="A195" t="s">
        <v>583</v>
      </c>
    </row>
    <row r="196" spans="1:1" x14ac:dyDescent="0.45">
      <c r="A196" t="s">
        <v>584</v>
      </c>
    </row>
    <row r="197" spans="1:1" x14ac:dyDescent="0.45">
      <c r="A197" t="s">
        <v>1054</v>
      </c>
    </row>
    <row r="198" spans="1:1" x14ac:dyDescent="0.45">
      <c r="A198" t="s">
        <v>587</v>
      </c>
    </row>
    <row r="199" spans="1:1" x14ac:dyDescent="0.45">
      <c r="A199" t="s">
        <v>861</v>
      </c>
    </row>
    <row r="200" spans="1:1" x14ac:dyDescent="0.45">
      <c r="A200" t="s">
        <v>1055</v>
      </c>
    </row>
    <row r="201" spans="1:1" x14ac:dyDescent="0.45">
      <c r="A201" t="s">
        <v>863</v>
      </c>
    </row>
    <row r="202" spans="1:1" x14ac:dyDescent="0.45">
      <c r="A202" t="s">
        <v>862</v>
      </c>
    </row>
    <row r="203" spans="1:1" x14ac:dyDescent="0.45">
      <c r="A203" t="s">
        <v>864</v>
      </c>
    </row>
    <row r="204" spans="1:1" x14ac:dyDescent="0.45">
      <c r="A204" t="s">
        <v>761</v>
      </c>
    </row>
    <row r="205" spans="1:1" x14ac:dyDescent="0.45">
      <c r="A205" t="s">
        <v>1056</v>
      </c>
    </row>
    <row r="206" spans="1:1" x14ac:dyDescent="0.45">
      <c r="A206" t="s">
        <v>865</v>
      </c>
    </row>
    <row r="207" spans="1:1" x14ac:dyDescent="0.45">
      <c r="A207" t="s">
        <v>1057</v>
      </c>
    </row>
    <row r="208" spans="1:1" x14ac:dyDescent="0.45">
      <c r="A208" t="s">
        <v>588</v>
      </c>
    </row>
    <row r="209" spans="1:1" x14ac:dyDescent="0.45">
      <c r="A209" t="s">
        <v>590</v>
      </c>
    </row>
    <row r="210" spans="1:1" x14ac:dyDescent="0.45">
      <c r="A210" t="s">
        <v>866</v>
      </c>
    </row>
    <row r="211" spans="1:1" x14ac:dyDescent="0.45">
      <c r="A211" t="s">
        <v>867</v>
      </c>
    </row>
    <row r="212" spans="1:1" x14ac:dyDescent="0.45">
      <c r="A212" t="s">
        <v>735</v>
      </c>
    </row>
    <row r="213" spans="1:1" x14ac:dyDescent="0.45">
      <c r="A213" t="s">
        <v>1058</v>
      </c>
    </row>
    <row r="214" spans="1:1" x14ac:dyDescent="0.45">
      <c r="A214" t="s">
        <v>591</v>
      </c>
    </row>
    <row r="215" spans="1:1" x14ac:dyDescent="0.45">
      <c r="A215" t="s">
        <v>147</v>
      </c>
    </row>
    <row r="216" spans="1:1" x14ac:dyDescent="0.45">
      <c r="A216" t="s">
        <v>1059</v>
      </c>
    </row>
    <row r="217" spans="1:1" x14ac:dyDescent="0.45">
      <c r="A217" t="s">
        <v>868</v>
      </c>
    </row>
    <row r="218" spans="1:1" x14ac:dyDescent="0.45">
      <c r="A218" t="s">
        <v>869</v>
      </c>
    </row>
    <row r="219" spans="1:1" x14ac:dyDescent="0.45">
      <c r="A219" t="s">
        <v>870</v>
      </c>
    </row>
    <row r="220" spans="1:1" x14ac:dyDescent="0.45">
      <c r="A220" t="s">
        <v>871</v>
      </c>
    </row>
    <row r="221" spans="1:1" x14ac:dyDescent="0.45">
      <c r="A221" t="s">
        <v>593</v>
      </c>
    </row>
    <row r="222" spans="1:1" x14ac:dyDescent="0.45">
      <c r="A222" t="s">
        <v>598</v>
      </c>
    </row>
    <row r="223" spans="1:1" x14ac:dyDescent="0.45">
      <c r="A223" t="s">
        <v>762</v>
      </c>
    </row>
    <row r="224" spans="1:1" x14ac:dyDescent="0.45">
      <c r="A224" t="s">
        <v>37</v>
      </c>
    </row>
    <row r="225" spans="1:1" x14ac:dyDescent="0.45">
      <c r="A225" t="s">
        <v>600</v>
      </c>
    </row>
    <row r="226" spans="1:1" x14ac:dyDescent="0.45">
      <c r="A226" t="s">
        <v>1060</v>
      </c>
    </row>
    <row r="227" spans="1:1" x14ac:dyDescent="0.45">
      <c r="A227" t="s">
        <v>28</v>
      </c>
    </row>
    <row r="228" spans="1:1" x14ac:dyDescent="0.45">
      <c r="A228" t="s">
        <v>594</v>
      </c>
    </row>
    <row r="229" spans="1:1" x14ac:dyDescent="0.45">
      <c r="A229" t="s">
        <v>595</v>
      </c>
    </row>
    <row r="230" spans="1:1" x14ac:dyDescent="0.45">
      <c r="A230" t="s">
        <v>738</v>
      </c>
    </row>
    <row r="231" spans="1:1" x14ac:dyDescent="0.45">
      <c r="A231" t="s">
        <v>597</v>
      </c>
    </row>
    <row r="232" spans="1:1" x14ac:dyDescent="0.45">
      <c r="A232" t="s">
        <v>872</v>
      </c>
    </row>
    <row r="233" spans="1:1" x14ac:dyDescent="0.45">
      <c r="A233" t="s">
        <v>596</v>
      </c>
    </row>
    <row r="234" spans="1:1" x14ac:dyDescent="0.45">
      <c r="A234" t="s">
        <v>601</v>
      </c>
    </row>
    <row r="235" spans="1:1" x14ac:dyDescent="0.45">
      <c r="A235" t="s">
        <v>765</v>
      </c>
    </row>
    <row r="236" spans="1:1" x14ac:dyDescent="0.45">
      <c r="A236" t="s">
        <v>873</v>
      </c>
    </row>
    <row r="237" spans="1:1" x14ac:dyDescent="0.45">
      <c r="A237" t="s">
        <v>874</v>
      </c>
    </row>
    <row r="238" spans="1:1" x14ac:dyDescent="0.45">
      <c r="A238" t="s">
        <v>766</v>
      </c>
    </row>
    <row r="239" spans="1:1" x14ac:dyDescent="0.45">
      <c r="A239" t="s">
        <v>1061</v>
      </c>
    </row>
    <row r="240" spans="1:1" x14ac:dyDescent="0.45">
      <c r="A240" t="s">
        <v>607</v>
      </c>
    </row>
    <row r="241" spans="1:1" x14ac:dyDescent="0.45">
      <c r="A241" t="s">
        <v>615</v>
      </c>
    </row>
    <row r="242" spans="1:1" x14ac:dyDescent="0.45">
      <c r="A242" t="s">
        <v>875</v>
      </c>
    </row>
    <row r="243" spans="1:1" x14ac:dyDescent="0.45">
      <c r="A243" t="s">
        <v>1062</v>
      </c>
    </row>
    <row r="244" spans="1:1" x14ac:dyDescent="0.45">
      <c r="A244" t="s">
        <v>611</v>
      </c>
    </row>
    <row r="245" spans="1:1" x14ac:dyDescent="0.45">
      <c r="A245" t="s">
        <v>1063</v>
      </c>
    </row>
    <row r="246" spans="1:1" x14ac:dyDescent="0.45">
      <c r="A246" t="s">
        <v>764</v>
      </c>
    </row>
    <row r="247" spans="1:1" x14ac:dyDescent="0.45">
      <c r="A247" t="s">
        <v>608</v>
      </c>
    </row>
    <row r="248" spans="1:1" x14ac:dyDescent="0.45">
      <c r="A248" t="s">
        <v>613</v>
      </c>
    </row>
    <row r="249" spans="1:1" x14ac:dyDescent="0.45">
      <c r="A249" t="s">
        <v>4968</v>
      </c>
    </row>
    <row r="250" spans="1:1" x14ac:dyDescent="0.45">
      <c r="A250" t="s">
        <v>616</v>
      </c>
    </row>
    <row r="251" spans="1:1" x14ac:dyDescent="0.45">
      <c r="A251" t="s">
        <v>614</v>
      </c>
    </row>
    <row r="252" spans="1:1" x14ac:dyDescent="0.45">
      <c r="A252" t="s">
        <v>604</v>
      </c>
    </row>
    <row r="253" spans="1:1" x14ac:dyDescent="0.45">
      <c r="A253" t="s">
        <v>876</v>
      </c>
    </row>
    <row r="254" spans="1:1" x14ac:dyDescent="0.45">
      <c r="A254" t="s">
        <v>763</v>
      </c>
    </row>
    <row r="255" spans="1:1" x14ac:dyDescent="0.45">
      <c r="A255" t="s">
        <v>1064</v>
      </c>
    </row>
    <row r="256" spans="1:1" x14ac:dyDescent="0.45">
      <c r="A256" t="s">
        <v>1065</v>
      </c>
    </row>
    <row r="257" spans="1:1" x14ac:dyDescent="0.45">
      <c r="A257" t="s">
        <v>877</v>
      </c>
    </row>
    <row r="258" spans="1:1" x14ac:dyDescent="0.45">
      <c r="A258" t="s">
        <v>878</v>
      </c>
    </row>
    <row r="259" spans="1:1" x14ac:dyDescent="0.45">
      <c r="A259" t="s">
        <v>609</v>
      </c>
    </row>
    <row r="260" spans="1:1" x14ac:dyDescent="0.45">
      <c r="A260" t="s">
        <v>1066</v>
      </c>
    </row>
    <row r="261" spans="1:1" x14ac:dyDescent="0.45">
      <c r="A261" t="s">
        <v>1067</v>
      </c>
    </row>
    <row r="262" spans="1:1" x14ac:dyDescent="0.45">
      <c r="A262" t="s">
        <v>879</v>
      </c>
    </row>
    <row r="263" spans="1:1" x14ac:dyDescent="0.45">
      <c r="A263" t="s">
        <v>605</v>
      </c>
    </row>
    <row r="264" spans="1:1" x14ac:dyDescent="0.45">
      <c r="A264" t="s">
        <v>602</v>
      </c>
    </row>
    <row r="265" spans="1:1" x14ac:dyDescent="0.45">
      <c r="A265" t="s">
        <v>880</v>
      </c>
    </row>
    <row r="266" spans="1:1" x14ac:dyDescent="0.45">
      <c r="A266" t="s">
        <v>881</v>
      </c>
    </row>
    <row r="267" spans="1:1" x14ac:dyDescent="0.45">
      <c r="A267" t="s">
        <v>882</v>
      </c>
    </row>
    <row r="268" spans="1:1" x14ac:dyDescent="0.45">
      <c r="A268" t="s">
        <v>1068</v>
      </c>
    </row>
    <row r="269" spans="1:1" x14ac:dyDescent="0.45">
      <c r="A269" t="s">
        <v>65</v>
      </c>
    </row>
    <row r="270" spans="1:1" x14ac:dyDescent="0.45">
      <c r="A270" t="s">
        <v>617</v>
      </c>
    </row>
    <row r="271" spans="1:1" x14ac:dyDescent="0.45">
      <c r="A271" t="s">
        <v>1069</v>
      </c>
    </row>
    <row r="272" spans="1:1" x14ac:dyDescent="0.45">
      <c r="A272" t="s">
        <v>883</v>
      </c>
    </row>
    <row r="273" spans="1:1" x14ac:dyDescent="0.45">
      <c r="A273" t="s">
        <v>618</v>
      </c>
    </row>
    <row r="274" spans="1:1" x14ac:dyDescent="0.45">
      <c r="A274" t="s">
        <v>619</v>
      </c>
    </row>
    <row r="275" spans="1:1" x14ac:dyDescent="0.45">
      <c r="A275" t="s">
        <v>884</v>
      </c>
    </row>
    <row r="276" spans="1:1" x14ac:dyDescent="0.45">
      <c r="A276" t="s">
        <v>885</v>
      </c>
    </row>
    <row r="277" spans="1:1" x14ac:dyDescent="0.45">
      <c r="A277" t="s">
        <v>1070</v>
      </c>
    </row>
    <row r="278" spans="1:1" x14ac:dyDescent="0.45">
      <c r="A278" t="s">
        <v>620</v>
      </c>
    </row>
    <row r="279" spans="1:1" x14ac:dyDescent="0.45">
      <c r="A279" t="s">
        <v>622</v>
      </c>
    </row>
    <row r="280" spans="1:1" x14ac:dyDescent="0.45">
      <c r="A280" t="s">
        <v>624</v>
      </c>
    </row>
    <row r="281" spans="1:1" x14ac:dyDescent="0.45">
      <c r="A281" t="s">
        <v>627</v>
      </c>
    </row>
    <row r="282" spans="1:1" x14ac:dyDescent="0.45">
      <c r="A282" t="s">
        <v>886</v>
      </c>
    </row>
    <row r="283" spans="1:1" x14ac:dyDescent="0.45">
      <c r="A283" t="s">
        <v>732</v>
      </c>
    </row>
    <row r="284" spans="1:1" x14ac:dyDescent="0.45">
      <c r="A284" t="s">
        <v>623</v>
      </c>
    </row>
    <row r="285" spans="1:1" x14ac:dyDescent="0.45">
      <c r="A285" t="s">
        <v>887</v>
      </c>
    </row>
    <row r="286" spans="1:1" x14ac:dyDescent="0.45">
      <c r="A286" t="s">
        <v>888</v>
      </c>
    </row>
    <row r="287" spans="1:1" x14ac:dyDescent="0.45">
      <c r="A287" t="s">
        <v>889</v>
      </c>
    </row>
    <row r="288" spans="1:1" x14ac:dyDescent="0.45">
      <c r="A288" t="s">
        <v>628</v>
      </c>
    </row>
    <row r="289" spans="1:1" x14ac:dyDescent="0.45">
      <c r="A289" t="s">
        <v>629</v>
      </c>
    </row>
    <row r="290" spans="1:1" x14ac:dyDescent="0.45">
      <c r="A290" t="s">
        <v>636</v>
      </c>
    </row>
    <row r="291" spans="1:1" x14ac:dyDescent="0.45">
      <c r="A291" t="s">
        <v>769</v>
      </c>
    </row>
    <row r="292" spans="1:1" x14ac:dyDescent="0.45">
      <c r="A292" t="s">
        <v>637</v>
      </c>
    </row>
    <row r="293" spans="1:1" x14ac:dyDescent="0.45">
      <c r="A293" t="s">
        <v>640</v>
      </c>
    </row>
    <row r="294" spans="1:1" x14ac:dyDescent="0.45">
      <c r="A294" t="s">
        <v>630</v>
      </c>
    </row>
    <row r="295" spans="1:1" x14ac:dyDescent="0.45">
      <c r="A295" t="s">
        <v>737</v>
      </c>
    </row>
    <row r="296" spans="1:1" x14ac:dyDescent="0.45">
      <c r="A296" t="s">
        <v>890</v>
      </c>
    </row>
    <row r="297" spans="1:1" x14ac:dyDescent="0.45">
      <c r="A297" t="s">
        <v>1071</v>
      </c>
    </row>
    <row r="298" spans="1:1" x14ac:dyDescent="0.45">
      <c r="A298" t="s">
        <v>4967</v>
      </c>
    </row>
    <row r="299" spans="1:1" x14ac:dyDescent="0.45">
      <c r="A299" t="s">
        <v>892</v>
      </c>
    </row>
    <row r="300" spans="1:1" x14ac:dyDescent="0.45">
      <c r="A300" t="s">
        <v>891</v>
      </c>
    </row>
    <row r="301" spans="1:1" x14ac:dyDescent="0.45">
      <c r="A301" t="s">
        <v>635</v>
      </c>
    </row>
    <row r="302" spans="1:1" x14ac:dyDescent="0.45">
      <c r="A302" t="s">
        <v>638</v>
      </c>
    </row>
    <row r="303" spans="1:1" x14ac:dyDescent="0.45">
      <c r="A303" t="s">
        <v>639</v>
      </c>
    </row>
    <row r="304" spans="1:1" x14ac:dyDescent="0.45">
      <c r="A304" t="s">
        <v>771</v>
      </c>
    </row>
    <row r="305" spans="1:1" x14ac:dyDescent="0.45">
      <c r="A305" t="s">
        <v>634</v>
      </c>
    </row>
    <row r="306" spans="1:1" x14ac:dyDescent="0.45">
      <c r="A306" t="s">
        <v>770</v>
      </c>
    </row>
    <row r="307" spans="1:1" x14ac:dyDescent="0.45">
      <c r="A307" t="s">
        <v>642</v>
      </c>
    </row>
    <row r="308" spans="1:1" x14ac:dyDescent="0.45">
      <c r="A308" t="s">
        <v>1072</v>
      </c>
    </row>
    <row r="309" spans="1:1" x14ac:dyDescent="0.45">
      <c r="A309" t="s">
        <v>641</v>
      </c>
    </row>
    <row r="310" spans="1:1" x14ac:dyDescent="0.45">
      <c r="A310" t="s">
        <v>643</v>
      </c>
    </row>
  </sheetData>
  <sheetProtection sheet="1" objects="1" scenarios="1" selectLockedCells="1" selectUnlockedCells="1"/>
  <sortState xmlns:xlrd2="http://schemas.microsoft.com/office/spreadsheetml/2017/richdata2" ref="C2:D187">
    <sortCondition ref="D2"/>
  </sortState>
  <conditionalFormatting sqref="A1 A272:A1048576">
    <cfRule type="duplicateValues" dxfId="14" priority="6"/>
  </conditionalFormatting>
  <conditionalFormatting sqref="A2:A271">
    <cfRule type="duplicateValues" dxfId="13"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R3123"/>
  <sheetViews>
    <sheetView zoomScaleNormal="100" workbookViewId="0">
      <pane ySplit="1" topLeftCell="A14" activePane="bottomLeft" state="frozen"/>
      <selection pane="bottomLeft" activeCell="Q2" sqref="Q2:Q55"/>
    </sheetView>
  </sheetViews>
  <sheetFormatPr defaultRowHeight="14.25" x14ac:dyDescent="0.45"/>
  <cols>
    <col min="1" max="1" width="33.1328125" bestFit="1" customWidth="1"/>
    <col min="2" max="2" width="18.59765625" bestFit="1" customWidth="1"/>
    <col min="3" max="3" width="31" bestFit="1" customWidth="1"/>
    <col min="4" max="4" width="19.1328125" bestFit="1" customWidth="1"/>
    <col min="5" max="5" width="29" bestFit="1" customWidth="1"/>
    <col min="6" max="6" width="21.3984375" bestFit="1" customWidth="1"/>
    <col min="7" max="7" width="19.86328125" customWidth="1"/>
    <col min="8" max="8" width="17.1328125" customWidth="1"/>
    <col min="10" max="10" width="14.1328125" bestFit="1" customWidth="1"/>
    <col min="11" max="11" width="47.3984375" bestFit="1" customWidth="1"/>
    <col min="12" max="12" width="35.86328125" bestFit="1" customWidth="1"/>
    <col min="13" max="13" width="29.86328125" bestFit="1" customWidth="1"/>
    <col min="14" max="14" width="50.3984375" bestFit="1" customWidth="1"/>
    <col min="15" max="15" width="26.265625" customWidth="1"/>
    <col min="16" max="16" width="13.265625" customWidth="1"/>
    <col min="17" max="17" width="13.3984375" bestFit="1" customWidth="1"/>
    <col min="18" max="18" width="17.86328125" style="83" bestFit="1" customWidth="1"/>
  </cols>
  <sheetData>
    <row r="1" spans="1:18" s="1" customFormat="1" x14ac:dyDescent="0.45">
      <c r="A1" s="80" t="s">
        <v>644</v>
      </c>
      <c r="B1" s="80" t="s">
        <v>115</v>
      </c>
      <c r="C1" s="80" t="s">
        <v>653</v>
      </c>
      <c r="D1" s="80" t="s">
        <v>117</v>
      </c>
      <c r="E1" s="80" t="s">
        <v>665</v>
      </c>
      <c r="F1" s="80" t="s">
        <v>119</v>
      </c>
      <c r="G1" s="80" t="s">
        <v>666</v>
      </c>
      <c r="H1" s="80" t="s">
        <v>667</v>
      </c>
      <c r="I1" s="80" t="s">
        <v>677</v>
      </c>
      <c r="J1" s="80" t="s">
        <v>683</v>
      </c>
      <c r="K1" s="80" t="s">
        <v>657</v>
      </c>
      <c r="L1" s="80" t="s">
        <v>658</v>
      </c>
      <c r="M1" s="80" t="s">
        <v>111</v>
      </c>
      <c r="N1" s="80" t="s">
        <v>5296</v>
      </c>
      <c r="O1" s="80" t="s">
        <v>113</v>
      </c>
      <c r="P1" s="80" t="s">
        <v>114</v>
      </c>
      <c r="Q1" s="80" t="s">
        <v>10282</v>
      </c>
      <c r="R1" s="81" t="s">
        <v>9935</v>
      </c>
    </row>
    <row r="2" spans="1:18" x14ac:dyDescent="0.45">
      <c r="A2" t="s">
        <v>645</v>
      </c>
      <c r="B2" t="s">
        <v>651</v>
      </c>
      <c r="C2" t="s">
        <v>654</v>
      </c>
      <c r="D2" t="s">
        <v>657</v>
      </c>
      <c r="E2" t="s">
        <v>668</v>
      </c>
      <c r="F2" t="s">
        <v>672</v>
      </c>
      <c r="G2" t="s">
        <v>655</v>
      </c>
      <c r="H2" t="s">
        <v>676</v>
      </c>
      <c r="I2" t="s">
        <v>678</v>
      </c>
      <c r="J2" t="s">
        <v>684</v>
      </c>
      <c r="K2" t="s">
        <v>10</v>
      </c>
      <c r="L2" t="s">
        <v>663</v>
      </c>
      <c r="M2" t="s">
        <v>5133</v>
      </c>
      <c r="N2" t="s">
        <v>5250</v>
      </c>
      <c r="O2" t="s">
        <v>6562</v>
      </c>
      <c r="P2">
        <v>3737</v>
      </c>
      <c r="Q2" t="s">
        <v>10745</v>
      </c>
      <c r="R2" s="82" t="s">
        <v>9936</v>
      </c>
    </row>
    <row r="3" spans="1:18" ht="15.75" x14ac:dyDescent="0.5">
      <c r="A3" t="s">
        <v>646</v>
      </c>
      <c r="B3" t="s">
        <v>652</v>
      </c>
      <c r="C3" t="s">
        <v>656</v>
      </c>
      <c r="D3" t="s">
        <v>658</v>
      </c>
      <c r="E3" t="s">
        <v>669</v>
      </c>
      <c r="F3" t="s">
        <v>673</v>
      </c>
      <c r="G3" t="s">
        <v>675</v>
      </c>
      <c r="H3" t="s">
        <v>655</v>
      </c>
      <c r="I3" t="s">
        <v>679</v>
      </c>
      <c r="J3" t="s">
        <v>685</v>
      </c>
      <c r="K3" t="s">
        <v>9</v>
      </c>
      <c r="L3" t="s">
        <v>1073</v>
      </c>
      <c r="M3" t="s">
        <v>5134</v>
      </c>
      <c r="N3" t="s">
        <v>5251</v>
      </c>
      <c r="O3" t="s">
        <v>6563</v>
      </c>
      <c r="P3">
        <v>3067</v>
      </c>
      <c r="Q3" s="87" t="s">
        <v>10229</v>
      </c>
      <c r="R3" s="82" t="s">
        <v>9937</v>
      </c>
    </row>
    <row r="4" spans="1:18" ht="15.75" x14ac:dyDescent="0.5">
      <c r="A4" t="s">
        <v>647</v>
      </c>
      <c r="B4" t="s">
        <v>731</v>
      </c>
      <c r="C4" t="s">
        <v>655</v>
      </c>
      <c r="E4" t="s">
        <v>670</v>
      </c>
      <c r="F4" t="s">
        <v>674</v>
      </c>
      <c r="G4" t="s">
        <v>654</v>
      </c>
      <c r="H4" t="s">
        <v>675</v>
      </c>
      <c r="K4" t="s">
        <v>13</v>
      </c>
      <c r="L4" t="s">
        <v>661</v>
      </c>
      <c r="M4" t="s">
        <v>5135</v>
      </c>
      <c r="N4" t="s">
        <v>5253</v>
      </c>
      <c r="O4" t="s">
        <v>6564</v>
      </c>
      <c r="P4">
        <v>3040</v>
      </c>
      <c r="Q4" s="87" t="s">
        <v>10230</v>
      </c>
      <c r="R4" s="82"/>
    </row>
    <row r="5" spans="1:18" ht="15.75" x14ac:dyDescent="0.5">
      <c r="A5" t="s">
        <v>648</v>
      </c>
      <c r="E5" t="s">
        <v>671</v>
      </c>
      <c r="F5" t="s">
        <v>627</v>
      </c>
      <c r="G5" t="s">
        <v>627</v>
      </c>
      <c r="H5" t="s">
        <v>654</v>
      </c>
      <c r="K5" t="s">
        <v>12</v>
      </c>
      <c r="L5" t="s">
        <v>664</v>
      </c>
      <c r="M5" t="s">
        <v>5136</v>
      </c>
      <c r="N5" t="s">
        <v>43</v>
      </c>
      <c r="O5" t="s">
        <v>6565</v>
      </c>
      <c r="P5">
        <v>3825</v>
      </c>
      <c r="Q5" s="87" t="s">
        <v>10231</v>
      </c>
      <c r="R5" s="82"/>
    </row>
    <row r="6" spans="1:18" ht="15.75" x14ac:dyDescent="0.5">
      <c r="A6" t="s">
        <v>649</v>
      </c>
      <c r="F6" t="s">
        <v>4957</v>
      </c>
      <c r="G6" t="s">
        <v>4957</v>
      </c>
      <c r="K6" t="s">
        <v>736</v>
      </c>
      <c r="L6" t="s">
        <v>659</v>
      </c>
      <c r="M6" t="s">
        <v>5137</v>
      </c>
      <c r="N6" t="s">
        <v>48</v>
      </c>
      <c r="O6" t="s">
        <v>6566</v>
      </c>
      <c r="P6">
        <v>3714</v>
      </c>
      <c r="Q6" s="87" t="s">
        <v>10232</v>
      </c>
      <c r="R6" s="82"/>
    </row>
    <row r="7" spans="1:18" ht="15.75" x14ac:dyDescent="0.5">
      <c r="A7" t="s">
        <v>650</v>
      </c>
      <c r="F7" t="s">
        <v>4958</v>
      </c>
      <c r="G7" t="s">
        <v>4958</v>
      </c>
      <c r="K7" t="s">
        <v>15</v>
      </c>
      <c r="L7" t="s">
        <v>662</v>
      </c>
      <c r="M7" t="s">
        <v>5138</v>
      </c>
      <c r="N7" t="s">
        <v>5254</v>
      </c>
      <c r="O7" t="s">
        <v>6567</v>
      </c>
      <c r="P7">
        <v>3833</v>
      </c>
      <c r="Q7" s="88" t="s">
        <v>10233</v>
      </c>
      <c r="R7" s="82"/>
    </row>
    <row r="8" spans="1:18" ht="15.75" x14ac:dyDescent="0.5">
      <c r="K8" t="s">
        <v>14</v>
      </c>
      <c r="M8" t="s">
        <v>5139</v>
      </c>
      <c r="N8" t="s">
        <v>5255</v>
      </c>
      <c r="O8" t="s">
        <v>6568</v>
      </c>
      <c r="P8">
        <v>3984</v>
      </c>
      <c r="Q8" s="88" t="s">
        <v>10234</v>
      </c>
      <c r="R8" s="82"/>
    </row>
    <row r="9" spans="1:18" ht="15.75" x14ac:dyDescent="0.5">
      <c r="K9" t="s">
        <v>11</v>
      </c>
      <c r="M9" t="s">
        <v>5140</v>
      </c>
      <c r="N9" t="s">
        <v>5295</v>
      </c>
      <c r="O9" t="s">
        <v>6569</v>
      </c>
      <c r="P9">
        <v>3352</v>
      </c>
      <c r="Q9" s="88" t="s">
        <v>10235</v>
      </c>
      <c r="R9" s="82"/>
    </row>
    <row r="10" spans="1:18" ht="15.75" x14ac:dyDescent="0.5">
      <c r="K10" t="s">
        <v>5249</v>
      </c>
      <c r="M10" t="s">
        <v>5141</v>
      </c>
      <c r="N10" t="s">
        <v>5256</v>
      </c>
      <c r="O10" t="s">
        <v>6570</v>
      </c>
      <c r="P10">
        <v>3465</v>
      </c>
      <c r="Q10" s="88" t="s">
        <v>10236</v>
      </c>
      <c r="R10" s="82"/>
    </row>
    <row r="11" spans="1:18" ht="15.75" x14ac:dyDescent="0.5">
      <c r="M11" t="s">
        <v>5142</v>
      </c>
      <c r="N11" t="s">
        <v>60</v>
      </c>
      <c r="O11" t="s">
        <v>6571</v>
      </c>
      <c r="P11">
        <v>3962</v>
      </c>
      <c r="Q11" s="88" t="s">
        <v>10237</v>
      </c>
    </row>
    <row r="12" spans="1:18" ht="15.75" x14ac:dyDescent="0.5">
      <c r="M12" t="s">
        <v>5143</v>
      </c>
      <c r="N12" t="s">
        <v>5257</v>
      </c>
      <c r="O12" t="s">
        <v>6572</v>
      </c>
      <c r="P12">
        <v>3237</v>
      </c>
      <c r="Q12" s="88" t="s">
        <v>10238</v>
      </c>
    </row>
    <row r="13" spans="1:18" ht="15.75" x14ac:dyDescent="0.5">
      <c r="M13" t="s">
        <v>5144</v>
      </c>
      <c r="N13" t="s">
        <v>103</v>
      </c>
      <c r="O13" t="s">
        <v>6573</v>
      </c>
      <c r="P13">
        <v>3231</v>
      </c>
      <c r="Q13" s="88" t="s">
        <v>10239</v>
      </c>
    </row>
    <row r="14" spans="1:18" ht="15.75" x14ac:dyDescent="0.5">
      <c r="M14" t="s">
        <v>5145</v>
      </c>
      <c r="N14" t="s">
        <v>5258</v>
      </c>
      <c r="O14" t="s">
        <v>6574</v>
      </c>
      <c r="P14">
        <v>3851</v>
      </c>
      <c r="Q14" s="88" t="s">
        <v>10240</v>
      </c>
    </row>
    <row r="15" spans="1:18" ht="15.75" x14ac:dyDescent="0.5">
      <c r="M15" t="s">
        <v>5146</v>
      </c>
      <c r="N15" t="s">
        <v>17</v>
      </c>
      <c r="O15" t="s">
        <v>6575</v>
      </c>
      <c r="P15">
        <v>3042</v>
      </c>
      <c r="Q15" s="88" t="s">
        <v>10241</v>
      </c>
    </row>
    <row r="16" spans="1:18" ht="15.75" x14ac:dyDescent="0.5">
      <c r="M16" t="s">
        <v>5147</v>
      </c>
      <c r="N16" t="s">
        <v>5259</v>
      </c>
      <c r="O16" t="s">
        <v>6576</v>
      </c>
      <c r="P16">
        <v>3424</v>
      </c>
      <c r="Q16" s="88" t="s">
        <v>10242</v>
      </c>
    </row>
    <row r="17" spans="13:17" ht="15.75" x14ac:dyDescent="0.5">
      <c r="M17" t="s">
        <v>5148</v>
      </c>
      <c r="N17" t="s">
        <v>5260</v>
      </c>
      <c r="O17" t="s">
        <v>6577</v>
      </c>
      <c r="P17">
        <v>3021</v>
      </c>
      <c r="Q17" s="88" t="s">
        <v>10243</v>
      </c>
    </row>
    <row r="18" spans="13:17" ht="15.75" x14ac:dyDescent="0.5">
      <c r="M18" t="s">
        <v>5149</v>
      </c>
      <c r="N18" t="s">
        <v>5261</v>
      </c>
      <c r="O18" t="s">
        <v>6578</v>
      </c>
      <c r="P18">
        <v>3206</v>
      </c>
      <c r="Q18" s="88" t="s">
        <v>10244</v>
      </c>
    </row>
    <row r="19" spans="13:17" ht="15.75" x14ac:dyDescent="0.5">
      <c r="M19" t="s">
        <v>5150</v>
      </c>
      <c r="N19" t="s">
        <v>5262</v>
      </c>
      <c r="O19" t="s">
        <v>6579</v>
      </c>
      <c r="P19">
        <v>3971</v>
      </c>
      <c r="Q19" s="88" t="s">
        <v>10245</v>
      </c>
    </row>
    <row r="20" spans="13:17" ht="15.75" x14ac:dyDescent="0.5">
      <c r="M20" t="s">
        <v>5151</v>
      </c>
      <c r="N20" t="s">
        <v>45</v>
      </c>
      <c r="O20" t="s">
        <v>6580</v>
      </c>
      <c r="P20">
        <v>3971</v>
      </c>
      <c r="Q20" s="88" t="s">
        <v>10246</v>
      </c>
    </row>
    <row r="21" spans="13:17" ht="15.75" x14ac:dyDescent="0.5">
      <c r="M21" t="s">
        <v>5152</v>
      </c>
      <c r="N21" t="s">
        <v>99</v>
      </c>
      <c r="O21" t="s">
        <v>6581</v>
      </c>
      <c r="P21">
        <v>3020</v>
      </c>
      <c r="Q21" s="88" t="s">
        <v>10247</v>
      </c>
    </row>
    <row r="22" spans="13:17" ht="15.75" x14ac:dyDescent="0.5">
      <c r="M22" t="s">
        <v>5153</v>
      </c>
      <c r="N22" t="s">
        <v>62</v>
      </c>
      <c r="O22" t="s">
        <v>6582</v>
      </c>
      <c r="P22">
        <v>3714</v>
      </c>
      <c r="Q22" s="88" t="s">
        <v>10248</v>
      </c>
    </row>
    <row r="23" spans="13:17" ht="15.75" x14ac:dyDescent="0.5">
      <c r="M23" t="s">
        <v>10288</v>
      </c>
      <c r="N23" t="s">
        <v>35</v>
      </c>
      <c r="O23" t="s">
        <v>6583</v>
      </c>
      <c r="P23">
        <v>3350</v>
      </c>
      <c r="Q23" s="88" t="s">
        <v>10249</v>
      </c>
    </row>
    <row r="24" spans="13:17" ht="15.75" x14ac:dyDescent="0.5">
      <c r="M24" t="s">
        <v>5154</v>
      </c>
      <c r="N24" t="s">
        <v>40</v>
      </c>
      <c r="O24" t="s">
        <v>6584</v>
      </c>
      <c r="P24">
        <v>3823</v>
      </c>
      <c r="Q24" s="88" t="s">
        <v>10250</v>
      </c>
    </row>
    <row r="25" spans="13:17" ht="15.75" x14ac:dyDescent="0.5">
      <c r="M25" t="s">
        <v>5155</v>
      </c>
      <c r="N25" t="s">
        <v>19</v>
      </c>
      <c r="O25" t="s">
        <v>6585</v>
      </c>
      <c r="P25">
        <v>3871</v>
      </c>
      <c r="Q25" s="88" t="s">
        <v>10251</v>
      </c>
    </row>
    <row r="26" spans="13:17" ht="15.75" x14ac:dyDescent="0.5">
      <c r="M26" t="s">
        <v>5156</v>
      </c>
      <c r="N26" t="s">
        <v>5263</v>
      </c>
      <c r="O26" t="s">
        <v>6586</v>
      </c>
      <c r="P26">
        <v>3871</v>
      </c>
      <c r="Q26" s="88" t="s">
        <v>10252</v>
      </c>
    </row>
    <row r="27" spans="13:17" ht="15.75" x14ac:dyDescent="0.5">
      <c r="M27" t="s">
        <v>5157</v>
      </c>
      <c r="N27" t="s">
        <v>106</v>
      </c>
      <c r="O27" t="s">
        <v>6587</v>
      </c>
      <c r="P27">
        <v>3691</v>
      </c>
      <c r="Q27" s="88" t="s">
        <v>10253</v>
      </c>
    </row>
    <row r="28" spans="13:17" ht="15.75" x14ac:dyDescent="0.5">
      <c r="M28" t="s">
        <v>5158</v>
      </c>
      <c r="N28" t="s">
        <v>104</v>
      </c>
      <c r="O28" t="s">
        <v>6588</v>
      </c>
      <c r="P28">
        <v>3277</v>
      </c>
      <c r="Q28" s="88" t="s">
        <v>10254</v>
      </c>
    </row>
    <row r="29" spans="13:17" ht="15.75" x14ac:dyDescent="0.5">
      <c r="M29" t="s">
        <v>5159</v>
      </c>
      <c r="N29" t="s">
        <v>5264</v>
      </c>
      <c r="O29" t="s">
        <v>6589</v>
      </c>
      <c r="P29">
        <v>3364</v>
      </c>
      <c r="Q29" s="88" t="s">
        <v>10255</v>
      </c>
    </row>
    <row r="30" spans="13:17" ht="15.75" x14ac:dyDescent="0.5">
      <c r="M30" t="s">
        <v>5160</v>
      </c>
      <c r="N30" t="s">
        <v>20</v>
      </c>
      <c r="O30" t="s">
        <v>6590</v>
      </c>
      <c r="P30">
        <v>3305</v>
      </c>
      <c r="Q30" s="88" t="s">
        <v>10256</v>
      </c>
    </row>
    <row r="31" spans="13:17" ht="15.75" x14ac:dyDescent="0.5">
      <c r="M31" t="s">
        <v>5161</v>
      </c>
      <c r="N31" t="s">
        <v>532</v>
      </c>
      <c r="O31" t="s">
        <v>6591</v>
      </c>
      <c r="P31">
        <v>3465</v>
      </c>
      <c r="Q31" s="88" t="s">
        <v>10257</v>
      </c>
    </row>
    <row r="32" spans="13:17" ht="15.75" x14ac:dyDescent="0.5">
      <c r="M32" t="s">
        <v>5162</v>
      </c>
      <c r="N32" t="s">
        <v>86</v>
      </c>
      <c r="O32" t="s">
        <v>6592</v>
      </c>
      <c r="P32">
        <v>3727</v>
      </c>
      <c r="Q32" s="88" t="s">
        <v>10258</v>
      </c>
    </row>
    <row r="33" spans="13:17" ht="15.75" x14ac:dyDescent="0.5">
      <c r="M33" t="s">
        <v>5163</v>
      </c>
      <c r="N33" t="s">
        <v>21</v>
      </c>
      <c r="O33" t="s">
        <v>6593</v>
      </c>
      <c r="P33">
        <v>3979</v>
      </c>
      <c r="Q33" s="88" t="s">
        <v>10259</v>
      </c>
    </row>
    <row r="34" spans="13:17" ht="15.75" x14ac:dyDescent="0.5">
      <c r="M34" t="s">
        <v>5164</v>
      </c>
      <c r="N34" t="s">
        <v>699</v>
      </c>
      <c r="O34" t="s">
        <v>6594</v>
      </c>
      <c r="P34">
        <v>3078</v>
      </c>
      <c r="Q34" s="87" t="s">
        <v>10260</v>
      </c>
    </row>
    <row r="35" spans="13:17" ht="15.75" x14ac:dyDescent="0.5">
      <c r="M35" t="s">
        <v>5165</v>
      </c>
      <c r="N35" t="s">
        <v>71</v>
      </c>
      <c r="O35" t="s">
        <v>6595</v>
      </c>
      <c r="P35">
        <v>3018</v>
      </c>
      <c r="Q35" s="88" t="s">
        <v>10261</v>
      </c>
    </row>
    <row r="36" spans="13:17" ht="15.75" x14ac:dyDescent="0.5">
      <c r="M36" t="s">
        <v>5166</v>
      </c>
      <c r="N36" t="s">
        <v>70</v>
      </c>
      <c r="O36" t="s">
        <v>6596</v>
      </c>
      <c r="P36">
        <v>3025</v>
      </c>
      <c r="Q36" s="88" t="s">
        <v>10262</v>
      </c>
    </row>
    <row r="37" spans="13:17" ht="15.75" x14ac:dyDescent="0.5">
      <c r="M37" t="s">
        <v>5167</v>
      </c>
      <c r="N37" t="s">
        <v>22</v>
      </c>
      <c r="O37" t="s">
        <v>6597</v>
      </c>
      <c r="P37">
        <v>3025</v>
      </c>
      <c r="Q37" s="88" t="s">
        <v>10263</v>
      </c>
    </row>
    <row r="38" spans="13:17" ht="15.75" x14ac:dyDescent="0.5">
      <c r="M38" t="s">
        <v>5168</v>
      </c>
      <c r="N38" t="s">
        <v>5265</v>
      </c>
      <c r="O38" t="s">
        <v>6598</v>
      </c>
      <c r="P38">
        <v>3028</v>
      </c>
      <c r="Q38" s="88" t="s">
        <v>10264</v>
      </c>
    </row>
    <row r="39" spans="13:17" ht="15.75" x14ac:dyDescent="0.5">
      <c r="M39" t="s">
        <v>5169</v>
      </c>
      <c r="N39" t="s">
        <v>5266</v>
      </c>
      <c r="O39" t="s">
        <v>6599</v>
      </c>
      <c r="P39">
        <v>3025</v>
      </c>
      <c r="Q39" s="88" t="s">
        <v>10265</v>
      </c>
    </row>
    <row r="40" spans="13:17" ht="15.75" x14ac:dyDescent="0.5">
      <c r="M40" t="s">
        <v>5170</v>
      </c>
      <c r="N40" t="s">
        <v>95</v>
      </c>
      <c r="O40" t="s">
        <v>6600</v>
      </c>
      <c r="P40">
        <v>3249</v>
      </c>
      <c r="Q40" s="88" t="s">
        <v>10266</v>
      </c>
    </row>
    <row r="41" spans="13:17" ht="15.75" x14ac:dyDescent="0.5">
      <c r="M41" t="s">
        <v>5171</v>
      </c>
      <c r="N41" t="s">
        <v>697</v>
      </c>
      <c r="O41" t="s">
        <v>6601</v>
      </c>
      <c r="P41">
        <v>3371</v>
      </c>
      <c r="Q41" s="88" t="s">
        <v>10267</v>
      </c>
    </row>
    <row r="42" spans="13:17" ht="15.75" x14ac:dyDescent="0.5">
      <c r="M42" t="s">
        <v>5172</v>
      </c>
      <c r="N42" t="s">
        <v>96</v>
      </c>
      <c r="O42" t="s">
        <v>6602</v>
      </c>
      <c r="P42">
        <v>3825</v>
      </c>
      <c r="Q42" s="88" t="s">
        <v>10268</v>
      </c>
    </row>
    <row r="43" spans="13:17" ht="15.75" x14ac:dyDescent="0.5">
      <c r="M43" t="s">
        <v>5173</v>
      </c>
      <c r="N43" t="s">
        <v>90</v>
      </c>
      <c r="O43" t="s">
        <v>6603</v>
      </c>
      <c r="P43">
        <v>3468</v>
      </c>
      <c r="Q43" s="88" t="s">
        <v>10269</v>
      </c>
    </row>
    <row r="44" spans="13:17" ht="15.75" x14ac:dyDescent="0.5">
      <c r="M44" t="s">
        <v>5174</v>
      </c>
      <c r="N44" t="s">
        <v>5267</v>
      </c>
      <c r="O44" t="s">
        <v>6604</v>
      </c>
      <c r="P44">
        <v>3213</v>
      </c>
      <c r="Q44" s="88" t="s">
        <v>10270</v>
      </c>
    </row>
    <row r="45" spans="13:17" ht="15.75" x14ac:dyDescent="0.5">
      <c r="M45" t="s">
        <v>5175</v>
      </c>
      <c r="N45" t="s">
        <v>97</v>
      </c>
      <c r="O45" t="s">
        <v>6605</v>
      </c>
      <c r="P45">
        <v>3715</v>
      </c>
      <c r="Q45" s="88" t="s">
        <v>10271</v>
      </c>
    </row>
    <row r="46" spans="13:17" ht="15.75" x14ac:dyDescent="0.5">
      <c r="M46" t="s">
        <v>5176</v>
      </c>
      <c r="N46" t="s">
        <v>5268</v>
      </c>
      <c r="O46" t="s">
        <v>6606</v>
      </c>
      <c r="P46">
        <v>3995</v>
      </c>
      <c r="Q46" s="88" t="s">
        <v>10272</v>
      </c>
    </row>
    <row r="47" spans="13:17" ht="15.75" x14ac:dyDescent="0.5">
      <c r="M47" t="s">
        <v>5177</v>
      </c>
      <c r="N47" t="s">
        <v>59</v>
      </c>
      <c r="O47" t="s">
        <v>6607</v>
      </c>
      <c r="P47">
        <v>3898</v>
      </c>
      <c r="Q47" s="88" t="s">
        <v>10273</v>
      </c>
    </row>
    <row r="48" spans="13:17" ht="15.75" x14ac:dyDescent="0.5">
      <c r="M48" t="s">
        <v>5178</v>
      </c>
      <c r="N48" t="s">
        <v>24</v>
      </c>
      <c r="O48" t="s">
        <v>6608</v>
      </c>
      <c r="P48">
        <v>3230</v>
      </c>
      <c r="Q48" s="88" t="s">
        <v>10274</v>
      </c>
    </row>
    <row r="49" spans="13:17" ht="15.75" x14ac:dyDescent="0.5">
      <c r="M49" t="s">
        <v>4963</v>
      </c>
      <c r="N49" t="s">
        <v>5269</v>
      </c>
      <c r="O49" t="s">
        <v>6609</v>
      </c>
      <c r="P49">
        <v>3549</v>
      </c>
      <c r="Q49" s="88" t="s">
        <v>10275</v>
      </c>
    </row>
    <row r="50" spans="13:17" ht="15.75" x14ac:dyDescent="0.5">
      <c r="M50" t="s">
        <v>5179</v>
      </c>
      <c r="N50" t="s">
        <v>5270</v>
      </c>
      <c r="O50" t="s">
        <v>6610</v>
      </c>
      <c r="P50">
        <v>3414</v>
      </c>
      <c r="Q50" s="88" t="s">
        <v>10276</v>
      </c>
    </row>
    <row r="51" spans="13:17" ht="15.75" x14ac:dyDescent="0.5">
      <c r="M51" t="s">
        <v>5180</v>
      </c>
      <c r="N51" t="s">
        <v>46</v>
      </c>
      <c r="O51" t="s">
        <v>6611</v>
      </c>
      <c r="P51">
        <v>3233</v>
      </c>
      <c r="Q51" s="87" t="s">
        <v>10277</v>
      </c>
    </row>
    <row r="52" spans="13:17" ht="15.75" x14ac:dyDescent="0.5">
      <c r="M52" t="s">
        <v>5181</v>
      </c>
      <c r="N52" t="s">
        <v>5271</v>
      </c>
      <c r="O52" t="s">
        <v>6612</v>
      </c>
      <c r="P52">
        <v>3579</v>
      </c>
      <c r="Q52" s="88" t="s">
        <v>10278</v>
      </c>
    </row>
    <row r="53" spans="13:17" ht="15.75" x14ac:dyDescent="0.5">
      <c r="M53" t="s">
        <v>5182</v>
      </c>
      <c r="N53" t="s">
        <v>695</v>
      </c>
      <c r="O53" t="s">
        <v>6613</v>
      </c>
      <c r="P53">
        <v>3579</v>
      </c>
      <c r="Q53" s="88" t="s">
        <v>10279</v>
      </c>
    </row>
    <row r="54" spans="13:17" ht="15.75" x14ac:dyDescent="0.5">
      <c r="M54" t="s">
        <v>5183</v>
      </c>
      <c r="N54" t="s">
        <v>752</v>
      </c>
      <c r="O54" t="s">
        <v>6614</v>
      </c>
      <c r="P54">
        <v>3319</v>
      </c>
      <c r="Q54" s="88" t="s">
        <v>10280</v>
      </c>
    </row>
    <row r="55" spans="13:17" ht="15.75" x14ac:dyDescent="0.5">
      <c r="M55" t="s">
        <v>5184</v>
      </c>
      <c r="N55" t="s">
        <v>854</v>
      </c>
      <c r="O55" t="s">
        <v>6615</v>
      </c>
      <c r="P55">
        <v>3409</v>
      </c>
      <c r="Q55" s="88" t="s">
        <v>10281</v>
      </c>
    </row>
    <row r="56" spans="13:17" x14ac:dyDescent="0.45">
      <c r="M56" t="s">
        <v>5082</v>
      </c>
      <c r="N56" t="s">
        <v>100</v>
      </c>
      <c r="O56" t="s">
        <v>6616</v>
      </c>
      <c r="P56">
        <v>3377</v>
      </c>
    </row>
    <row r="57" spans="13:17" x14ac:dyDescent="0.45">
      <c r="M57" t="s">
        <v>5185</v>
      </c>
      <c r="N57" t="s">
        <v>5273</v>
      </c>
      <c r="O57" t="s">
        <v>6617</v>
      </c>
      <c r="P57">
        <v>3951</v>
      </c>
    </row>
    <row r="58" spans="13:17" x14ac:dyDescent="0.45">
      <c r="M58" t="s">
        <v>5186</v>
      </c>
      <c r="N58" t="s">
        <v>5274</v>
      </c>
      <c r="O58" t="s">
        <v>6618</v>
      </c>
      <c r="P58">
        <v>3858</v>
      </c>
    </row>
    <row r="59" spans="13:17" x14ac:dyDescent="0.45">
      <c r="M59" t="s">
        <v>5187</v>
      </c>
      <c r="N59" t="s">
        <v>4959</v>
      </c>
      <c r="O59" t="s">
        <v>6619</v>
      </c>
      <c r="P59">
        <v>3631</v>
      </c>
    </row>
    <row r="60" spans="13:17" x14ac:dyDescent="0.45">
      <c r="M60" t="s">
        <v>5085</v>
      </c>
      <c r="N60" t="s">
        <v>5276</v>
      </c>
      <c r="O60" t="s">
        <v>6620</v>
      </c>
      <c r="P60">
        <v>3631</v>
      </c>
    </row>
    <row r="61" spans="13:17" x14ac:dyDescent="0.45">
      <c r="M61" t="s">
        <v>5188</v>
      </c>
      <c r="N61" t="s">
        <v>5275</v>
      </c>
      <c r="O61" t="s">
        <v>6621</v>
      </c>
      <c r="P61">
        <v>3475</v>
      </c>
    </row>
    <row r="62" spans="13:17" x14ac:dyDescent="0.45">
      <c r="M62" t="s">
        <v>5189</v>
      </c>
      <c r="N62" t="s">
        <v>702</v>
      </c>
      <c r="O62" t="s">
        <v>6622</v>
      </c>
      <c r="P62">
        <v>3475</v>
      </c>
    </row>
    <row r="63" spans="13:17" x14ac:dyDescent="0.45">
      <c r="M63" t="s">
        <v>5190</v>
      </c>
      <c r="N63" t="s">
        <v>5277</v>
      </c>
      <c r="O63" t="s">
        <v>6623</v>
      </c>
      <c r="P63">
        <v>3723</v>
      </c>
    </row>
    <row r="64" spans="13:17" x14ac:dyDescent="0.45">
      <c r="M64" t="s">
        <v>5191</v>
      </c>
      <c r="N64" t="s">
        <v>93</v>
      </c>
      <c r="O64" t="s">
        <v>6624</v>
      </c>
      <c r="P64">
        <v>3995</v>
      </c>
    </row>
    <row r="65" spans="13:16" x14ac:dyDescent="0.45">
      <c r="M65" t="s">
        <v>5192</v>
      </c>
      <c r="N65" t="s">
        <v>566</v>
      </c>
      <c r="O65" t="s">
        <v>6625</v>
      </c>
      <c r="P65">
        <v>3022</v>
      </c>
    </row>
    <row r="66" spans="13:16" x14ac:dyDescent="0.45">
      <c r="M66" t="s">
        <v>5193</v>
      </c>
      <c r="N66" t="s">
        <v>5278</v>
      </c>
      <c r="O66" t="s">
        <v>6626</v>
      </c>
      <c r="P66">
        <v>3629</v>
      </c>
    </row>
    <row r="67" spans="13:16" x14ac:dyDescent="0.45">
      <c r="M67" t="s">
        <v>148</v>
      </c>
      <c r="N67" t="s">
        <v>5279</v>
      </c>
      <c r="O67" t="s">
        <v>6627</v>
      </c>
      <c r="P67">
        <v>3480</v>
      </c>
    </row>
    <row r="68" spans="13:16" x14ac:dyDescent="0.45">
      <c r="M68" t="s">
        <v>5194</v>
      </c>
      <c r="N68" t="s">
        <v>80</v>
      </c>
      <c r="O68" t="s">
        <v>6628</v>
      </c>
      <c r="P68">
        <v>3523</v>
      </c>
    </row>
    <row r="69" spans="13:16" x14ac:dyDescent="0.45">
      <c r="M69" t="s">
        <v>5195</v>
      </c>
      <c r="N69" t="s">
        <v>713</v>
      </c>
      <c r="O69" t="s">
        <v>6629</v>
      </c>
      <c r="P69">
        <v>3143</v>
      </c>
    </row>
    <row r="70" spans="13:16" x14ac:dyDescent="0.45">
      <c r="M70" t="s">
        <v>5196</v>
      </c>
      <c r="N70" t="s">
        <v>5252</v>
      </c>
      <c r="O70" t="s">
        <v>6630</v>
      </c>
      <c r="P70">
        <v>3143</v>
      </c>
    </row>
    <row r="71" spans="13:16" x14ac:dyDescent="0.45">
      <c r="M71" t="s">
        <v>5197</v>
      </c>
      <c r="N71" t="s">
        <v>42</v>
      </c>
      <c r="O71" t="s">
        <v>6631</v>
      </c>
      <c r="P71">
        <v>3377</v>
      </c>
    </row>
    <row r="72" spans="13:16" x14ac:dyDescent="0.45">
      <c r="M72" t="s">
        <v>5198</v>
      </c>
      <c r="N72" t="s">
        <v>5280</v>
      </c>
      <c r="O72" t="s">
        <v>6632</v>
      </c>
      <c r="P72">
        <v>3217</v>
      </c>
    </row>
    <row r="73" spans="13:16" x14ac:dyDescent="0.45">
      <c r="M73" t="s">
        <v>5199</v>
      </c>
      <c r="N73" t="s">
        <v>49</v>
      </c>
      <c r="O73" t="s">
        <v>6633</v>
      </c>
      <c r="P73">
        <v>3551</v>
      </c>
    </row>
    <row r="74" spans="13:16" x14ac:dyDescent="0.45">
      <c r="M74" t="s">
        <v>5092</v>
      </c>
      <c r="N74" t="s">
        <v>85</v>
      </c>
      <c r="O74" t="s">
        <v>6634</v>
      </c>
      <c r="P74">
        <v>3551</v>
      </c>
    </row>
    <row r="75" spans="13:16" x14ac:dyDescent="0.45">
      <c r="M75" t="s">
        <v>5200</v>
      </c>
      <c r="N75" t="s">
        <v>89</v>
      </c>
      <c r="O75" t="s">
        <v>6635</v>
      </c>
      <c r="P75">
        <v>3099</v>
      </c>
    </row>
    <row r="76" spans="13:16" x14ac:dyDescent="0.45">
      <c r="M76" t="s">
        <v>5201</v>
      </c>
      <c r="N76" t="s">
        <v>5281</v>
      </c>
      <c r="O76" t="s">
        <v>6636</v>
      </c>
      <c r="P76">
        <v>3936</v>
      </c>
    </row>
    <row r="77" spans="13:16" x14ac:dyDescent="0.45">
      <c r="M77" t="s">
        <v>5202</v>
      </c>
      <c r="N77" t="s">
        <v>5282</v>
      </c>
      <c r="O77" t="s">
        <v>6637</v>
      </c>
      <c r="P77">
        <v>3364</v>
      </c>
    </row>
    <row r="78" spans="13:16" x14ac:dyDescent="0.45">
      <c r="M78" t="s">
        <v>5096</v>
      </c>
      <c r="N78" t="s">
        <v>5283</v>
      </c>
      <c r="O78" t="s">
        <v>6638</v>
      </c>
      <c r="P78">
        <v>3032</v>
      </c>
    </row>
    <row r="79" spans="13:16" x14ac:dyDescent="0.45">
      <c r="M79" t="s">
        <v>5203</v>
      </c>
      <c r="N79" t="s">
        <v>36</v>
      </c>
      <c r="O79" t="s">
        <v>6639</v>
      </c>
      <c r="P79">
        <v>3442</v>
      </c>
    </row>
    <row r="80" spans="13:16" x14ac:dyDescent="0.45">
      <c r="M80" t="s">
        <v>149</v>
      </c>
      <c r="N80" t="s">
        <v>107</v>
      </c>
      <c r="O80" t="s">
        <v>6640</v>
      </c>
      <c r="P80">
        <v>3147</v>
      </c>
    </row>
    <row r="81" spans="13:16" x14ac:dyDescent="0.45">
      <c r="M81" t="s">
        <v>15</v>
      </c>
      <c r="N81" t="s">
        <v>5284</v>
      </c>
      <c r="O81" t="s">
        <v>6641</v>
      </c>
      <c r="P81">
        <v>3147</v>
      </c>
    </row>
    <row r="82" spans="13:16" x14ac:dyDescent="0.45">
      <c r="M82" t="s">
        <v>5204</v>
      </c>
      <c r="N82" t="s">
        <v>102</v>
      </c>
      <c r="O82" t="s">
        <v>6642</v>
      </c>
      <c r="P82">
        <v>3195</v>
      </c>
    </row>
    <row r="83" spans="13:16" x14ac:dyDescent="0.45">
      <c r="M83" t="s">
        <v>147</v>
      </c>
      <c r="N83" t="s">
        <v>5285</v>
      </c>
      <c r="O83" t="s">
        <v>6643</v>
      </c>
      <c r="P83">
        <v>3195</v>
      </c>
    </row>
    <row r="84" spans="13:16" x14ac:dyDescent="0.45">
      <c r="M84" t="s">
        <v>5205</v>
      </c>
      <c r="N84" t="s">
        <v>721</v>
      </c>
      <c r="O84" t="s">
        <v>6644</v>
      </c>
      <c r="P84">
        <v>3818</v>
      </c>
    </row>
    <row r="85" spans="13:16" x14ac:dyDescent="0.45">
      <c r="M85" t="s">
        <v>5206</v>
      </c>
      <c r="N85" t="s">
        <v>5286</v>
      </c>
      <c r="O85" t="s">
        <v>6645</v>
      </c>
      <c r="P85">
        <v>3049</v>
      </c>
    </row>
    <row r="86" spans="13:16" x14ac:dyDescent="0.45">
      <c r="M86" t="s">
        <v>5207</v>
      </c>
      <c r="N86" t="s">
        <v>5287</v>
      </c>
      <c r="O86" t="s">
        <v>6646</v>
      </c>
      <c r="P86">
        <v>3393</v>
      </c>
    </row>
    <row r="87" spans="13:16" x14ac:dyDescent="0.45">
      <c r="M87" t="s">
        <v>5208</v>
      </c>
      <c r="N87" t="s">
        <v>26</v>
      </c>
      <c r="O87" t="s">
        <v>6647</v>
      </c>
      <c r="P87">
        <v>3123</v>
      </c>
    </row>
    <row r="88" spans="13:16" x14ac:dyDescent="0.45">
      <c r="M88" t="s">
        <v>5209</v>
      </c>
      <c r="N88" t="s">
        <v>5288</v>
      </c>
      <c r="O88" t="s">
        <v>6648</v>
      </c>
      <c r="P88">
        <v>3122</v>
      </c>
    </row>
    <row r="89" spans="13:16" x14ac:dyDescent="0.45">
      <c r="M89" t="s">
        <v>5210</v>
      </c>
      <c r="N89" t="s">
        <v>27</v>
      </c>
      <c r="O89" t="s">
        <v>6649</v>
      </c>
      <c r="P89">
        <v>3570</v>
      </c>
    </row>
    <row r="90" spans="13:16" x14ac:dyDescent="0.45">
      <c r="M90" t="s">
        <v>5211</v>
      </c>
      <c r="N90" t="s">
        <v>5289</v>
      </c>
      <c r="O90" t="s">
        <v>6650</v>
      </c>
      <c r="P90">
        <v>3212</v>
      </c>
    </row>
    <row r="91" spans="13:16" x14ac:dyDescent="0.45">
      <c r="M91" t="s">
        <v>5212</v>
      </c>
      <c r="N91" t="s">
        <v>696</v>
      </c>
      <c r="O91" t="s">
        <v>6651</v>
      </c>
      <c r="P91">
        <v>3664</v>
      </c>
    </row>
    <row r="92" spans="13:16" x14ac:dyDescent="0.45">
      <c r="M92" t="s">
        <v>5213</v>
      </c>
      <c r="N92" t="s">
        <v>28</v>
      </c>
      <c r="O92" t="s">
        <v>6652</v>
      </c>
      <c r="P92">
        <v>3467</v>
      </c>
    </row>
    <row r="93" spans="13:16" x14ac:dyDescent="0.45">
      <c r="M93" t="s">
        <v>5214</v>
      </c>
      <c r="N93" t="s">
        <v>5290</v>
      </c>
      <c r="O93" t="s">
        <v>6653</v>
      </c>
      <c r="P93">
        <v>3477</v>
      </c>
    </row>
    <row r="94" spans="13:16" x14ac:dyDescent="0.45">
      <c r="M94" t="s">
        <v>5215</v>
      </c>
      <c r="N94" t="s">
        <v>98</v>
      </c>
      <c r="O94" t="s">
        <v>6654</v>
      </c>
      <c r="P94">
        <v>3034</v>
      </c>
    </row>
    <row r="95" spans="13:16" x14ac:dyDescent="0.45">
      <c r="M95" t="s">
        <v>5216</v>
      </c>
      <c r="N95" t="s">
        <v>5291</v>
      </c>
      <c r="O95" t="s">
        <v>6655</v>
      </c>
      <c r="P95">
        <v>3559</v>
      </c>
    </row>
    <row r="96" spans="13:16" x14ac:dyDescent="0.45">
      <c r="M96" t="s">
        <v>5217</v>
      </c>
      <c r="N96" t="s">
        <v>63</v>
      </c>
      <c r="O96" t="s">
        <v>6656</v>
      </c>
      <c r="P96">
        <v>3782</v>
      </c>
    </row>
    <row r="97" spans="13:16" x14ac:dyDescent="0.45">
      <c r="M97" t="s">
        <v>5218</v>
      </c>
      <c r="N97" t="s">
        <v>72</v>
      </c>
      <c r="O97" t="s">
        <v>6657</v>
      </c>
      <c r="P97">
        <v>3551</v>
      </c>
    </row>
    <row r="98" spans="13:16" x14ac:dyDescent="0.45">
      <c r="M98" t="s">
        <v>5219</v>
      </c>
      <c r="N98" t="s">
        <v>5292</v>
      </c>
      <c r="O98" t="s">
        <v>6658</v>
      </c>
      <c r="P98">
        <v>3551</v>
      </c>
    </row>
    <row r="99" spans="13:16" x14ac:dyDescent="0.45">
      <c r="M99" t="s">
        <v>5220</v>
      </c>
      <c r="N99" t="s">
        <v>704</v>
      </c>
      <c r="O99" t="s">
        <v>6659</v>
      </c>
      <c r="P99">
        <v>3268</v>
      </c>
    </row>
    <row r="100" spans="13:16" x14ac:dyDescent="0.45">
      <c r="M100" t="s">
        <v>5113</v>
      </c>
      <c r="N100" t="s">
        <v>5293</v>
      </c>
      <c r="O100" t="s">
        <v>6660</v>
      </c>
      <c r="P100">
        <v>3340</v>
      </c>
    </row>
    <row r="101" spans="13:16" x14ac:dyDescent="0.45">
      <c r="M101" t="s">
        <v>5221</v>
      </c>
      <c r="N101" t="s">
        <v>73</v>
      </c>
      <c r="O101" t="s">
        <v>6661</v>
      </c>
      <c r="P101">
        <v>3670</v>
      </c>
    </row>
    <row r="102" spans="13:16" x14ac:dyDescent="0.45">
      <c r="M102" t="s">
        <v>5222</v>
      </c>
      <c r="N102" t="s">
        <v>92</v>
      </c>
      <c r="O102" t="s">
        <v>6662</v>
      </c>
      <c r="P102">
        <v>3777</v>
      </c>
    </row>
    <row r="103" spans="13:16" x14ac:dyDescent="0.45">
      <c r="M103" t="s">
        <v>5223</v>
      </c>
      <c r="N103" t="s">
        <v>91</v>
      </c>
      <c r="O103" t="s">
        <v>6663</v>
      </c>
      <c r="P103">
        <v>3579</v>
      </c>
    </row>
    <row r="104" spans="13:16" x14ac:dyDescent="0.45">
      <c r="M104" t="s">
        <v>5224</v>
      </c>
      <c r="N104" t="s">
        <v>5294</v>
      </c>
      <c r="O104" t="s">
        <v>6664</v>
      </c>
      <c r="P104">
        <v>3551</v>
      </c>
    </row>
    <row r="105" spans="13:16" x14ac:dyDescent="0.45">
      <c r="M105" t="s">
        <v>5225</v>
      </c>
      <c r="N105" t="s">
        <v>65</v>
      </c>
      <c r="O105" t="s">
        <v>6665</v>
      </c>
      <c r="P105">
        <v>3551</v>
      </c>
    </row>
    <row r="106" spans="13:16" x14ac:dyDescent="0.45">
      <c r="M106" t="s">
        <v>5226</v>
      </c>
      <c r="N106" t="s">
        <v>68</v>
      </c>
      <c r="O106" t="s">
        <v>6666</v>
      </c>
      <c r="P106">
        <v>3312</v>
      </c>
    </row>
    <row r="107" spans="13:16" x14ac:dyDescent="0.45">
      <c r="M107" t="s">
        <v>5119</v>
      </c>
      <c r="N107" t="s">
        <v>67</v>
      </c>
      <c r="O107" t="s">
        <v>6667</v>
      </c>
      <c r="P107">
        <v>3608</v>
      </c>
    </row>
    <row r="108" spans="13:16" x14ac:dyDescent="0.45">
      <c r="M108" t="s">
        <v>5227</v>
      </c>
      <c r="N108" t="s">
        <v>627</v>
      </c>
      <c r="O108" t="s">
        <v>6668</v>
      </c>
      <c r="P108">
        <v>3875</v>
      </c>
    </row>
    <row r="109" spans="13:16" x14ac:dyDescent="0.45">
      <c r="M109" t="s">
        <v>5228</v>
      </c>
      <c r="N109" t="s">
        <v>31</v>
      </c>
      <c r="O109" t="s">
        <v>6669</v>
      </c>
      <c r="P109">
        <v>3350</v>
      </c>
    </row>
    <row r="110" spans="13:16" x14ac:dyDescent="0.45">
      <c r="M110" t="s">
        <v>5229</v>
      </c>
      <c r="N110" t="s">
        <v>32</v>
      </c>
      <c r="O110" t="s">
        <v>6670</v>
      </c>
      <c r="P110">
        <v>3183</v>
      </c>
    </row>
    <row r="111" spans="13:16" x14ac:dyDescent="0.45">
      <c r="M111" t="s">
        <v>5230</v>
      </c>
      <c r="N111" t="s">
        <v>81</v>
      </c>
      <c r="O111" t="s">
        <v>6671</v>
      </c>
      <c r="P111">
        <v>3364</v>
      </c>
    </row>
    <row r="112" spans="13:16" x14ac:dyDescent="0.45">
      <c r="M112" t="s">
        <v>5231</v>
      </c>
      <c r="N112" t="s">
        <v>56</v>
      </c>
      <c r="O112" t="s">
        <v>6672</v>
      </c>
      <c r="P112">
        <v>3249</v>
      </c>
    </row>
    <row r="113" spans="13:16" x14ac:dyDescent="0.45">
      <c r="M113" t="s">
        <v>5232</v>
      </c>
      <c r="N113" t="s">
        <v>58</v>
      </c>
      <c r="O113" t="s">
        <v>6673</v>
      </c>
      <c r="P113">
        <v>3342</v>
      </c>
    </row>
    <row r="114" spans="13:16" x14ac:dyDescent="0.45">
      <c r="M114" t="s">
        <v>5233</v>
      </c>
      <c r="N114" t="s">
        <v>693</v>
      </c>
      <c r="O114" t="s">
        <v>6674</v>
      </c>
      <c r="P114">
        <v>3279</v>
      </c>
    </row>
    <row r="115" spans="13:16" x14ac:dyDescent="0.45">
      <c r="M115" t="s">
        <v>5234</v>
      </c>
      <c r="N115" t="s">
        <v>57</v>
      </c>
      <c r="O115" t="s">
        <v>6675</v>
      </c>
      <c r="P115">
        <v>3483</v>
      </c>
    </row>
    <row r="116" spans="13:16" x14ac:dyDescent="0.45">
      <c r="M116" t="s">
        <v>5235</v>
      </c>
      <c r="N116" t="s">
        <v>5272</v>
      </c>
      <c r="O116" t="s">
        <v>6676</v>
      </c>
      <c r="P116">
        <v>3350</v>
      </c>
    </row>
    <row r="117" spans="13:16" x14ac:dyDescent="0.45">
      <c r="M117" t="s">
        <v>5236</v>
      </c>
      <c r="N117" t="s">
        <v>33</v>
      </c>
      <c r="O117" t="s">
        <v>6677</v>
      </c>
      <c r="P117">
        <v>3350</v>
      </c>
    </row>
    <row r="118" spans="13:16" x14ac:dyDescent="0.45">
      <c r="M118" t="s">
        <v>5237</v>
      </c>
      <c r="N118" t="s">
        <v>34</v>
      </c>
      <c r="O118" t="s">
        <v>6678</v>
      </c>
      <c r="P118">
        <v>3350</v>
      </c>
    </row>
    <row r="119" spans="13:16" x14ac:dyDescent="0.45">
      <c r="M119" t="s">
        <v>5238</v>
      </c>
      <c r="N119" t="s">
        <v>4965</v>
      </c>
      <c r="O119" t="s">
        <v>6679</v>
      </c>
      <c r="P119">
        <v>3350</v>
      </c>
    </row>
    <row r="120" spans="13:16" x14ac:dyDescent="0.45">
      <c r="M120" t="s">
        <v>5239</v>
      </c>
      <c r="O120" t="s">
        <v>6680</v>
      </c>
      <c r="P120">
        <v>3350</v>
      </c>
    </row>
    <row r="121" spans="13:16" x14ac:dyDescent="0.45">
      <c r="M121" t="s">
        <v>5240</v>
      </c>
      <c r="O121" t="s">
        <v>6681</v>
      </c>
      <c r="P121">
        <v>3561</v>
      </c>
    </row>
    <row r="122" spans="13:16" x14ac:dyDescent="0.45">
      <c r="M122" t="s">
        <v>5241</v>
      </c>
      <c r="O122" t="s">
        <v>6682</v>
      </c>
      <c r="P122">
        <v>3340</v>
      </c>
    </row>
    <row r="123" spans="13:16" x14ac:dyDescent="0.45">
      <c r="M123" t="s">
        <v>5242</v>
      </c>
      <c r="O123" t="s">
        <v>6683</v>
      </c>
      <c r="P123">
        <v>3340</v>
      </c>
    </row>
    <row r="124" spans="13:16" x14ac:dyDescent="0.45">
      <c r="M124" t="s">
        <v>5243</v>
      </c>
      <c r="O124" t="s">
        <v>6684</v>
      </c>
      <c r="P124">
        <v>3375</v>
      </c>
    </row>
    <row r="125" spans="13:16" x14ac:dyDescent="0.45">
      <c r="O125" t="s">
        <v>6685</v>
      </c>
      <c r="P125">
        <v>3666</v>
      </c>
    </row>
    <row r="126" spans="13:16" x14ac:dyDescent="0.45">
      <c r="O126" t="s">
        <v>6686</v>
      </c>
      <c r="P126">
        <v>3407</v>
      </c>
    </row>
    <row r="127" spans="13:16" x14ac:dyDescent="0.45">
      <c r="O127" t="s">
        <v>6687</v>
      </c>
      <c r="P127">
        <v>3926</v>
      </c>
    </row>
    <row r="128" spans="13:16" x14ac:dyDescent="0.45">
      <c r="O128" t="s">
        <v>6688</v>
      </c>
      <c r="P128">
        <v>3926</v>
      </c>
    </row>
    <row r="129" spans="15:16" x14ac:dyDescent="0.45">
      <c r="O129" t="s">
        <v>6689</v>
      </c>
      <c r="P129">
        <v>3971</v>
      </c>
    </row>
    <row r="130" spans="15:16" x14ac:dyDescent="0.45">
      <c r="O130" t="s">
        <v>6690</v>
      </c>
      <c r="P130">
        <v>3103</v>
      </c>
    </row>
    <row r="131" spans="15:16" x14ac:dyDescent="0.45">
      <c r="O131" t="s">
        <v>6691</v>
      </c>
      <c r="P131">
        <v>3103</v>
      </c>
    </row>
    <row r="132" spans="15:16" x14ac:dyDescent="0.45">
      <c r="O132" t="s">
        <v>6692</v>
      </c>
      <c r="P132">
        <v>3104</v>
      </c>
    </row>
    <row r="133" spans="15:16" x14ac:dyDescent="0.45">
      <c r="O133" t="s">
        <v>6693</v>
      </c>
      <c r="P133">
        <v>3561</v>
      </c>
    </row>
    <row r="134" spans="15:16" x14ac:dyDescent="0.45">
      <c r="O134" t="s">
        <v>6694</v>
      </c>
      <c r="P134">
        <v>3564</v>
      </c>
    </row>
    <row r="135" spans="15:16" x14ac:dyDescent="0.45">
      <c r="O135" t="s">
        <v>6695</v>
      </c>
      <c r="P135">
        <v>3241</v>
      </c>
    </row>
    <row r="136" spans="15:16" x14ac:dyDescent="0.45">
      <c r="O136" t="s">
        <v>6696</v>
      </c>
      <c r="P136">
        <v>3333</v>
      </c>
    </row>
    <row r="137" spans="15:16" x14ac:dyDescent="0.45">
      <c r="O137" t="s">
        <v>6697</v>
      </c>
      <c r="P137">
        <v>3691</v>
      </c>
    </row>
    <row r="138" spans="15:16" x14ac:dyDescent="0.45">
      <c r="O138" t="s">
        <v>6698</v>
      </c>
      <c r="P138">
        <v>3393</v>
      </c>
    </row>
    <row r="139" spans="15:16" x14ac:dyDescent="0.45">
      <c r="O139" t="s">
        <v>6699</v>
      </c>
      <c r="P139">
        <v>3175</v>
      </c>
    </row>
    <row r="140" spans="15:16" x14ac:dyDescent="0.45">
      <c r="O140" t="s">
        <v>6700</v>
      </c>
      <c r="P140">
        <v>3875</v>
      </c>
    </row>
    <row r="141" spans="15:16" x14ac:dyDescent="0.45">
      <c r="O141" t="s">
        <v>6701</v>
      </c>
      <c r="P141">
        <v>3549</v>
      </c>
    </row>
    <row r="142" spans="15:16" x14ac:dyDescent="0.45">
      <c r="O142" t="s">
        <v>6702</v>
      </c>
      <c r="P142">
        <v>3331</v>
      </c>
    </row>
    <row r="143" spans="15:16" x14ac:dyDescent="0.45">
      <c r="O143" t="s">
        <v>6703</v>
      </c>
      <c r="P143">
        <v>3485</v>
      </c>
    </row>
    <row r="144" spans="15:16" x14ac:dyDescent="0.45">
      <c r="O144" t="s">
        <v>6704</v>
      </c>
      <c r="P144">
        <v>3388</v>
      </c>
    </row>
    <row r="145" spans="15:16" x14ac:dyDescent="0.45">
      <c r="O145" t="s">
        <v>6705</v>
      </c>
      <c r="P145">
        <v>3084</v>
      </c>
    </row>
    <row r="146" spans="15:16" x14ac:dyDescent="0.45">
      <c r="O146" t="s">
        <v>6706</v>
      </c>
      <c r="P146">
        <v>3691</v>
      </c>
    </row>
    <row r="147" spans="15:16" x14ac:dyDescent="0.45">
      <c r="O147" t="s">
        <v>6707</v>
      </c>
      <c r="P147">
        <v>3220</v>
      </c>
    </row>
    <row r="148" spans="15:16" x14ac:dyDescent="0.45">
      <c r="O148" t="s">
        <v>6708</v>
      </c>
      <c r="P148">
        <v>3444</v>
      </c>
    </row>
    <row r="149" spans="15:16" x14ac:dyDescent="0.45">
      <c r="O149" t="s">
        <v>6709</v>
      </c>
      <c r="P149">
        <v>3463</v>
      </c>
    </row>
    <row r="150" spans="15:16" x14ac:dyDescent="0.45">
      <c r="O150" t="s">
        <v>6710</v>
      </c>
      <c r="P150">
        <v>3463</v>
      </c>
    </row>
    <row r="151" spans="15:16" x14ac:dyDescent="0.45">
      <c r="O151" t="s">
        <v>6711</v>
      </c>
      <c r="P151">
        <v>3723</v>
      </c>
    </row>
    <row r="152" spans="15:16" x14ac:dyDescent="0.45">
      <c r="O152" t="s">
        <v>6712</v>
      </c>
      <c r="P152">
        <v>3451</v>
      </c>
    </row>
    <row r="153" spans="15:16" x14ac:dyDescent="0.45">
      <c r="O153" t="s">
        <v>6713</v>
      </c>
      <c r="P153">
        <v>3384</v>
      </c>
    </row>
    <row r="154" spans="15:16" x14ac:dyDescent="0.45">
      <c r="O154" t="s">
        <v>6714</v>
      </c>
      <c r="P154">
        <v>3364</v>
      </c>
    </row>
    <row r="155" spans="15:16" x14ac:dyDescent="0.45">
      <c r="O155" t="s">
        <v>6715</v>
      </c>
      <c r="P155">
        <v>3639</v>
      </c>
    </row>
    <row r="156" spans="15:16" x14ac:dyDescent="0.45">
      <c r="O156" t="s">
        <v>6716</v>
      </c>
      <c r="P156">
        <v>3557</v>
      </c>
    </row>
    <row r="157" spans="15:16" x14ac:dyDescent="0.45">
      <c r="O157" t="s">
        <v>6717</v>
      </c>
      <c r="P157">
        <v>3688</v>
      </c>
    </row>
    <row r="158" spans="15:16" x14ac:dyDescent="0.45">
      <c r="O158" t="s">
        <v>6718</v>
      </c>
      <c r="P158">
        <v>3691</v>
      </c>
    </row>
    <row r="159" spans="15:16" x14ac:dyDescent="0.45">
      <c r="O159" t="s">
        <v>6719</v>
      </c>
      <c r="P159">
        <v>3871</v>
      </c>
    </row>
    <row r="160" spans="15:16" x14ac:dyDescent="0.45">
      <c r="O160" t="s">
        <v>6720</v>
      </c>
      <c r="P160">
        <v>3249</v>
      </c>
    </row>
    <row r="161" spans="15:16" x14ac:dyDescent="0.45">
      <c r="O161" t="s">
        <v>6721</v>
      </c>
      <c r="P161">
        <v>3249</v>
      </c>
    </row>
    <row r="162" spans="15:16" x14ac:dyDescent="0.45">
      <c r="O162" t="s">
        <v>6722</v>
      </c>
      <c r="P162">
        <v>3644</v>
      </c>
    </row>
    <row r="163" spans="15:16" x14ac:dyDescent="0.45">
      <c r="O163" t="s">
        <v>6723</v>
      </c>
      <c r="P163">
        <v>3221</v>
      </c>
    </row>
    <row r="164" spans="15:16" x14ac:dyDescent="0.45">
      <c r="O164" t="s">
        <v>6724</v>
      </c>
      <c r="P164">
        <v>3525</v>
      </c>
    </row>
    <row r="165" spans="15:16" x14ac:dyDescent="0.45">
      <c r="O165" t="s">
        <v>6725</v>
      </c>
      <c r="P165">
        <v>3249</v>
      </c>
    </row>
    <row r="166" spans="15:16" x14ac:dyDescent="0.45">
      <c r="O166" t="s">
        <v>6726</v>
      </c>
      <c r="P166">
        <v>3537</v>
      </c>
    </row>
    <row r="167" spans="15:16" x14ac:dyDescent="0.45">
      <c r="O167" t="s">
        <v>6727</v>
      </c>
      <c r="P167">
        <v>3537</v>
      </c>
    </row>
    <row r="168" spans="15:16" x14ac:dyDescent="0.45">
      <c r="O168" t="s">
        <v>6728</v>
      </c>
      <c r="P168">
        <v>3458</v>
      </c>
    </row>
    <row r="169" spans="15:16" x14ac:dyDescent="0.45">
      <c r="O169" t="s">
        <v>6729</v>
      </c>
      <c r="P169">
        <v>3329</v>
      </c>
    </row>
    <row r="170" spans="15:16" x14ac:dyDescent="0.45">
      <c r="O170" t="s">
        <v>6730</v>
      </c>
      <c r="P170">
        <v>3329</v>
      </c>
    </row>
    <row r="171" spans="15:16" x14ac:dyDescent="0.45">
      <c r="O171" t="s">
        <v>6731</v>
      </c>
      <c r="P171">
        <v>3737</v>
      </c>
    </row>
    <row r="172" spans="15:16" x14ac:dyDescent="0.45">
      <c r="O172" t="s">
        <v>6732</v>
      </c>
      <c r="P172">
        <v>3722</v>
      </c>
    </row>
    <row r="173" spans="15:16" x14ac:dyDescent="0.45">
      <c r="O173" t="s">
        <v>6733</v>
      </c>
      <c r="P173">
        <v>3243</v>
      </c>
    </row>
    <row r="174" spans="15:16" x14ac:dyDescent="0.45">
      <c r="O174" t="s">
        <v>6734</v>
      </c>
      <c r="P174">
        <v>3227</v>
      </c>
    </row>
    <row r="175" spans="15:16" x14ac:dyDescent="0.45">
      <c r="O175" t="s">
        <v>6735</v>
      </c>
      <c r="P175">
        <v>3460</v>
      </c>
    </row>
    <row r="176" spans="15:16" x14ac:dyDescent="0.45">
      <c r="O176" t="s">
        <v>6736</v>
      </c>
      <c r="P176">
        <v>3991</v>
      </c>
    </row>
    <row r="177" spans="15:16" x14ac:dyDescent="0.45">
      <c r="O177" t="s">
        <v>6737</v>
      </c>
      <c r="P177">
        <v>3213</v>
      </c>
    </row>
    <row r="178" spans="15:16" x14ac:dyDescent="0.45">
      <c r="O178" t="s">
        <v>6738</v>
      </c>
      <c r="P178">
        <v>3730</v>
      </c>
    </row>
    <row r="179" spans="15:16" x14ac:dyDescent="0.45">
      <c r="O179" t="s">
        <v>6739</v>
      </c>
      <c r="P179">
        <v>3058</v>
      </c>
    </row>
    <row r="180" spans="15:16" x14ac:dyDescent="0.45">
      <c r="O180" t="s">
        <v>6740</v>
      </c>
      <c r="P180">
        <v>3833</v>
      </c>
    </row>
    <row r="181" spans="15:16" x14ac:dyDescent="0.45">
      <c r="O181" t="s">
        <v>6741</v>
      </c>
      <c r="P181">
        <v>3833</v>
      </c>
    </row>
    <row r="182" spans="15:16" x14ac:dyDescent="0.45">
      <c r="O182" t="s">
        <v>6742</v>
      </c>
      <c r="P182">
        <v>3911</v>
      </c>
    </row>
    <row r="183" spans="15:16" x14ac:dyDescent="0.45">
      <c r="O183" t="s">
        <v>6743</v>
      </c>
      <c r="P183">
        <v>3375</v>
      </c>
    </row>
    <row r="184" spans="15:16" x14ac:dyDescent="0.45">
      <c r="O184" t="s">
        <v>6744</v>
      </c>
      <c r="P184">
        <v>3981</v>
      </c>
    </row>
    <row r="185" spans="15:16" x14ac:dyDescent="0.45">
      <c r="O185" t="s">
        <v>6745</v>
      </c>
      <c r="P185">
        <v>3444</v>
      </c>
    </row>
    <row r="186" spans="15:16" x14ac:dyDescent="0.45">
      <c r="O186" t="s">
        <v>6746</v>
      </c>
      <c r="P186">
        <v>3444</v>
      </c>
    </row>
    <row r="187" spans="15:16" x14ac:dyDescent="0.45">
      <c r="O187" t="s">
        <v>6747</v>
      </c>
      <c r="P187">
        <v>3153</v>
      </c>
    </row>
    <row r="188" spans="15:16" x14ac:dyDescent="0.45">
      <c r="O188" t="s">
        <v>6748</v>
      </c>
      <c r="P188">
        <v>3153</v>
      </c>
    </row>
    <row r="189" spans="15:16" x14ac:dyDescent="0.45">
      <c r="O189" t="s">
        <v>6749</v>
      </c>
      <c r="P189">
        <v>3807</v>
      </c>
    </row>
    <row r="190" spans="15:16" x14ac:dyDescent="0.45">
      <c r="O190" t="s">
        <v>6750</v>
      </c>
      <c r="P190">
        <v>3808</v>
      </c>
    </row>
    <row r="191" spans="15:16" x14ac:dyDescent="0.45">
      <c r="O191" t="s">
        <v>6751</v>
      </c>
      <c r="P191">
        <v>3475</v>
      </c>
    </row>
    <row r="192" spans="15:16" x14ac:dyDescent="0.45">
      <c r="O192" t="s">
        <v>6752</v>
      </c>
      <c r="P192">
        <v>3641</v>
      </c>
    </row>
    <row r="193" spans="15:16" x14ac:dyDescent="0.45">
      <c r="O193" t="s">
        <v>6753</v>
      </c>
      <c r="P193">
        <v>3517</v>
      </c>
    </row>
    <row r="194" spans="15:16" x14ac:dyDescent="0.45">
      <c r="O194" t="s">
        <v>6754</v>
      </c>
      <c r="P194">
        <v>3579</v>
      </c>
    </row>
    <row r="195" spans="15:16" x14ac:dyDescent="0.45">
      <c r="O195" t="s">
        <v>6755</v>
      </c>
      <c r="P195">
        <v>3373</v>
      </c>
    </row>
    <row r="196" spans="15:16" x14ac:dyDescent="0.45">
      <c r="O196" t="s">
        <v>6756</v>
      </c>
      <c r="P196">
        <v>3193</v>
      </c>
    </row>
    <row r="197" spans="15:16" x14ac:dyDescent="0.45">
      <c r="O197" t="s">
        <v>6757</v>
      </c>
      <c r="P197">
        <v>3477</v>
      </c>
    </row>
    <row r="198" spans="15:16" x14ac:dyDescent="0.45">
      <c r="O198" t="s">
        <v>6758</v>
      </c>
      <c r="P198">
        <v>3135</v>
      </c>
    </row>
    <row r="199" spans="15:16" x14ac:dyDescent="0.45">
      <c r="O199" t="s">
        <v>6759</v>
      </c>
      <c r="P199">
        <v>3251</v>
      </c>
    </row>
    <row r="200" spans="15:16" x14ac:dyDescent="0.45">
      <c r="O200" t="s">
        <v>6760</v>
      </c>
      <c r="P200">
        <v>3237</v>
      </c>
    </row>
    <row r="201" spans="15:16" x14ac:dyDescent="0.45">
      <c r="O201" t="s">
        <v>6761</v>
      </c>
      <c r="P201">
        <v>3747</v>
      </c>
    </row>
    <row r="202" spans="15:16" x14ac:dyDescent="0.45">
      <c r="O202" t="s">
        <v>6762</v>
      </c>
      <c r="P202">
        <v>3139</v>
      </c>
    </row>
    <row r="203" spans="15:16" x14ac:dyDescent="0.45">
      <c r="O203" t="s">
        <v>6763</v>
      </c>
      <c r="P203">
        <v>3160</v>
      </c>
    </row>
    <row r="204" spans="15:16" x14ac:dyDescent="0.45">
      <c r="O204" t="s">
        <v>6764</v>
      </c>
      <c r="P204">
        <v>3160</v>
      </c>
    </row>
    <row r="205" spans="15:16" x14ac:dyDescent="0.45">
      <c r="O205" t="s">
        <v>6765</v>
      </c>
      <c r="P205">
        <v>3160</v>
      </c>
    </row>
    <row r="206" spans="15:16" x14ac:dyDescent="0.45">
      <c r="O206" t="s">
        <v>6766</v>
      </c>
      <c r="P206">
        <v>3215</v>
      </c>
    </row>
    <row r="207" spans="15:16" x14ac:dyDescent="0.45">
      <c r="O207" t="s">
        <v>6767</v>
      </c>
      <c r="P207">
        <v>3215</v>
      </c>
    </row>
    <row r="208" spans="15:16" x14ac:dyDescent="0.45">
      <c r="O208" t="s">
        <v>6768</v>
      </c>
      <c r="P208">
        <v>3223</v>
      </c>
    </row>
    <row r="209" spans="15:16" x14ac:dyDescent="0.45">
      <c r="O209" t="s">
        <v>6769</v>
      </c>
      <c r="P209">
        <v>3889</v>
      </c>
    </row>
    <row r="210" spans="15:16" x14ac:dyDescent="0.45">
      <c r="O210" t="s">
        <v>6770</v>
      </c>
      <c r="P210">
        <v>3228</v>
      </c>
    </row>
    <row r="211" spans="15:16" x14ac:dyDescent="0.45">
      <c r="O211" t="s">
        <v>6771</v>
      </c>
      <c r="P211">
        <v>3691</v>
      </c>
    </row>
    <row r="212" spans="15:16" x14ac:dyDescent="0.45">
      <c r="O212" t="s">
        <v>6772</v>
      </c>
      <c r="P212">
        <v>3381</v>
      </c>
    </row>
    <row r="213" spans="15:16" x14ac:dyDescent="0.45">
      <c r="O213" t="s">
        <v>6773</v>
      </c>
      <c r="P213">
        <v>3081</v>
      </c>
    </row>
    <row r="214" spans="15:16" x14ac:dyDescent="0.45">
      <c r="O214" t="s">
        <v>6774</v>
      </c>
      <c r="P214">
        <v>3228</v>
      </c>
    </row>
    <row r="215" spans="15:16" x14ac:dyDescent="0.45">
      <c r="O215" t="s">
        <v>6775</v>
      </c>
      <c r="P215">
        <v>3216</v>
      </c>
    </row>
    <row r="216" spans="15:16" x14ac:dyDescent="0.45">
      <c r="O216" t="s">
        <v>6776</v>
      </c>
      <c r="P216">
        <v>3889</v>
      </c>
    </row>
    <row r="217" spans="15:16" x14ac:dyDescent="0.45">
      <c r="O217" t="s">
        <v>6777</v>
      </c>
      <c r="P217">
        <v>3946</v>
      </c>
    </row>
    <row r="218" spans="15:16" x14ac:dyDescent="0.45">
      <c r="O218" t="s">
        <v>6778</v>
      </c>
      <c r="P218">
        <v>3672</v>
      </c>
    </row>
    <row r="219" spans="15:16" x14ac:dyDescent="0.45">
      <c r="O219" t="s">
        <v>6779</v>
      </c>
      <c r="P219">
        <v>3900</v>
      </c>
    </row>
    <row r="220" spans="15:16" x14ac:dyDescent="0.45">
      <c r="O220" t="s">
        <v>6780</v>
      </c>
      <c r="P220">
        <v>3319</v>
      </c>
    </row>
    <row r="221" spans="15:16" x14ac:dyDescent="0.45">
      <c r="O221" t="s">
        <v>6781</v>
      </c>
      <c r="P221">
        <v>3097</v>
      </c>
    </row>
    <row r="222" spans="15:16" x14ac:dyDescent="0.45">
      <c r="O222" t="s">
        <v>6782</v>
      </c>
      <c r="P222">
        <v>3550</v>
      </c>
    </row>
    <row r="223" spans="15:16" x14ac:dyDescent="0.45">
      <c r="O223" t="s">
        <v>6783</v>
      </c>
      <c r="P223">
        <v>3551</v>
      </c>
    </row>
    <row r="224" spans="15:16" x14ac:dyDescent="0.45">
      <c r="O224" t="s">
        <v>6784</v>
      </c>
      <c r="P224">
        <v>3550</v>
      </c>
    </row>
    <row r="225" spans="15:16" x14ac:dyDescent="0.45">
      <c r="O225" t="s">
        <v>6785</v>
      </c>
      <c r="P225">
        <v>3888</v>
      </c>
    </row>
    <row r="226" spans="15:16" x14ac:dyDescent="0.45">
      <c r="O226" t="s">
        <v>6786</v>
      </c>
      <c r="P226">
        <v>3875</v>
      </c>
    </row>
    <row r="227" spans="15:16" x14ac:dyDescent="0.45">
      <c r="O227" t="s">
        <v>6787</v>
      </c>
      <c r="P227">
        <v>3579</v>
      </c>
    </row>
    <row r="228" spans="15:16" x14ac:dyDescent="0.45">
      <c r="O228" t="s">
        <v>6788</v>
      </c>
      <c r="P228">
        <v>3435</v>
      </c>
    </row>
    <row r="229" spans="15:16" x14ac:dyDescent="0.45">
      <c r="O229" t="s">
        <v>6789</v>
      </c>
      <c r="P229">
        <v>3125</v>
      </c>
    </row>
    <row r="230" spans="15:16" x14ac:dyDescent="0.45">
      <c r="O230" t="s">
        <v>6790</v>
      </c>
      <c r="P230">
        <v>3960</v>
      </c>
    </row>
    <row r="231" spans="15:16" x14ac:dyDescent="0.45">
      <c r="O231" t="s">
        <v>6791</v>
      </c>
      <c r="P231">
        <v>3204</v>
      </c>
    </row>
    <row r="232" spans="15:16" x14ac:dyDescent="0.45">
      <c r="O232" t="s">
        <v>6792</v>
      </c>
      <c r="P232">
        <v>3165</v>
      </c>
    </row>
    <row r="233" spans="15:16" x14ac:dyDescent="0.45">
      <c r="O233" t="s">
        <v>6793</v>
      </c>
      <c r="P233">
        <v>3235</v>
      </c>
    </row>
    <row r="234" spans="15:16" x14ac:dyDescent="0.45">
      <c r="O234" t="s">
        <v>6794</v>
      </c>
      <c r="P234">
        <v>3342</v>
      </c>
    </row>
    <row r="235" spans="15:16" x14ac:dyDescent="0.45">
      <c r="O235" t="s">
        <v>6795</v>
      </c>
      <c r="P235">
        <v>3518</v>
      </c>
    </row>
    <row r="236" spans="15:16" x14ac:dyDescent="0.45">
      <c r="O236" t="s">
        <v>6796</v>
      </c>
      <c r="P236">
        <v>3351</v>
      </c>
    </row>
    <row r="237" spans="15:16" x14ac:dyDescent="0.45">
      <c r="O237" t="s">
        <v>6797</v>
      </c>
      <c r="P237">
        <v>3691</v>
      </c>
    </row>
    <row r="238" spans="15:16" x14ac:dyDescent="0.45">
      <c r="O238" t="s">
        <v>6798</v>
      </c>
      <c r="P238">
        <v>3531</v>
      </c>
    </row>
    <row r="239" spans="15:16" x14ac:dyDescent="0.45">
      <c r="O239" t="s">
        <v>6799</v>
      </c>
      <c r="P239">
        <v>3323</v>
      </c>
    </row>
    <row r="240" spans="15:16" x14ac:dyDescent="0.45">
      <c r="O240" t="s">
        <v>6800</v>
      </c>
      <c r="P240">
        <v>3953</v>
      </c>
    </row>
    <row r="241" spans="15:16" x14ac:dyDescent="0.45">
      <c r="O241" t="s">
        <v>6801</v>
      </c>
      <c r="P241">
        <v>3806</v>
      </c>
    </row>
    <row r="242" spans="15:16" x14ac:dyDescent="0.45">
      <c r="O242" t="s">
        <v>6802</v>
      </c>
      <c r="P242">
        <v>3304</v>
      </c>
    </row>
    <row r="243" spans="15:16" x14ac:dyDescent="0.45">
      <c r="O243" t="s">
        <v>6803</v>
      </c>
      <c r="P243">
        <v>3472</v>
      </c>
    </row>
    <row r="244" spans="15:16" x14ac:dyDescent="0.45">
      <c r="O244" t="s">
        <v>6804</v>
      </c>
      <c r="P244">
        <v>3888</v>
      </c>
    </row>
    <row r="245" spans="15:16" x14ac:dyDescent="0.45">
      <c r="O245" t="s">
        <v>6805</v>
      </c>
      <c r="P245">
        <v>3888</v>
      </c>
    </row>
    <row r="246" spans="15:16" x14ac:dyDescent="0.45">
      <c r="O246" t="s">
        <v>6806</v>
      </c>
      <c r="P246">
        <v>3691</v>
      </c>
    </row>
    <row r="247" spans="15:16" x14ac:dyDescent="0.45">
      <c r="O247" t="s">
        <v>6807</v>
      </c>
      <c r="P247">
        <v>3472</v>
      </c>
    </row>
    <row r="248" spans="15:16" x14ac:dyDescent="0.45">
      <c r="O248" t="s">
        <v>6808</v>
      </c>
      <c r="P248">
        <v>3395</v>
      </c>
    </row>
    <row r="249" spans="15:16" x14ac:dyDescent="0.45">
      <c r="O249" t="s">
        <v>6809</v>
      </c>
      <c r="P249">
        <v>3590</v>
      </c>
    </row>
    <row r="250" spans="15:16" x14ac:dyDescent="0.45">
      <c r="O250" t="s">
        <v>6810</v>
      </c>
      <c r="P250">
        <v>3753</v>
      </c>
    </row>
    <row r="251" spans="15:16" x14ac:dyDescent="0.45">
      <c r="O251" t="s">
        <v>6811</v>
      </c>
      <c r="P251">
        <v>3490</v>
      </c>
    </row>
    <row r="252" spans="15:16" x14ac:dyDescent="0.45">
      <c r="O252" t="s">
        <v>6812</v>
      </c>
      <c r="P252">
        <v>3231</v>
      </c>
    </row>
    <row r="253" spans="15:16" x14ac:dyDescent="0.45">
      <c r="O253" t="s">
        <v>6813</v>
      </c>
      <c r="P253">
        <v>3799</v>
      </c>
    </row>
    <row r="254" spans="15:16" x14ac:dyDescent="0.45">
      <c r="O254" t="s">
        <v>6814</v>
      </c>
      <c r="P254">
        <v>3707</v>
      </c>
    </row>
    <row r="255" spans="15:16" x14ac:dyDescent="0.45">
      <c r="O255" t="s">
        <v>6815</v>
      </c>
      <c r="P255">
        <v>3858</v>
      </c>
    </row>
    <row r="256" spans="15:16" x14ac:dyDescent="0.45">
      <c r="O256" t="s">
        <v>6816</v>
      </c>
      <c r="P256">
        <v>3533</v>
      </c>
    </row>
    <row r="257" spans="15:16" x14ac:dyDescent="0.45">
      <c r="O257" t="s">
        <v>6817</v>
      </c>
      <c r="P257">
        <v>3896</v>
      </c>
    </row>
    <row r="258" spans="15:16" x14ac:dyDescent="0.45">
      <c r="O258" t="s">
        <v>6818</v>
      </c>
      <c r="P258">
        <v>3966</v>
      </c>
    </row>
    <row r="259" spans="15:16" x14ac:dyDescent="0.45">
      <c r="O259" t="s">
        <v>6819</v>
      </c>
      <c r="P259">
        <v>3898</v>
      </c>
    </row>
    <row r="260" spans="15:16" x14ac:dyDescent="0.45">
      <c r="O260" t="s">
        <v>6820</v>
      </c>
      <c r="P260">
        <v>3483</v>
      </c>
    </row>
    <row r="261" spans="15:16" x14ac:dyDescent="0.45">
      <c r="O261" t="s">
        <v>6821</v>
      </c>
      <c r="P261">
        <v>3483</v>
      </c>
    </row>
    <row r="262" spans="15:16" x14ac:dyDescent="0.45">
      <c r="O262" t="s">
        <v>6822</v>
      </c>
      <c r="P262">
        <v>3505</v>
      </c>
    </row>
    <row r="263" spans="15:16" x14ac:dyDescent="0.45">
      <c r="O263" t="s">
        <v>6823</v>
      </c>
      <c r="P263">
        <v>3242</v>
      </c>
    </row>
    <row r="264" spans="15:16" x14ac:dyDescent="0.45">
      <c r="O264" t="s">
        <v>6824</v>
      </c>
      <c r="P264">
        <v>3918</v>
      </c>
    </row>
    <row r="265" spans="15:16" x14ac:dyDescent="0.45">
      <c r="O265" t="s">
        <v>6825</v>
      </c>
      <c r="P265">
        <v>3350</v>
      </c>
    </row>
    <row r="266" spans="15:16" x14ac:dyDescent="0.45">
      <c r="O266" t="s">
        <v>6826</v>
      </c>
      <c r="P266">
        <v>3381</v>
      </c>
    </row>
    <row r="267" spans="15:16" x14ac:dyDescent="0.45">
      <c r="O267" t="s">
        <v>6827</v>
      </c>
      <c r="P267">
        <v>3193</v>
      </c>
    </row>
    <row r="268" spans="15:16" x14ac:dyDescent="0.45">
      <c r="O268" t="s">
        <v>6828</v>
      </c>
      <c r="P268">
        <v>3193</v>
      </c>
    </row>
    <row r="269" spans="15:16" x14ac:dyDescent="0.45">
      <c r="O269" t="s">
        <v>6829</v>
      </c>
      <c r="P269">
        <v>3130</v>
      </c>
    </row>
    <row r="270" spans="15:16" x14ac:dyDescent="0.45">
      <c r="O270" t="s">
        <v>6830</v>
      </c>
      <c r="P270">
        <v>3130</v>
      </c>
    </row>
    <row r="271" spans="15:16" x14ac:dyDescent="0.45">
      <c r="O271" t="s">
        <v>6831</v>
      </c>
      <c r="P271">
        <v>3130</v>
      </c>
    </row>
    <row r="272" spans="15:16" x14ac:dyDescent="0.45">
      <c r="O272" t="s">
        <v>6832</v>
      </c>
      <c r="P272">
        <v>3401</v>
      </c>
    </row>
    <row r="273" spans="15:16" x14ac:dyDescent="0.45">
      <c r="O273" t="s">
        <v>6833</v>
      </c>
      <c r="P273">
        <v>3844</v>
      </c>
    </row>
    <row r="274" spans="15:16" x14ac:dyDescent="0.45">
      <c r="O274" t="s">
        <v>6834</v>
      </c>
      <c r="P274">
        <v>3458</v>
      </c>
    </row>
    <row r="275" spans="15:16" x14ac:dyDescent="0.45">
      <c r="O275" t="s">
        <v>6835</v>
      </c>
      <c r="P275">
        <v>3992</v>
      </c>
    </row>
    <row r="276" spans="15:16" x14ac:dyDescent="0.45">
      <c r="O276" t="s">
        <v>6836</v>
      </c>
      <c r="P276">
        <v>3942</v>
      </c>
    </row>
    <row r="277" spans="15:16" x14ac:dyDescent="0.45">
      <c r="O277" t="s">
        <v>6837</v>
      </c>
      <c r="P277">
        <v>3342</v>
      </c>
    </row>
    <row r="278" spans="15:16" x14ac:dyDescent="0.45">
      <c r="O278" t="s">
        <v>6838</v>
      </c>
      <c r="P278">
        <v>3364</v>
      </c>
    </row>
    <row r="279" spans="15:16" x14ac:dyDescent="0.45">
      <c r="O279" t="s">
        <v>6839</v>
      </c>
      <c r="P279">
        <v>3980</v>
      </c>
    </row>
    <row r="280" spans="15:16" x14ac:dyDescent="0.45">
      <c r="O280" t="s">
        <v>6840</v>
      </c>
      <c r="P280">
        <v>3352</v>
      </c>
    </row>
    <row r="281" spans="15:16" x14ac:dyDescent="0.45">
      <c r="O281" t="s">
        <v>6841</v>
      </c>
      <c r="P281">
        <v>3351</v>
      </c>
    </row>
    <row r="282" spans="15:16" x14ac:dyDescent="0.45">
      <c r="O282" t="s">
        <v>6842</v>
      </c>
      <c r="P282">
        <v>3678</v>
      </c>
    </row>
    <row r="283" spans="15:16" x14ac:dyDescent="0.45">
      <c r="O283" t="s">
        <v>6843</v>
      </c>
      <c r="P283">
        <v>3301</v>
      </c>
    </row>
    <row r="284" spans="15:16" x14ac:dyDescent="0.45">
      <c r="O284" t="s">
        <v>6844</v>
      </c>
      <c r="P284">
        <v>3699</v>
      </c>
    </row>
    <row r="285" spans="15:16" x14ac:dyDescent="0.45">
      <c r="O285" t="s">
        <v>6845</v>
      </c>
      <c r="P285">
        <v>3669</v>
      </c>
    </row>
    <row r="286" spans="15:16" x14ac:dyDescent="0.45">
      <c r="O286" t="s">
        <v>6846</v>
      </c>
      <c r="P286">
        <v>3669</v>
      </c>
    </row>
    <row r="287" spans="15:16" x14ac:dyDescent="0.45">
      <c r="O287" t="s">
        <v>6847</v>
      </c>
      <c r="P287">
        <v>3531</v>
      </c>
    </row>
    <row r="288" spans="15:16" x14ac:dyDescent="0.45">
      <c r="O288" t="s">
        <v>6848</v>
      </c>
      <c r="P288">
        <v>3490</v>
      </c>
    </row>
    <row r="289" spans="15:16" x14ac:dyDescent="0.45">
      <c r="O289" t="s">
        <v>6849</v>
      </c>
      <c r="P289">
        <v>3860</v>
      </c>
    </row>
    <row r="290" spans="15:16" x14ac:dyDescent="0.45">
      <c r="O290" t="s">
        <v>6850</v>
      </c>
      <c r="P290">
        <v>3387</v>
      </c>
    </row>
    <row r="291" spans="15:16" x14ac:dyDescent="0.45">
      <c r="O291" t="s">
        <v>6851</v>
      </c>
      <c r="P291">
        <v>3432</v>
      </c>
    </row>
    <row r="292" spans="15:16" x14ac:dyDescent="0.45">
      <c r="O292" t="s">
        <v>6852</v>
      </c>
      <c r="P292">
        <v>3546</v>
      </c>
    </row>
    <row r="293" spans="15:16" x14ac:dyDescent="0.45">
      <c r="O293" t="s">
        <v>6853</v>
      </c>
      <c r="P293">
        <v>3305</v>
      </c>
    </row>
    <row r="294" spans="15:16" x14ac:dyDescent="0.45">
      <c r="O294" t="s">
        <v>6854</v>
      </c>
      <c r="P294">
        <v>3352</v>
      </c>
    </row>
    <row r="295" spans="15:16" x14ac:dyDescent="0.45">
      <c r="O295" t="s">
        <v>6855</v>
      </c>
      <c r="P295">
        <v>3820</v>
      </c>
    </row>
    <row r="296" spans="15:16" x14ac:dyDescent="0.45">
      <c r="O296" t="s">
        <v>6856</v>
      </c>
      <c r="P296">
        <v>3888</v>
      </c>
    </row>
    <row r="297" spans="15:16" x14ac:dyDescent="0.45">
      <c r="O297" t="s">
        <v>6857</v>
      </c>
      <c r="P297">
        <v>3196</v>
      </c>
    </row>
    <row r="298" spans="15:16" x14ac:dyDescent="0.45">
      <c r="O298" t="s">
        <v>6858</v>
      </c>
      <c r="P298">
        <v>3691</v>
      </c>
    </row>
    <row r="299" spans="15:16" x14ac:dyDescent="0.45">
      <c r="O299" t="s">
        <v>6859</v>
      </c>
      <c r="P299">
        <v>3939</v>
      </c>
    </row>
    <row r="300" spans="15:16" x14ac:dyDescent="0.45">
      <c r="O300" t="s">
        <v>6860</v>
      </c>
      <c r="P300">
        <v>3561</v>
      </c>
    </row>
    <row r="301" spans="15:16" x14ac:dyDescent="0.45">
      <c r="O301" t="s">
        <v>6861</v>
      </c>
      <c r="P301">
        <v>3720</v>
      </c>
    </row>
    <row r="302" spans="15:16" x14ac:dyDescent="0.45">
      <c r="O302" t="s">
        <v>6862</v>
      </c>
      <c r="P302">
        <v>3352</v>
      </c>
    </row>
    <row r="303" spans="15:16" x14ac:dyDescent="0.45">
      <c r="O303" t="s">
        <v>6863</v>
      </c>
      <c r="P303">
        <v>3260</v>
      </c>
    </row>
    <row r="304" spans="15:16" x14ac:dyDescent="0.45">
      <c r="O304" t="s">
        <v>6864</v>
      </c>
      <c r="P304">
        <v>3825</v>
      </c>
    </row>
    <row r="305" spans="15:16" x14ac:dyDescent="0.45">
      <c r="O305" t="s">
        <v>6865</v>
      </c>
      <c r="P305">
        <v>3960</v>
      </c>
    </row>
    <row r="306" spans="15:16" x14ac:dyDescent="0.45">
      <c r="O306" t="s">
        <v>6866</v>
      </c>
      <c r="P306">
        <v>3870</v>
      </c>
    </row>
    <row r="307" spans="15:16" x14ac:dyDescent="0.45">
      <c r="O307" t="s">
        <v>6867</v>
      </c>
      <c r="P307">
        <v>3870</v>
      </c>
    </row>
    <row r="308" spans="15:16" x14ac:dyDescent="0.45">
      <c r="O308" t="s">
        <v>6868</v>
      </c>
      <c r="P308">
        <v>3880</v>
      </c>
    </row>
    <row r="309" spans="15:16" x14ac:dyDescent="0.45">
      <c r="O309" t="s">
        <v>6869</v>
      </c>
      <c r="P309">
        <v>3392</v>
      </c>
    </row>
    <row r="310" spans="15:16" x14ac:dyDescent="0.45">
      <c r="O310" t="s">
        <v>6870</v>
      </c>
      <c r="P310">
        <v>3728</v>
      </c>
    </row>
    <row r="311" spans="15:16" x14ac:dyDescent="0.45">
      <c r="O311" t="s">
        <v>6871</v>
      </c>
      <c r="P311">
        <v>3235</v>
      </c>
    </row>
    <row r="312" spans="15:16" x14ac:dyDescent="0.45">
      <c r="O312" t="s">
        <v>6872</v>
      </c>
      <c r="P312">
        <v>3163</v>
      </c>
    </row>
    <row r="313" spans="15:16" x14ac:dyDescent="0.45">
      <c r="O313" t="s">
        <v>6873</v>
      </c>
      <c r="P313">
        <v>3265</v>
      </c>
    </row>
    <row r="314" spans="15:16" x14ac:dyDescent="0.45">
      <c r="O314" t="s">
        <v>6874</v>
      </c>
      <c r="P314">
        <v>3678</v>
      </c>
    </row>
    <row r="315" spans="15:16" x14ac:dyDescent="0.45">
      <c r="O315" t="s">
        <v>6875</v>
      </c>
      <c r="P315">
        <v>3678</v>
      </c>
    </row>
    <row r="316" spans="15:16" x14ac:dyDescent="0.45">
      <c r="O316" t="s">
        <v>6876</v>
      </c>
      <c r="P316">
        <v>3685</v>
      </c>
    </row>
    <row r="317" spans="15:16" x14ac:dyDescent="0.45">
      <c r="O317" t="s">
        <v>6877</v>
      </c>
      <c r="P317">
        <v>3723</v>
      </c>
    </row>
    <row r="318" spans="15:16" x14ac:dyDescent="0.45">
      <c r="O318" t="s">
        <v>6878</v>
      </c>
      <c r="P318">
        <v>3953</v>
      </c>
    </row>
    <row r="319" spans="15:16" x14ac:dyDescent="0.45">
      <c r="O319" t="s">
        <v>6879</v>
      </c>
      <c r="P319">
        <v>3537</v>
      </c>
    </row>
    <row r="320" spans="15:16" x14ac:dyDescent="0.45">
      <c r="O320" t="s">
        <v>6880</v>
      </c>
      <c r="P320">
        <v>3730</v>
      </c>
    </row>
    <row r="321" spans="15:16" x14ac:dyDescent="0.45">
      <c r="O321" t="s">
        <v>6881</v>
      </c>
      <c r="P321">
        <v>3682</v>
      </c>
    </row>
    <row r="322" spans="15:16" x14ac:dyDescent="0.45">
      <c r="O322" t="s">
        <v>6882</v>
      </c>
      <c r="P322">
        <v>3379</v>
      </c>
    </row>
    <row r="323" spans="15:16" x14ac:dyDescent="0.45">
      <c r="O323" t="s">
        <v>6883</v>
      </c>
      <c r="P323">
        <v>3155</v>
      </c>
    </row>
    <row r="324" spans="15:16" x14ac:dyDescent="0.45">
      <c r="O324" t="s">
        <v>6884</v>
      </c>
      <c r="P324">
        <v>3518</v>
      </c>
    </row>
    <row r="325" spans="15:16" x14ac:dyDescent="0.45">
      <c r="O325" t="s">
        <v>6885</v>
      </c>
      <c r="P325">
        <v>3260</v>
      </c>
    </row>
    <row r="326" spans="15:16" x14ac:dyDescent="0.45">
      <c r="O326" t="s">
        <v>6886</v>
      </c>
      <c r="P326">
        <v>3977</v>
      </c>
    </row>
    <row r="327" spans="15:16" x14ac:dyDescent="0.45">
      <c r="O327" t="s">
        <v>6887</v>
      </c>
      <c r="P327">
        <v>3599</v>
      </c>
    </row>
    <row r="328" spans="15:16" x14ac:dyDescent="0.45">
      <c r="O328" t="s">
        <v>6888</v>
      </c>
      <c r="P328">
        <v>3465</v>
      </c>
    </row>
    <row r="329" spans="15:16" x14ac:dyDescent="0.45">
      <c r="O329" t="s">
        <v>6889</v>
      </c>
      <c r="P329">
        <v>3675</v>
      </c>
    </row>
    <row r="330" spans="15:16" x14ac:dyDescent="0.45">
      <c r="O330" t="s">
        <v>6890</v>
      </c>
      <c r="P330">
        <v>3675</v>
      </c>
    </row>
    <row r="331" spans="15:16" x14ac:dyDescent="0.45">
      <c r="O331" t="s">
        <v>6891</v>
      </c>
      <c r="P331">
        <v>3735</v>
      </c>
    </row>
    <row r="332" spans="15:16" x14ac:dyDescent="0.45">
      <c r="O332" t="s">
        <v>6892</v>
      </c>
      <c r="P332">
        <v>3678</v>
      </c>
    </row>
    <row r="333" spans="15:16" x14ac:dyDescent="0.45">
      <c r="O333" t="s">
        <v>6893</v>
      </c>
      <c r="P333">
        <v>3128</v>
      </c>
    </row>
    <row r="334" spans="15:16" x14ac:dyDescent="0.45">
      <c r="O334" t="s">
        <v>6894</v>
      </c>
      <c r="P334">
        <v>3128</v>
      </c>
    </row>
    <row r="335" spans="15:16" x14ac:dyDescent="0.45">
      <c r="O335" t="s">
        <v>6895</v>
      </c>
      <c r="P335">
        <v>3129</v>
      </c>
    </row>
    <row r="336" spans="15:16" x14ac:dyDescent="0.45">
      <c r="O336" t="s">
        <v>6896</v>
      </c>
      <c r="P336">
        <v>3128</v>
      </c>
    </row>
    <row r="337" spans="15:16" x14ac:dyDescent="0.45">
      <c r="O337" t="s">
        <v>6897</v>
      </c>
      <c r="P337">
        <v>3725</v>
      </c>
    </row>
    <row r="338" spans="15:16" x14ac:dyDescent="0.45">
      <c r="O338" t="s">
        <v>6898</v>
      </c>
      <c r="P338">
        <v>3463</v>
      </c>
    </row>
    <row r="339" spans="15:16" x14ac:dyDescent="0.45">
      <c r="O339" t="s">
        <v>6899</v>
      </c>
      <c r="P339">
        <v>3361</v>
      </c>
    </row>
    <row r="340" spans="15:16" x14ac:dyDescent="0.45">
      <c r="O340" t="s">
        <v>6900</v>
      </c>
      <c r="P340">
        <v>3195</v>
      </c>
    </row>
    <row r="341" spans="15:16" x14ac:dyDescent="0.45">
      <c r="O341" t="s">
        <v>6901</v>
      </c>
      <c r="P341">
        <v>3630</v>
      </c>
    </row>
    <row r="342" spans="15:16" x14ac:dyDescent="0.45">
      <c r="O342" t="s">
        <v>6902</v>
      </c>
      <c r="P342">
        <v>3150</v>
      </c>
    </row>
    <row r="343" spans="15:16" x14ac:dyDescent="0.45">
      <c r="O343" t="s">
        <v>6903</v>
      </c>
      <c r="P343">
        <v>3821</v>
      </c>
    </row>
    <row r="344" spans="15:16" x14ac:dyDescent="0.45">
      <c r="O344" t="s">
        <v>6904</v>
      </c>
      <c r="P344">
        <v>3302</v>
      </c>
    </row>
    <row r="345" spans="15:16" x14ac:dyDescent="0.45">
      <c r="O345" t="s">
        <v>6905</v>
      </c>
      <c r="P345">
        <v>3821</v>
      </c>
    </row>
    <row r="346" spans="15:16" x14ac:dyDescent="0.45">
      <c r="O346" t="s">
        <v>6906</v>
      </c>
      <c r="P346">
        <v>3019</v>
      </c>
    </row>
    <row r="347" spans="15:16" x14ac:dyDescent="0.45">
      <c r="O347" t="s">
        <v>6907</v>
      </c>
      <c r="P347">
        <v>3303</v>
      </c>
    </row>
    <row r="348" spans="15:16" x14ac:dyDescent="0.45">
      <c r="O348" t="s">
        <v>6908</v>
      </c>
      <c r="P348">
        <v>3219</v>
      </c>
    </row>
    <row r="349" spans="15:16" x14ac:dyDescent="0.45">
      <c r="O349" t="s">
        <v>6909</v>
      </c>
      <c r="P349">
        <v>3227</v>
      </c>
    </row>
    <row r="350" spans="15:16" x14ac:dyDescent="0.45">
      <c r="O350" t="s">
        <v>6910</v>
      </c>
      <c r="P350">
        <v>3517</v>
      </c>
    </row>
    <row r="351" spans="15:16" x14ac:dyDescent="0.45">
      <c r="O351" t="s">
        <v>6911</v>
      </c>
      <c r="P351">
        <v>3131</v>
      </c>
    </row>
    <row r="352" spans="15:16" x14ac:dyDescent="0.45">
      <c r="O352" t="s">
        <v>6912</v>
      </c>
      <c r="P352">
        <v>3352</v>
      </c>
    </row>
    <row r="353" spans="15:16" x14ac:dyDescent="0.45">
      <c r="O353" t="s">
        <v>6913</v>
      </c>
      <c r="P353">
        <v>3860</v>
      </c>
    </row>
    <row r="354" spans="15:16" x14ac:dyDescent="0.45">
      <c r="O354" t="s">
        <v>6914</v>
      </c>
      <c r="P354">
        <v>3088</v>
      </c>
    </row>
    <row r="355" spans="15:16" x14ac:dyDescent="0.45">
      <c r="O355" t="s">
        <v>6915</v>
      </c>
      <c r="P355">
        <v>3723</v>
      </c>
    </row>
    <row r="356" spans="15:16" x14ac:dyDescent="0.45">
      <c r="O356" t="s">
        <v>6916</v>
      </c>
      <c r="P356">
        <v>3516</v>
      </c>
    </row>
    <row r="357" spans="15:16" x14ac:dyDescent="0.45">
      <c r="O357" t="s">
        <v>6917</v>
      </c>
      <c r="P357">
        <v>3516</v>
      </c>
    </row>
    <row r="358" spans="15:16" x14ac:dyDescent="0.45">
      <c r="O358" t="s">
        <v>6918</v>
      </c>
      <c r="P358">
        <v>3516</v>
      </c>
    </row>
    <row r="359" spans="15:16" x14ac:dyDescent="0.45">
      <c r="O359" t="s">
        <v>6919</v>
      </c>
      <c r="P359">
        <v>3741</v>
      </c>
    </row>
    <row r="360" spans="15:16" x14ac:dyDescent="0.45">
      <c r="O360" t="s">
        <v>6920</v>
      </c>
      <c r="P360">
        <v>3186</v>
      </c>
    </row>
    <row r="361" spans="15:16" x14ac:dyDescent="0.45">
      <c r="O361" t="s">
        <v>6921</v>
      </c>
      <c r="P361">
        <v>3187</v>
      </c>
    </row>
    <row r="362" spans="15:16" x14ac:dyDescent="0.45">
      <c r="O362" t="s">
        <v>6922</v>
      </c>
      <c r="P362">
        <v>3186</v>
      </c>
    </row>
    <row r="363" spans="15:16" x14ac:dyDescent="0.45">
      <c r="O363" t="s">
        <v>6923</v>
      </c>
      <c r="P363">
        <v>3184</v>
      </c>
    </row>
    <row r="364" spans="15:16" x14ac:dyDescent="0.45">
      <c r="O364" t="s">
        <v>6924</v>
      </c>
      <c r="P364">
        <v>3391</v>
      </c>
    </row>
    <row r="365" spans="15:16" x14ac:dyDescent="0.45">
      <c r="O365" t="s">
        <v>6925</v>
      </c>
      <c r="P365">
        <v>3312</v>
      </c>
    </row>
    <row r="366" spans="15:16" x14ac:dyDescent="0.45">
      <c r="O366" t="s">
        <v>6926</v>
      </c>
      <c r="P366">
        <v>3685</v>
      </c>
    </row>
    <row r="367" spans="15:16" x14ac:dyDescent="0.45">
      <c r="O367" t="s">
        <v>6927</v>
      </c>
      <c r="P367">
        <v>3401</v>
      </c>
    </row>
    <row r="368" spans="15:16" x14ac:dyDescent="0.45">
      <c r="O368" t="s">
        <v>6928</v>
      </c>
      <c r="P368">
        <v>3319</v>
      </c>
    </row>
    <row r="369" spans="15:16" x14ac:dyDescent="0.45">
      <c r="O369" t="s">
        <v>6929</v>
      </c>
      <c r="P369">
        <v>3707</v>
      </c>
    </row>
    <row r="370" spans="15:16" x14ac:dyDescent="0.45">
      <c r="O370" t="s">
        <v>6930</v>
      </c>
      <c r="P370">
        <v>3315</v>
      </c>
    </row>
    <row r="371" spans="15:16" x14ac:dyDescent="0.45">
      <c r="O371" t="s">
        <v>6931</v>
      </c>
      <c r="P371">
        <v>3658</v>
      </c>
    </row>
    <row r="372" spans="15:16" x14ac:dyDescent="0.45">
      <c r="O372" t="s">
        <v>6932</v>
      </c>
      <c r="P372">
        <v>3875</v>
      </c>
    </row>
    <row r="373" spans="15:16" x14ac:dyDescent="0.45">
      <c r="O373" t="s">
        <v>6933</v>
      </c>
      <c r="P373">
        <v>3047</v>
      </c>
    </row>
    <row r="374" spans="15:16" x14ac:dyDescent="0.45">
      <c r="O374" t="s">
        <v>6934</v>
      </c>
      <c r="P374">
        <v>3301</v>
      </c>
    </row>
    <row r="375" spans="15:16" x14ac:dyDescent="0.45">
      <c r="O375" t="s">
        <v>6935</v>
      </c>
      <c r="P375">
        <v>3888</v>
      </c>
    </row>
    <row r="376" spans="15:16" x14ac:dyDescent="0.45">
      <c r="O376" t="s">
        <v>6936</v>
      </c>
      <c r="P376">
        <v>3673</v>
      </c>
    </row>
    <row r="377" spans="15:16" x14ac:dyDescent="0.45">
      <c r="O377" t="s">
        <v>6937</v>
      </c>
      <c r="P377">
        <v>3472</v>
      </c>
    </row>
    <row r="378" spans="15:16" x14ac:dyDescent="0.45">
      <c r="O378" t="s">
        <v>6938</v>
      </c>
      <c r="P378">
        <v>3338</v>
      </c>
    </row>
    <row r="379" spans="15:16" x14ac:dyDescent="0.45">
      <c r="O379" t="s">
        <v>6939</v>
      </c>
      <c r="P379">
        <v>3012</v>
      </c>
    </row>
    <row r="380" spans="15:16" x14ac:dyDescent="0.45">
      <c r="O380" t="s">
        <v>6940</v>
      </c>
      <c r="P380">
        <v>3896</v>
      </c>
    </row>
    <row r="381" spans="15:16" x14ac:dyDescent="0.45">
      <c r="O381" t="s">
        <v>6941</v>
      </c>
      <c r="P381">
        <v>3364</v>
      </c>
    </row>
    <row r="382" spans="15:16" x14ac:dyDescent="0.45">
      <c r="O382" t="s">
        <v>6942</v>
      </c>
      <c r="P382">
        <v>3418</v>
      </c>
    </row>
    <row r="383" spans="15:16" x14ac:dyDescent="0.45">
      <c r="O383" t="s">
        <v>6943</v>
      </c>
      <c r="P383">
        <v>3350</v>
      </c>
    </row>
    <row r="384" spans="15:16" x14ac:dyDescent="0.45">
      <c r="O384" t="s">
        <v>6944</v>
      </c>
      <c r="P384">
        <v>3685</v>
      </c>
    </row>
    <row r="385" spans="15:16" x14ac:dyDescent="0.45">
      <c r="O385" t="s">
        <v>6945</v>
      </c>
      <c r="P385">
        <v>3749</v>
      </c>
    </row>
    <row r="386" spans="15:16" x14ac:dyDescent="0.45">
      <c r="O386" t="s">
        <v>6946</v>
      </c>
      <c r="P386">
        <v>3268</v>
      </c>
    </row>
    <row r="387" spans="15:16" x14ac:dyDescent="0.45">
      <c r="O387" t="s">
        <v>6947</v>
      </c>
      <c r="P387">
        <v>3885</v>
      </c>
    </row>
    <row r="388" spans="15:16" x14ac:dyDescent="0.45">
      <c r="O388" t="s">
        <v>6948</v>
      </c>
      <c r="P388">
        <v>3056</v>
      </c>
    </row>
    <row r="389" spans="15:16" x14ac:dyDescent="0.45">
      <c r="O389" t="s">
        <v>6949</v>
      </c>
      <c r="P389">
        <v>3057</v>
      </c>
    </row>
    <row r="390" spans="15:16" x14ac:dyDescent="0.45">
      <c r="O390" t="s">
        <v>6950</v>
      </c>
      <c r="P390">
        <v>3056</v>
      </c>
    </row>
    <row r="391" spans="15:16" x14ac:dyDescent="0.45">
      <c r="O391" t="s">
        <v>6951</v>
      </c>
      <c r="P391">
        <v>3056</v>
      </c>
    </row>
    <row r="392" spans="15:16" x14ac:dyDescent="0.45">
      <c r="O392" t="s">
        <v>6952</v>
      </c>
      <c r="P392">
        <v>3055</v>
      </c>
    </row>
    <row r="393" spans="15:16" x14ac:dyDescent="0.45">
      <c r="O393" t="s">
        <v>6953</v>
      </c>
      <c r="P393">
        <v>3055</v>
      </c>
    </row>
    <row r="394" spans="15:16" x14ac:dyDescent="0.45">
      <c r="O394" t="s">
        <v>6954</v>
      </c>
      <c r="P394">
        <v>3885</v>
      </c>
    </row>
    <row r="395" spans="15:16" x14ac:dyDescent="0.45">
      <c r="O395" t="s">
        <v>6955</v>
      </c>
      <c r="P395">
        <v>3375</v>
      </c>
    </row>
    <row r="396" spans="15:16" x14ac:dyDescent="0.45">
      <c r="O396" t="s">
        <v>6956</v>
      </c>
      <c r="P396">
        <v>3885</v>
      </c>
    </row>
    <row r="397" spans="15:16" x14ac:dyDescent="0.45">
      <c r="O397" t="s">
        <v>6957</v>
      </c>
      <c r="P397">
        <v>3885</v>
      </c>
    </row>
    <row r="398" spans="15:16" x14ac:dyDescent="0.45">
      <c r="O398" t="s">
        <v>6958</v>
      </c>
      <c r="P398">
        <v>3740</v>
      </c>
    </row>
    <row r="399" spans="15:16" x14ac:dyDescent="0.45">
      <c r="O399" t="s">
        <v>6959</v>
      </c>
      <c r="P399">
        <v>3240</v>
      </c>
    </row>
    <row r="400" spans="15:16" x14ac:dyDescent="0.45">
      <c r="O400" t="s">
        <v>6960</v>
      </c>
      <c r="P400">
        <v>3301</v>
      </c>
    </row>
    <row r="401" spans="15:16" x14ac:dyDescent="0.45">
      <c r="O401" t="s">
        <v>6961</v>
      </c>
      <c r="P401">
        <v>3525</v>
      </c>
    </row>
    <row r="402" spans="15:16" x14ac:dyDescent="0.45">
      <c r="O402" t="s">
        <v>6962</v>
      </c>
      <c r="P402">
        <v>3862</v>
      </c>
    </row>
    <row r="403" spans="15:16" x14ac:dyDescent="0.45">
      <c r="O403" t="s">
        <v>6963</v>
      </c>
      <c r="P403">
        <v>3870</v>
      </c>
    </row>
    <row r="404" spans="15:16" x14ac:dyDescent="0.45">
      <c r="O404" t="s">
        <v>6964</v>
      </c>
      <c r="P404">
        <v>3579</v>
      </c>
    </row>
    <row r="405" spans="15:16" x14ac:dyDescent="0.45">
      <c r="O405" t="s">
        <v>6965</v>
      </c>
      <c r="P405">
        <v>3958</v>
      </c>
    </row>
    <row r="406" spans="15:16" x14ac:dyDescent="0.45">
      <c r="O406" t="s">
        <v>6966</v>
      </c>
      <c r="P406">
        <v>3737</v>
      </c>
    </row>
    <row r="407" spans="15:16" x14ac:dyDescent="0.45">
      <c r="O407" t="s">
        <v>6967</v>
      </c>
      <c r="P407">
        <v>3314</v>
      </c>
    </row>
    <row r="408" spans="15:16" x14ac:dyDescent="0.45">
      <c r="O408" t="s">
        <v>6968</v>
      </c>
      <c r="P408">
        <v>3890</v>
      </c>
    </row>
    <row r="409" spans="15:16" x14ac:dyDescent="0.45">
      <c r="O409" t="s">
        <v>6969</v>
      </c>
      <c r="P409">
        <v>3586</v>
      </c>
    </row>
    <row r="410" spans="15:16" x14ac:dyDescent="0.45">
      <c r="O410" t="s">
        <v>6970</v>
      </c>
      <c r="P410">
        <v>3377</v>
      </c>
    </row>
    <row r="411" spans="15:16" x14ac:dyDescent="0.45">
      <c r="O411" t="s">
        <v>6971</v>
      </c>
      <c r="P411">
        <v>3428</v>
      </c>
    </row>
    <row r="412" spans="15:16" x14ac:dyDescent="0.45">
      <c r="O412" t="s">
        <v>6972</v>
      </c>
      <c r="P412">
        <v>3266</v>
      </c>
    </row>
    <row r="413" spans="15:16" x14ac:dyDescent="0.45">
      <c r="O413" t="s">
        <v>6973</v>
      </c>
      <c r="P413">
        <v>3352</v>
      </c>
    </row>
    <row r="414" spans="15:16" x14ac:dyDescent="0.45">
      <c r="O414" t="s">
        <v>6974</v>
      </c>
      <c r="P414">
        <v>3461</v>
      </c>
    </row>
    <row r="415" spans="15:16" x14ac:dyDescent="0.45">
      <c r="O415" t="s">
        <v>6975</v>
      </c>
      <c r="P415">
        <v>3461</v>
      </c>
    </row>
    <row r="416" spans="15:16" x14ac:dyDescent="0.45">
      <c r="O416" t="s">
        <v>6976</v>
      </c>
      <c r="P416">
        <v>3105</v>
      </c>
    </row>
    <row r="417" spans="15:16" x14ac:dyDescent="0.45">
      <c r="O417" t="s">
        <v>6977</v>
      </c>
      <c r="P417">
        <v>3437</v>
      </c>
    </row>
    <row r="418" spans="15:16" x14ac:dyDescent="0.45">
      <c r="O418" t="s">
        <v>6978</v>
      </c>
      <c r="P418">
        <v>3700</v>
      </c>
    </row>
    <row r="419" spans="15:16" x14ac:dyDescent="0.45">
      <c r="O419" t="s">
        <v>6979</v>
      </c>
      <c r="P419">
        <v>3875</v>
      </c>
    </row>
    <row r="420" spans="15:16" x14ac:dyDescent="0.45">
      <c r="O420" t="s">
        <v>6980</v>
      </c>
      <c r="P420">
        <v>3821</v>
      </c>
    </row>
    <row r="421" spans="15:16" x14ac:dyDescent="0.45">
      <c r="O421" t="s">
        <v>6981</v>
      </c>
      <c r="P421">
        <v>3821</v>
      </c>
    </row>
    <row r="422" spans="15:16" x14ac:dyDescent="0.45">
      <c r="O422" t="s">
        <v>6982</v>
      </c>
      <c r="P422">
        <v>3902</v>
      </c>
    </row>
    <row r="423" spans="15:16" x14ac:dyDescent="0.45">
      <c r="O423" t="s">
        <v>6983</v>
      </c>
      <c r="P423">
        <v>3634</v>
      </c>
    </row>
    <row r="424" spans="15:16" x14ac:dyDescent="0.45">
      <c r="O424" t="s">
        <v>6984</v>
      </c>
      <c r="P424">
        <v>3851</v>
      </c>
    </row>
    <row r="425" spans="15:16" x14ac:dyDescent="0.45">
      <c r="O425" t="s">
        <v>6985</v>
      </c>
      <c r="P425">
        <v>3730</v>
      </c>
    </row>
    <row r="426" spans="15:16" x14ac:dyDescent="0.45">
      <c r="O426" t="s">
        <v>6986</v>
      </c>
      <c r="P426">
        <v>3730</v>
      </c>
    </row>
    <row r="427" spans="15:16" x14ac:dyDescent="0.45">
      <c r="O427" t="s">
        <v>6987</v>
      </c>
      <c r="P427">
        <v>3898</v>
      </c>
    </row>
    <row r="428" spans="15:16" x14ac:dyDescent="0.45">
      <c r="O428" t="s">
        <v>6988</v>
      </c>
      <c r="P428">
        <v>3342</v>
      </c>
    </row>
    <row r="429" spans="15:16" x14ac:dyDescent="0.45">
      <c r="O429" t="s">
        <v>6989</v>
      </c>
      <c r="P429">
        <v>3083</v>
      </c>
    </row>
    <row r="430" spans="15:16" x14ac:dyDescent="0.45">
      <c r="O430" t="s">
        <v>6990</v>
      </c>
      <c r="P430">
        <v>3465</v>
      </c>
    </row>
    <row r="431" spans="15:16" x14ac:dyDescent="0.45">
      <c r="O431" t="s">
        <v>6991</v>
      </c>
      <c r="P431">
        <v>3260</v>
      </c>
    </row>
    <row r="432" spans="15:16" x14ac:dyDescent="0.45">
      <c r="O432" t="s">
        <v>6992</v>
      </c>
      <c r="P432">
        <v>3334</v>
      </c>
    </row>
    <row r="433" spans="15:16" x14ac:dyDescent="0.45">
      <c r="O433" t="s">
        <v>6993</v>
      </c>
      <c r="P433">
        <v>3401</v>
      </c>
    </row>
    <row r="434" spans="15:16" x14ac:dyDescent="0.45">
      <c r="O434" t="s">
        <v>6994</v>
      </c>
      <c r="P434">
        <v>3352</v>
      </c>
    </row>
    <row r="435" spans="15:16" x14ac:dyDescent="0.45">
      <c r="O435" t="s">
        <v>6995</v>
      </c>
      <c r="P435">
        <v>3726</v>
      </c>
    </row>
    <row r="436" spans="15:16" x14ac:dyDescent="0.45">
      <c r="O436" t="s">
        <v>6996</v>
      </c>
      <c r="P436">
        <v>3726</v>
      </c>
    </row>
    <row r="437" spans="15:16" x14ac:dyDescent="0.45">
      <c r="O437" t="s">
        <v>6997</v>
      </c>
      <c r="P437">
        <v>3691</v>
      </c>
    </row>
    <row r="438" spans="15:16" x14ac:dyDescent="0.45">
      <c r="O438" t="s">
        <v>6998</v>
      </c>
      <c r="P438">
        <v>3527</v>
      </c>
    </row>
    <row r="439" spans="15:16" x14ac:dyDescent="0.45">
      <c r="O439" t="s">
        <v>6999</v>
      </c>
      <c r="P439">
        <v>3357</v>
      </c>
    </row>
    <row r="440" spans="15:16" x14ac:dyDescent="0.45">
      <c r="O440" t="s">
        <v>7000</v>
      </c>
      <c r="P440">
        <v>3352</v>
      </c>
    </row>
    <row r="441" spans="15:16" x14ac:dyDescent="0.45">
      <c r="O441" t="s">
        <v>7001</v>
      </c>
      <c r="P441">
        <v>3815</v>
      </c>
    </row>
    <row r="442" spans="15:16" x14ac:dyDescent="0.45">
      <c r="O442" t="s">
        <v>7002</v>
      </c>
      <c r="P442">
        <v>3815</v>
      </c>
    </row>
    <row r="443" spans="15:16" x14ac:dyDescent="0.45">
      <c r="O443" t="s">
        <v>7003</v>
      </c>
      <c r="P443">
        <v>3858</v>
      </c>
    </row>
    <row r="444" spans="15:16" x14ac:dyDescent="0.45">
      <c r="O444" t="s">
        <v>7004</v>
      </c>
      <c r="P444">
        <v>3568</v>
      </c>
    </row>
    <row r="445" spans="15:16" x14ac:dyDescent="0.45">
      <c r="O445" t="s">
        <v>7005</v>
      </c>
      <c r="P445">
        <v>3475</v>
      </c>
    </row>
    <row r="446" spans="15:16" x14ac:dyDescent="0.45">
      <c r="O446" t="s">
        <v>7006</v>
      </c>
      <c r="P446">
        <v>3371</v>
      </c>
    </row>
    <row r="447" spans="15:16" x14ac:dyDescent="0.45">
      <c r="O447" t="s">
        <v>7007</v>
      </c>
      <c r="P447">
        <v>3558</v>
      </c>
    </row>
    <row r="448" spans="15:16" x14ac:dyDescent="0.45">
      <c r="O448" t="s">
        <v>7008</v>
      </c>
      <c r="P448">
        <v>3121</v>
      </c>
    </row>
    <row r="449" spans="15:16" x14ac:dyDescent="0.45">
      <c r="O449" t="s">
        <v>7009</v>
      </c>
      <c r="P449">
        <v>3121</v>
      </c>
    </row>
    <row r="450" spans="15:16" x14ac:dyDescent="0.45">
      <c r="O450" t="s">
        <v>7010</v>
      </c>
      <c r="P450">
        <v>3023</v>
      </c>
    </row>
    <row r="451" spans="15:16" x14ac:dyDescent="0.45">
      <c r="O451" t="s">
        <v>7011</v>
      </c>
      <c r="P451">
        <v>3023</v>
      </c>
    </row>
    <row r="452" spans="15:16" x14ac:dyDescent="0.45">
      <c r="O452" t="s">
        <v>7012</v>
      </c>
      <c r="P452">
        <v>3559</v>
      </c>
    </row>
    <row r="453" spans="15:16" x14ac:dyDescent="0.45">
      <c r="O453" t="s">
        <v>7013</v>
      </c>
      <c r="P453">
        <v>3730</v>
      </c>
    </row>
    <row r="454" spans="15:16" x14ac:dyDescent="0.45">
      <c r="O454" t="s">
        <v>7014</v>
      </c>
      <c r="P454">
        <v>3730</v>
      </c>
    </row>
    <row r="455" spans="15:16" x14ac:dyDescent="0.45">
      <c r="O455" t="s">
        <v>7015</v>
      </c>
      <c r="P455">
        <v>3709</v>
      </c>
    </row>
    <row r="456" spans="15:16" x14ac:dyDescent="0.45">
      <c r="O456" t="s">
        <v>7016</v>
      </c>
      <c r="P456">
        <v>3352</v>
      </c>
    </row>
    <row r="457" spans="15:16" x14ac:dyDescent="0.45">
      <c r="O457" t="s">
        <v>7017</v>
      </c>
      <c r="P457">
        <v>3125</v>
      </c>
    </row>
    <row r="458" spans="15:16" x14ac:dyDescent="0.45">
      <c r="O458" t="s">
        <v>7018</v>
      </c>
      <c r="P458">
        <v>3151</v>
      </c>
    </row>
    <row r="459" spans="15:16" x14ac:dyDescent="0.45">
      <c r="O459" t="s">
        <v>7019</v>
      </c>
      <c r="P459">
        <v>3151</v>
      </c>
    </row>
    <row r="460" spans="15:16" x14ac:dyDescent="0.45">
      <c r="O460" t="s">
        <v>7020</v>
      </c>
      <c r="P460">
        <v>3281</v>
      </c>
    </row>
    <row r="461" spans="15:16" x14ac:dyDescent="0.45">
      <c r="O461" t="s">
        <v>7021</v>
      </c>
      <c r="P461">
        <v>3860</v>
      </c>
    </row>
    <row r="462" spans="15:16" x14ac:dyDescent="0.45">
      <c r="O462" t="s">
        <v>7022</v>
      </c>
      <c r="P462">
        <v>3885</v>
      </c>
    </row>
    <row r="463" spans="15:16" x14ac:dyDescent="0.45">
      <c r="O463" t="s">
        <v>7023</v>
      </c>
      <c r="P463">
        <v>3711</v>
      </c>
    </row>
    <row r="464" spans="15:16" x14ac:dyDescent="0.45">
      <c r="O464" t="s">
        <v>7024</v>
      </c>
      <c r="P464">
        <v>3301</v>
      </c>
    </row>
    <row r="465" spans="15:16" x14ac:dyDescent="0.45">
      <c r="O465" t="s">
        <v>7025</v>
      </c>
      <c r="P465">
        <v>3300</v>
      </c>
    </row>
    <row r="466" spans="15:16" x14ac:dyDescent="0.45">
      <c r="O466" t="s">
        <v>7026</v>
      </c>
      <c r="P466">
        <v>3678</v>
      </c>
    </row>
    <row r="467" spans="15:16" x14ac:dyDescent="0.45">
      <c r="O467" t="s">
        <v>7027</v>
      </c>
      <c r="P467">
        <v>3762</v>
      </c>
    </row>
    <row r="468" spans="15:16" x14ac:dyDescent="0.45">
      <c r="O468" t="s">
        <v>7028</v>
      </c>
      <c r="P468">
        <v>3617</v>
      </c>
    </row>
    <row r="469" spans="15:16" x14ac:dyDescent="0.45">
      <c r="O469" t="s">
        <v>7029</v>
      </c>
      <c r="P469">
        <v>3505</v>
      </c>
    </row>
    <row r="470" spans="15:16" x14ac:dyDescent="0.45">
      <c r="O470" t="s">
        <v>7030</v>
      </c>
      <c r="P470">
        <v>3364</v>
      </c>
    </row>
    <row r="471" spans="15:16" x14ac:dyDescent="0.45">
      <c r="O471" t="s">
        <v>7031</v>
      </c>
      <c r="P471">
        <v>3889</v>
      </c>
    </row>
    <row r="472" spans="15:16" x14ac:dyDescent="0.45">
      <c r="O472" t="s">
        <v>7032</v>
      </c>
      <c r="P472">
        <v>3442</v>
      </c>
    </row>
    <row r="473" spans="15:16" x14ac:dyDescent="0.45">
      <c r="O473" t="s">
        <v>7033</v>
      </c>
      <c r="P473">
        <v>3023</v>
      </c>
    </row>
    <row r="474" spans="15:16" x14ac:dyDescent="0.45">
      <c r="O474" t="s">
        <v>7034</v>
      </c>
      <c r="P474">
        <v>3037</v>
      </c>
    </row>
    <row r="475" spans="15:16" x14ac:dyDescent="0.45">
      <c r="O475" t="s">
        <v>7035</v>
      </c>
      <c r="P475">
        <v>3984</v>
      </c>
    </row>
    <row r="476" spans="15:16" x14ac:dyDescent="0.45">
      <c r="O476" t="s">
        <v>7036</v>
      </c>
      <c r="P476">
        <v>3556</v>
      </c>
    </row>
    <row r="477" spans="15:16" x14ac:dyDescent="0.45">
      <c r="O477" t="s">
        <v>7037</v>
      </c>
      <c r="P477">
        <v>3573</v>
      </c>
    </row>
    <row r="478" spans="15:16" x14ac:dyDescent="0.45">
      <c r="O478" t="s">
        <v>7038</v>
      </c>
      <c r="P478">
        <v>3387</v>
      </c>
    </row>
    <row r="479" spans="15:16" x14ac:dyDescent="0.45">
      <c r="O479" t="s">
        <v>7039</v>
      </c>
      <c r="P479">
        <v>3844</v>
      </c>
    </row>
    <row r="480" spans="15:16" x14ac:dyDescent="0.45">
      <c r="O480" t="s">
        <v>7040</v>
      </c>
      <c r="P480">
        <v>3844</v>
      </c>
    </row>
    <row r="481" spans="15:16" x14ac:dyDescent="0.45">
      <c r="O481" t="s">
        <v>7041</v>
      </c>
      <c r="P481">
        <v>3844</v>
      </c>
    </row>
    <row r="482" spans="15:16" x14ac:dyDescent="0.45">
      <c r="O482" t="s">
        <v>7042</v>
      </c>
      <c r="P482">
        <v>3971</v>
      </c>
    </row>
    <row r="483" spans="15:16" x14ac:dyDescent="0.45">
      <c r="O483" t="s">
        <v>7043</v>
      </c>
      <c r="P483">
        <v>3875</v>
      </c>
    </row>
    <row r="484" spans="15:16" x14ac:dyDescent="0.45">
      <c r="O484" t="s">
        <v>7044</v>
      </c>
      <c r="P484">
        <v>3779</v>
      </c>
    </row>
    <row r="485" spans="15:16" x14ac:dyDescent="0.45">
      <c r="O485" t="s">
        <v>7045</v>
      </c>
      <c r="P485">
        <v>3124</v>
      </c>
    </row>
    <row r="486" spans="15:16" x14ac:dyDescent="0.45">
      <c r="O486" t="s">
        <v>7046</v>
      </c>
      <c r="P486">
        <v>3126</v>
      </c>
    </row>
    <row r="487" spans="15:16" x14ac:dyDescent="0.45">
      <c r="O487" t="s">
        <v>7047</v>
      </c>
      <c r="P487">
        <v>3124</v>
      </c>
    </row>
    <row r="488" spans="15:16" x14ac:dyDescent="0.45">
      <c r="O488" t="s">
        <v>7048</v>
      </c>
      <c r="P488">
        <v>3124</v>
      </c>
    </row>
    <row r="489" spans="15:16" x14ac:dyDescent="0.45">
      <c r="O489" t="s">
        <v>7049</v>
      </c>
      <c r="P489">
        <v>3124</v>
      </c>
    </row>
    <row r="490" spans="15:16" x14ac:dyDescent="0.45">
      <c r="O490" t="s">
        <v>7050</v>
      </c>
      <c r="P490">
        <v>3352</v>
      </c>
    </row>
    <row r="491" spans="15:16" x14ac:dyDescent="0.45">
      <c r="O491" t="s">
        <v>7051</v>
      </c>
      <c r="P491">
        <v>3061</v>
      </c>
    </row>
    <row r="492" spans="15:16" x14ac:dyDescent="0.45">
      <c r="O492" t="s">
        <v>7052</v>
      </c>
      <c r="P492">
        <v>3387</v>
      </c>
    </row>
    <row r="493" spans="15:16" x14ac:dyDescent="0.45">
      <c r="O493" t="s">
        <v>7053</v>
      </c>
      <c r="P493">
        <v>3451</v>
      </c>
    </row>
    <row r="494" spans="15:16" x14ac:dyDescent="0.45">
      <c r="O494" t="s">
        <v>7054</v>
      </c>
      <c r="P494">
        <v>3556</v>
      </c>
    </row>
    <row r="495" spans="15:16" x14ac:dyDescent="0.45">
      <c r="O495" t="s">
        <v>7055</v>
      </c>
      <c r="P495">
        <v>3364</v>
      </c>
    </row>
    <row r="496" spans="15:16" x14ac:dyDescent="0.45">
      <c r="O496" t="s">
        <v>7056</v>
      </c>
      <c r="P496">
        <v>3260</v>
      </c>
    </row>
    <row r="497" spans="15:16" x14ac:dyDescent="0.45">
      <c r="O497" t="s">
        <v>7057</v>
      </c>
      <c r="P497">
        <v>3350</v>
      </c>
    </row>
    <row r="498" spans="15:16" x14ac:dyDescent="0.45">
      <c r="O498" t="s">
        <v>7058</v>
      </c>
      <c r="P498">
        <v>3537</v>
      </c>
    </row>
    <row r="499" spans="15:16" x14ac:dyDescent="0.45">
      <c r="O499" t="s">
        <v>7059</v>
      </c>
      <c r="P499">
        <v>3630</v>
      </c>
    </row>
    <row r="500" spans="15:16" x14ac:dyDescent="0.45">
      <c r="O500" t="s">
        <v>7060</v>
      </c>
      <c r="P500">
        <v>3890</v>
      </c>
    </row>
    <row r="501" spans="15:16" x14ac:dyDescent="0.45">
      <c r="O501" t="s">
        <v>7061</v>
      </c>
      <c r="P501">
        <v>3540</v>
      </c>
    </row>
    <row r="502" spans="15:16" x14ac:dyDescent="0.45">
      <c r="O502" t="s">
        <v>7062</v>
      </c>
      <c r="P502">
        <v>3977</v>
      </c>
    </row>
    <row r="503" spans="15:16" x14ac:dyDescent="0.45">
      <c r="O503" t="s">
        <v>7063</v>
      </c>
      <c r="P503">
        <v>3393</v>
      </c>
    </row>
    <row r="504" spans="15:16" x14ac:dyDescent="0.45">
      <c r="O504" t="s">
        <v>7064</v>
      </c>
      <c r="P504">
        <v>3126</v>
      </c>
    </row>
    <row r="505" spans="15:16" x14ac:dyDescent="0.45">
      <c r="O505" t="s">
        <v>7065</v>
      </c>
      <c r="P505">
        <v>3305</v>
      </c>
    </row>
    <row r="506" spans="15:16" x14ac:dyDescent="0.45">
      <c r="O506" t="s">
        <v>7066</v>
      </c>
      <c r="P506">
        <v>3351</v>
      </c>
    </row>
    <row r="507" spans="15:16" x14ac:dyDescent="0.45">
      <c r="O507" t="s">
        <v>7067</v>
      </c>
      <c r="P507">
        <v>3888</v>
      </c>
    </row>
    <row r="508" spans="15:16" x14ac:dyDescent="0.45">
      <c r="O508" t="s">
        <v>7068</v>
      </c>
      <c r="P508">
        <v>3233</v>
      </c>
    </row>
    <row r="509" spans="15:16" x14ac:dyDescent="0.45">
      <c r="O509" t="s">
        <v>7069</v>
      </c>
      <c r="P509">
        <v>3995</v>
      </c>
    </row>
    <row r="510" spans="15:16" x14ac:dyDescent="0.45">
      <c r="O510" t="s">
        <v>7070</v>
      </c>
      <c r="P510">
        <v>3939</v>
      </c>
    </row>
    <row r="511" spans="15:16" x14ac:dyDescent="0.45">
      <c r="O511" t="s">
        <v>7071</v>
      </c>
      <c r="P511">
        <v>3925</v>
      </c>
    </row>
    <row r="512" spans="15:16" x14ac:dyDescent="0.45">
      <c r="O512" t="s">
        <v>7072</v>
      </c>
      <c r="P512">
        <v>3579</v>
      </c>
    </row>
    <row r="513" spans="15:16" x14ac:dyDescent="0.45">
      <c r="O513" t="s">
        <v>7073</v>
      </c>
      <c r="P513">
        <v>3623</v>
      </c>
    </row>
    <row r="514" spans="15:16" x14ac:dyDescent="0.45">
      <c r="O514" t="s">
        <v>7074</v>
      </c>
      <c r="P514">
        <v>3371</v>
      </c>
    </row>
    <row r="515" spans="15:16" x14ac:dyDescent="0.45">
      <c r="O515" t="s">
        <v>7075</v>
      </c>
      <c r="P515">
        <v>3274</v>
      </c>
    </row>
    <row r="516" spans="15:16" x14ac:dyDescent="0.45">
      <c r="O516" t="s">
        <v>7076</v>
      </c>
      <c r="P516">
        <v>3477</v>
      </c>
    </row>
    <row r="517" spans="15:16" x14ac:dyDescent="0.45">
      <c r="O517" t="s">
        <v>7077</v>
      </c>
      <c r="P517">
        <v>3477</v>
      </c>
    </row>
    <row r="518" spans="15:16" x14ac:dyDescent="0.45">
      <c r="O518" t="s">
        <v>7078</v>
      </c>
      <c r="P518">
        <v>3312</v>
      </c>
    </row>
    <row r="519" spans="15:16" x14ac:dyDescent="0.45">
      <c r="O519" t="s">
        <v>7079</v>
      </c>
      <c r="P519">
        <v>3678</v>
      </c>
    </row>
    <row r="520" spans="15:16" x14ac:dyDescent="0.45">
      <c r="O520" t="s">
        <v>7080</v>
      </c>
      <c r="P520">
        <v>3352</v>
      </c>
    </row>
    <row r="521" spans="15:16" x14ac:dyDescent="0.45">
      <c r="O521" t="s">
        <v>7081</v>
      </c>
      <c r="P521">
        <v>3352</v>
      </c>
    </row>
    <row r="522" spans="15:16" x14ac:dyDescent="0.45">
      <c r="O522" t="s">
        <v>7082</v>
      </c>
      <c r="P522">
        <v>3978</v>
      </c>
    </row>
    <row r="523" spans="15:16" x14ac:dyDescent="0.45">
      <c r="O523" t="s">
        <v>7083</v>
      </c>
      <c r="P523">
        <v>3496</v>
      </c>
    </row>
    <row r="524" spans="15:16" x14ac:dyDescent="0.45">
      <c r="O524" t="s">
        <v>7084</v>
      </c>
      <c r="P524">
        <v>3334</v>
      </c>
    </row>
    <row r="525" spans="15:16" x14ac:dyDescent="0.45">
      <c r="O525" t="s">
        <v>7085</v>
      </c>
      <c r="P525">
        <v>3512</v>
      </c>
    </row>
    <row r="526" spans="15:16" x14ac:dyDescent="0.45">
      <c r="O526" t="s">
        <v>7086</v>
      </c>
      <c r="P526">
        <v>3825</v>
      </c>
    </row>
    <row r="527" spans="15:16" x14ac:dyDescent="0.45">
      <c r="O527" t="s">
        <v>7087</v>
      </c>
      <c r="P527">
        <v>3464</v>
      </c>
    </row>
    <row r="528" spans="15:16" x14ac:dyDescent="0.45">
      <c r="O528" t="s">
        <v>7088</v>
      </c>
      <c r="P528">
        <v>3239</v>
      </c>
    </row>
    <row r="529" spans="15:16" x14ac:dyDescent="0.45">
      <c r="O529" t="s">
        <v>7089</v>
      </c>
      <c r="P529">
        <v>3442</v>
      </c>
    </row>
    <row r="530" spans="15:16" x14ac:dyDescent="0.45">
      <c r="O530" t="s">
        <v>7090</v>
      </c>
      <c r="P530">
        <v>3053</v>
      </c>
    </row>
    <row r="531" spans="15:16" x14ac:dyDescent="0.45">
      <c r="O531" t="s">
        <v>7091</v>
      </c>
      <c r="P531">
        <v>3054</v>
      </c>
    </row>
    <row r="532" spans="15:16" x14ac:dyDescent="0.45">
      <c r="O532" t="s">
        <v>7092</v>
      </c>
      <c r="P532">
        <v>3053</v>
      </c>
    </row>
    <row r="533" spans="15:16" x14ac:dyDescent="0.45">
      <c r="O533" t="s">
        <v>7093</v>
      </c>
      <c r="P533">
        <v>3685</v>
      </c>
    </row>
    <row r="534" spans="15:16" x14ac:dyDescent="0.45">
      <c r="O534" t="s">
        <v>7094</v>
      </c>
      <c r="P534">
        <v>3163</v>
      </c>
    </row>
    <row r="535" spans="15:16" x14ac:dyDescent="0.45">
      <c r="O535" t="s">
        <v>7095</v>
      </c>
      <c r="P535">
        <v>3351</v>
      </c>
    </row>
    <row r="536" spans="15:16" x14ac:dyDescent="0.45">
      <c r="O536" t="s">
        <v>7096</v>
      </c>
      <c r="P536">
        <v>3023</v>
      </c>
    </row>
    <row r="537" spans="15:16" x14ac:dyDescent="0.45">
      <c r="O537" t="s">
        <v>7097</v>
      </c>
      <c r="P537">
        <v>3260</v>
      </c>
    </row>
    <row r="538" spans="15:16" x14ac:dyDescent="0.45">
      <c r="O538" t="s">
        <v>7098</v>
      </c>
      <c r="P538">
        <v>3844</v>
      </c>
    </row>
    <row r="539" spans="15:16" x14ac:dyDescent="0.45">
      <c r="O539" t="s">
        <v>7099</v>
      </c>
      <c r="P539">
        <v>3844</v>
      </c>
    </row>
    <row r="540" spans="15:16" x14ac:dyDescent="0.45">
      <c r="O540" t="s">
        <v>7100</v>
      </c>
      <c r="P540">
        <v>3844</v>
      </c>
    </row>
    <row r="541" spans="15:16" x14ac:dyDescent="0.45">
      <c r="O541" t="s">
        <v>7101</v>
      </c>
      <c r="P541">
        <v>3361</v>
      </c>
    </row>
    <row r="542" spans="15:16" x14ac:dyDescent="0.45">
      <c r="O542" t="s">
        <v>7102</v>
      </c>
      <c r="P542">
        <v>3480</v>
      </c>
    </row>
    <row r="543" spans="15:16" x14ac:dyDescent="0.45">
      <c r="O543" t="s">
        <v>7103</v>
      </c>
      <c r="P543">
        <v>3197</v>
      </c>
    </row>
    <row r="544" spans="15:16" x14ac:dyDescent="0.45">
      <c r="O544" t="s">
        <v>7104</v>
      </c>
      <c r="P544">
        <v>3201</v>
      </c>
    </row>
    <row r="545" spans="15:16" x14ac:dyDescent="0.45">
      <c r="O545" t="s">
        <v>7105</v>
      </c>
      <c r="P545">
        <v>3494</v>
      </c>
    </row>
    <row r="546" spans="15:16" x14ac:dyDescent="0.45">
      <c r="O546" t="s">
        <v>7106</v>
      </c>
      <c r="P546">
        <v>3305</v>
      </c>
    </row>
    <row r="547" spans="15:16" x14ac:dyDescent="0.45">
      <c r="O547" t="s">
        <v>7107</v>
      </c>
      <c r="P547">
        <v>3898</v>
      </c>
    </row>
    <row r="548" spans="15:16" x14ac:dyDescent="0.45">
      <c r="O548" t="s">
        <v>7108</v>
      </c>
      <c r="P548">
        <v>3777</v>
      </c>
    </row>
    <row r="549" spans="15:16" x14ac:dyDescent="0.45">
      <c r="O549" t="s">
        <v>7109</v>
      </c>
      <c r="P549">
        <v>3311</v>
      </c>
    </row>
    <row r="550" spans="15:16" x14ac:dyDescent="0.45">
      <c r="O550" t="s">
        <v>7110</v>
      </c>
      <c r="P550">
        <v>3691</v>
      </c>
    </row>
    <row r="551" spans="15:16" x14ac:dyDescent="0.45">
      <c r="O551" t="s">
        <v>7111</v>
      </c>
      <c r="P551">
        <v>3585</v>
      </c>
    </row>
    <row r="552" spans="15:16" x14ac:dyDescent="0.45">
      <c r="O552" t="s">
        <v>7112</v>
      </c>
      <c r="P552">
        <v>3450</v>
      </c>
    </row>
    <row r="553" spans="15:16" x14ac:dyDescent="0.45">
      <c r="O553" t="s">
        <v>7113</v>
      </c>
      <c r="P553">
        <v>3981</v>
      </c>
    </row>
    <row r="554" spans="15:16" x14ac:dyDescent="0.45">
      <c r="O554" t="s">
        <v>7114</v>
      </c>
      <c r="P554">
        <v>3377</v>
      </c>
    </row>
    <row r="555" spans="15:16" x14ac:dyDescent="0.45">
      <c r="O555" t="s">
        <v>7115</v>
      </c>
      <c r="P555">
        <v>3714</v>
      </c>
    </row>
    <row r="556" spans="15:16" x14ac:dyDescent="0.45">
      <c r="O556" t="s">
        <v>7116</v>
      </c>
      <c r="P556">
        <v>3537</v>
      </c>
    </row>
    <row r="557" spans="15:16" x14ac:dyDescent="0.45">
      <c r="O557" t="s">
        <v>7117</v>
      </c>
      <c r="P557">
        <v>3162</v>
      </c>
    </row>
    <row r="558" spans="15:16" x14ac:dyDescent="0.45">
      <c r="O558" t="s">
        <v>7118</v>
      </c>
      <c r="P558">
        <v>3145</v>
      </c>
    </row>
    <row r="559" spans="15:16" x14ac:dyDescent="0.45">
      <c r="O559" t="s">
        <v>7119</v>
      </c>
      <c r="P559">
        <v>3161</v>
      </c>
    </row>
    <row r="560" spans="15:16" x14ac:dyDescent="0.45">
      <c r="O560" t="s">
        <v>7120</v>
      </c>
      <c r="P560">
        <v>3161</v>
      </c>
    </row>
    <row r="561" spans="15:16" x14ac:dyDescent="0.45">
      <c r="O561" t="s">
        <v>7121</v>
      </c>
      <c r="P561">
        <v>3162</v>
      </c>
    </row>
    <row r="562" spans="15:16" x14ac:dyDescent="0.45">
      <c r="O562" t="s">
        <v>7122</v>
      </c>
      <c r="P562">
        <v>3660</v>
      </c>
    </row>
    <row r="563" spans="15:16" x14ac:dyDescent="0.45">
      <c r="O563" t="s">
        <v>7123</v>
      </c>
      <c r="P563">
        <v>3314</v>
      </c>
    </row>
    <row r="564" spans="15:16" x14ac:dyDescent="0.45">
      <c r="O564" t="s">
        <v>7124</v>
      </c>
      <c r="P564">
        <v>3145</v>
      </c>
    </row>
    <row r="565" spans="15:16" x14ac:dyDescent="0.45">
      <c r="O565" t="s">
        <v>7125</v>
      </c>
      <c r="P565">
        <v>3221</v>
      </c>
    </row>
    <row r="566" spans="15:16" x14ac:dyDescent="0.45">
      <c r="O566" t="s">
        <v>7126</v>
      </c>
      <c r="P566">
        <v>3148</v>
      </c>
    </row>
    <row r="567" spans="15:16" x14ac:dyDescent="0.45">
      <c r="O567" t="s">
        <v>7127</v>
      </c>
      <c r="P567">
        <v>3148</v>
      </c>
    </row>
    <row r="568" spans="15:16" x14ac:dyDescent="0.45">
      <c r="O568" t="s">
        <v>7128</v>
      </c>
      <c r="P568">
        <v>3890</v>
      </c>
    </row>
    <row r="569" spans="15:16" x14ac:dyDescent="0.45">
      <c r="O569" t="s">
        <v>7129</v>
      </c>
      <c r="P569">
        <v>3352</v>
      </c>
    </row>
    <row r="570" spans="15:16" x14ac:dyDescent="0.45">
      <c r="O570" t="s">
        <v>7130</v>
      </c>
      <c r="P570">
        <v>3239</v>
      </c>
    </row>
    <row r="571" spans="15:16" x14ac:dyDescent="0.45">
      <c r="O571" t="s">
        <v>7131</v>
      </c>
      <c r="P571">
        <v>3318</v>
      </c>
    </row>
    <row r="572" spans="15:16" x14ac:dyDescent="0.45">
      <c r="O572" t="s">
        <v>7132</v>
      </c>
      <c r="P572">
        <v>3217</v>
      </c>
    </row>
    <row r="573" spans="15:16" x14ac:dyDescent="0.45">
      <c r="O573" t="s">
        <v>7133</v>
      </c>
      <c r="P573">
        <v>3695</v>
      </c>
    </row>
    <row r="574" spans="15:16" x14ac:dyDescent="0.45">
      <c r="O574" t="s">
        <v>7134</v>
      </c>
      <c r="P574">
        <v>3525</v>
      </c>
    </row>
    <row r="575" spans="15:16" x14ac:dyDescent="0.45">
      <c r="O575" t="s">
        <v>7135</v>
      </c>
      <c r="P575">
        <v>3379</v>
      </c>
    </row>
    <row r="576" spans="15:16" x14ac:dyDescent="0.45">
      <c r="O576" t="s">
        <v>7136</v>
      </c>
      <c r="P576">
        <v>3196</v>
      </c>
    </row>
    <row r="577" spans="15:16" x14ac:dyDescent="0.45">
      <c r="O577" t="s">
        <v>7137</v>
      </c>
      <c r="P577">
        <v>3196</v>
      </c>
    </row>
    <row r="578" spans="15:16" x14ac:dyDescent="0.45">
      <c r="O578" t="s">
        <v>7138</v>
      </c>
      <c r="P578">
        <v>3192</v>
      </c>
    </row>
    <row r="579" spans="15:16" x14ac:dyDescent="0.45">
      <c r="O579" t="s">
        <v>7139</v>
      </c>
      <c r="P579">
        <v>3192</v>
      </c>
    </row>
    <row r="580" spans="15:16" x14ac:dyDescent="0.45">
      <c r="O580" t="s">
        <v>7140</v>
      </c>
      <c r="P580">
        <v>3351</v>
      </c>
    </row>
    <row r="581" spans="15:16" x14ac:dyDescent="0.45">
      <c r="O581" t="s">
        <v>7141</v>
      </c>
      <c r="P581">
        <v>3434</v>
      </c>
    </row>
    <row r="582" spans="15:16" x14ac:dyDescent="0.45">
      <c r="O582" t="s">
        <v>7142</v>
      </c>
      <c r="P582">
        <v>3401</v>
      </c>
    </row>
    <row r="583" spans="15:16" x14ac:dyDescent="0.45">
      <c r="O583" t="s">
        <v>7143</v>
      </c>
      <c r="P583">
        <v>3678</v>
      </c>
    </row>
    <row r="584" spans="15:16" x14ac:dyDescent="0.45">
      <c r="O584" t="s">
        <v>7144</v>
      </c>
      <c r="P584">
        <v>3678</v>
      </c>
    </row>
    <row r="585" spans="15:16" x14ac:dyDescent="0.45">
      <c r="O585" t="s">
        <v>7145</v>
      </c>
      <c r="P585">
        <v>3725</v>
      </c>
    </row>
    <row r="586" spans="15:16" x14ac:dyDescent="0.45">
      <c r="O586" t="s">
        <v>7146</v>
      </c>
      <c r="P586">
        <v>3312</v>
      </c>
    </row>
    <row r="587" spans="15:16" x14ac:dyDescent="0.45">
      <c r="O587" t="s">
        <v>7147</v>
      </c>
      <c r="P587">
        <v>3451</v>
      </c>
    </row>
    <row r="588" spans="15:16" x14ac:dyDescent="0.45">
      <c r="O588" t="s">
        <v>7148</v>
      </c>
      <c r="P588">
        <v>3451</v>
      </c>
    </row>
    <row r="589" spans="15:16" x14ac:dyDescent="0.45">
      <c r="O589" t="s">
        <v>7149</v>
      </c>
      <c r="P589">
        <v>3824</v>
      </c>
    </row>
    <row r="590" spans="15:16" x14ac:dyDescent="0.45">
      <c r="O590" t="s">
        <v>7150</v>
      </c>
      <c r="P590">
        <v>3585</v>
      </c>
    </row>
    <row r="591" spans="15:16" x14ac:dyDescent="0.45">
      <c r="O591" t="s">
        <v>7151</v>
      </c>
      <c r="P591">
        <v>3683</v>
      </c>
    </row>
    <row r="592" spans="15:16" x14ac:dyDescent="0.45">
      <c r="O592" t="s">
        <v>7152</v>
      </c>
      <c r="P592">
        <v>3683</v>
      </c>
    </row>
    <row r="593" spans="15:16" x14ac:dyDescent="0.45">
      <c r="O593" t="s">
        <v>7153</v>
      </c>
      <c r="P593">
        <v>3544</v>
      </c>
    </row>
    <row r="594" spans="15:16" x14ac:dyDescent="0.45">
      <c r="O594" t="s">
        <v>7154</v>
      </c>
      <c r="P594">
        <v>3546</v>
      </c>
    </row>
    <row r="595" spans="15:16" x14ac:dyDescent="0.45">
      <c r="O595" t="s">
        <v>7155</v>
      </c>
      <c r="P595">
        <v>3756</v>
      </c>
    </row>
    <row r="596" spans="15:16" x14ac:dyDescent="0.45">
      <c r="O596" t="s">
        <v>7156</v>
      </c>
      <c r="P596">
        <v>3116</v>
      </c>
    </row>
    <row r="597" spans="15:16" x14ac:dyDescent="0.45">
      <c r="O597" t="s">
        <v>7157</v>
      </c>
      <c r="P597">
        <v>3525</v>
      </c>
    </row>
    <row r="598" spans="15:16" x14ac:dyDescent="0.45">
      <c r="O598" t="s">
        <v>7158</v>
      </c>
      <c r="P598">
        <v>3260</v>
      </c>
    </row>
    <row r="599" spans="15:16" x14ac:dyDescent="0.45">
      <c r="O599" t="s">
        <v>7159</v>
      </c>
      <c r="P599">
        <v>3775</v>
      </c>
    </row>
    <row r="600" spans="15:16" x14ac:dyDescent="0.45">
      <c r="O600" t="s">
        <v>7160</v>
      </c>
      <c r="P600">
        <v>3777</v>
      </c>
    </row>
    <row r="601" spans="15:16" x14ac:dyDescent="0.45">
      <c r="O601" t="s">
        <v>7161</v>
      </c>
      <c r="P601">
        <v>3842</v>
      </c>
    </row>
    <row r="602" spans="15:16" x14ac:dyDescent="0.45">
      <c r="O602" t="s">
        <v>7162</v>
      </c>
      <c r="P602">
        <v>3925</v>
      </c>
    </row>
    <row r="603" spans="15:16" x14ac:dyDescent="0.45">
      <c r="O603" t="s">
        <v>7163</v>
      </c>
      <c r="P603">
        <v>3373</v>
      </c>
    </row>
    <row r="604" spans="15:16" x14ac:dyDescent="0.45">
      <c r="O604" t="s">
        <v>7164</v>
      </c>
      <c r="P604">
        <v>3352</v>
      </c>
    </row>
    <row r="605" spans="15:16" x14ac:dyDescent="0.45">
      <c r="O605" t="s">
        <v>7165</v>
      </c>
      <c r="P605">
        <v>3352</v>
      </c>
    </row>
    <row r="606" spans="15:16" x14ac:dyDescent="0.45">
      <c r="O606" t="s">
        <v>7166</v>
      </c>
      <c r="P606">
        <v>3169</v>
      </c>
    </row>
    <row r="607" spans="15:16" x14ac:dyDescent="0.45">
      <c r="O607" t="s">
        <v>7167</v>
      </c>
      <c r="P607">
        <v>3430</v>
      </c>
    </row>
    <row r="608" spans="15:16" x14ac:dyDescent="0.45">
      <c r="O608" t="s">
        <v>7168</v>
      </c>
      <c r="P608">
        <v>3352</v>
      </c>
    </row>
    <row r="609" spans="15:16" x14ac:dyDescent="0.45">
      <c r="O609" t="s">
        <v>7169</v>
      </c>
      <c r="P609">
        <v>3168</v>
      </c>
    </row>
    <row r="610" spans="15:16" x14ac:dyDescent="0.45">
      <c r="O610" t="s">
        <v>7170</v>
      </c>
      <c r="P610">
        <v>3169</v>
      </c>
    </row>
    <row r="611" spans="15:16" x14ac:dyDescent="0.45">
      <c r="O611" t="s">
        <v>7171</v>
      </c>
      <c r="P611">
        <v>3409</v>
      </c>
    </row>
    <row r="612" spans="15:16" x14ac:dyDescent="0.45">
      <c r="O612" t="s">
        <v>7172</v>
      </c>
      <c r="P612">
        <v>3782</v>
      </c>
    </row>
    <row r="613" spans="15:16" x14ac:dyDescent="0.45">
      <c r="O613" t="s">
        <v>7173</v>
      </c>
      <c r="P613">
        <v>3875</v>
      </c>
    </row>
    <row r="614" spans="15:16" x14ac:dyDescent="0.45">
      <c r="O614" t="s">
        <v>7174</v>
      </c>
      <c r="P614">
        <v>3068</v>
      </c>
    </row>
    <row r="615" spans="15:16" x14ac:dyDescent="0.45">
      <c r="O615" t="s">
        <v>7175</v>
      </c>
      <c r="P615">
        <v>3222</v>
      </c>
    </row>
    <row r="616" spans="15:16" x14ac:dyDescent="0.45">
      <c r="O616" t="s">
        <v>7176</v>
      </c>
      <c r="P616">
        <v>3658</v>
      </c>
    </row>
    <row r="617" spans="15:16" x14ac:dyDescent="0.45">
      <c r="O617" t="s">
        <v>7177</v>
      </c>
      <c r="P617">
        <v>3315</v>
      </c>
    </row>
    <row r="618" spans="15:16" x14ac:dyDescent="0.45">
      <c r="O618" t="s">
        <v>7178</v>
      </c>
      <c r="P618">
        <v>3822</v>
      </c>
    </row>
    <row r="619" spans="15:16" x14ac:dyDescent="0.45">
      <c r="O619" t="s">
        <v>7179</v>
      </c>
      <c r="P619">
        <v>3889</v>
      </c>
    </row>
    <row r="620" spans="15:16" x14ac:dyDescent="0.45">
      <c r="O620" t="s">
        <v>7180</v>
      </c>
      <c r="P620">
        <v>3370</v>
      </c>
    </row>
    <row r="621" spans="15:16" x14ac:dyDescent="0.45">
      <c r="O621" t="s">
        <v>7181</v>
      </c>
      <c r="P621">
        <v>3978</v>
      </c>
    </row>
    <row r="622" spans="15:16" x14ac:dyDescent="0.45">
      <c r="O622" t="s">
        <v>7182</v>
      </c>
      <c r="P622">
        <v>3978</v>
      </c>
    </row>
    <row r="623" spans="15:16" x14ac:dyDescent="0.45">
      <c r="O623" t="s">
        <v>7183</v>
      </c>
      <c r="P623">
        <v>3851</v>
      </c>
    </row>
    <row r="624" spans="15:16" x14ac:dyDescent="0.45">
      <c r="O624" t="s">
        <v>7184</v>
      </c>
      <c r="P624">
        <v>3461</v>
      </c>
    </row>
    <row r="625" spans="15:16" x14ac:dyDescent="0.45">
      <c r="O625" t="s">
        <v>7185</v>
      </c>
      <c r="P625">
        <v>3825</v>
      </c>
    </row>
    <row r="626" spans="15:16" x14ac:dyDescent="0.45">
      <c r="O626" t="s">
        <v>7186</v>
      </c>
      <c r="P626">
        <v>3851</v>
      </c>
    </row>
    <row r="627" spans="15:16" x14ac:dyDescent="0.45">
      <c r="O627" t="s">
        <v>7187</v>
      </c>
      <c r="P627">
        <v>3442</v>
      </c>
    </row>
    <row r="628" spans="15:16" x14ac:dyDescent="0.45">
      <c r="O628" t="s">
        <v>7188</v>
      </c>
      <c r="P628">
        <v>3862</v>
      </c>
    </row>
    <row r="629" spans="15:16" x14ac:dyDescent="0.45">
      <c r="O629" t="s">
        <v>7189</v>
      </c>
      <c r="P629">
        <v>3900</v>
      </c>
    </row>
    <row r="630" spans="15:16" x14ac:dyDescent="0.45">
      <c r="O630" t="s">
        <v>7190</v>
      </c>
      <c r="P630">
        <v>3266</v>
      </c>
    </row>
    <row r="631" spans="15:16" x14ac:dyDescent="0.45">
      <c r="O631" t="s">
        <v>7191</v>
      </c>
      <c r="P631">
        <v>3644</v>
      </c>
    </row>
    <row r="632" spans="15:16" x14ac:dyDescent="0.45">
      <c r="O632" t="s">
        <v>7192</v>
      </c>
      <c r="P632">
        <v>3644</v>
      </c>
    </row>
    <row r="633" spans="15:16" x14ac:dyDescent="0.45">
      <c r="O633" t="s">
        <v>7193</v>
      </c>
      <c r="P633">
        <v>3266</v>
      </c>
    </row>
    <row r="634" spans="15:16" x14ac:dyDescent="0.45">
      <c r="O634" t="s">
        <v>7194</v>
      </c>
      <c r="P634">
        <v>3898</v>
      </c>
    </row>
    <row r="635" spans="15:16" x14ac:dyDescent="0.45">
      <c r="O635" t="s">
        <v>7195</v>
      </c>
      <c r="P635">
        <v>3058</v>
      </c>
    </row>
    <row r="636" spans="15:16" x14ac:dyDescent="0.45">
      <c r="O636" t="s">
        <v>7196</v>
      </c>
      <c r="P636">
        <v>3058</v>
      </c>
    </row>
    <row r="637" spans="15:16" x14ac:dyDescent="0.45">
      <c r="O637" t="s">
        <v>7197</v>
      </c>
      <c r="P637">
        <v>3546</v>
      </c>
    </row>
    <row r="638" spans="15:16" x14ac:dyDescent="0.45">
      <c r="O638" t="s">
        <v>7198</v>
      </c>
      <c r="P638">
        <v>3475</v>
      </c>
    </row>
    <row r="639" spans="15:16" x14ac:dyDescent="0.45">
      <c r="O639" t="s">
        <v>7199</v>
      </c>
      <c r="P639">
        <v>3781</v>
      </c>
    </row>
    <row r="640" spans="15:16" x14ac:dyDescent="0.45">
      <c r="O640" t="s">
        <v>7200</v>
      </c>
      <c r="P640">
        <v>3030</v>
      </c>
    </row>
    <row r="641" spans="15:16" x14ac:dyDescent="0.45">
      <c r="O641" t="s">
        <v>7201</v>
      </c>
      <c r="P641">
        <v>3285</v>
      </c>
    </row>
    <row r="642" spans="15:16" x14ac:dyDescent="0.45">
      <c r="O642" t="s">
        <v>7202</v>
      </c>
      <c r="P642">
        <v>3364</v>
      </c>
    </row>
    <row r="643" spans="15:16" x14ac:dyDescent="0.45">
      <c r="O643" t="s">
        <v>7203</v>
      </c>
      <c r="P643">
        <v>3568</v>
      </c>
    </row>
    <row r="644" spans="15:16" x14ac:dyDescent="0.45">
      <c r="O644" t="s">
        <v>7204</v>
      </c>
      <c r="P644">
        <v>3340</v>
      </c>
    </row>
    <row r="645" spans="15:16" x14ac:dyDescent="0.45">
      <c r="O645" t="s">
        <v>7205</v>
      </c>
      <c r="P645">
        <v>3542</v>
      </c>
    </row>
    <row r="646" spans="15:16" x14ac:dyDescent="0.45">
      <c r="O646" t="s">
        <v>7206</v>
      </c>
      <c r="P646">
        <v>3250</v>
      </c>
    </row>
    <row r="647" spans="15:16" x14ac:dyDescent="0.45">
      <c r="O647" t="s">
        <v>7207</v>
      </c>
      <c r="P647">
        <v>3707</v>
      </c>
    </row>
    <row r="648" spans="15:16" x14ac:dyDescent="0.45">
      <c r="O648" t="s">
        <v>7208</v>
      </c>
      <c r="P648">
        <v>3250</v>
      </c>
    </row>
    <row r="649" spans="15:16" x14ac:dyDescent="0.45">
      <c r="O649" t="s">
        <v>7209</v>
      </c>
      <c r="P649">
        <v>3250</v>
      </c>
    </row>
    <row r="650" spans="15:16" x14ac:dyDescent="0.45">
      <c r="O650" t="s">
        <v>7210</v>
      </c>
      <c r="P650">
        <v>3559</v>
      </c>
    </row>
    <row r="651" spans="15:16" x14ac:dyDescent="0.45">
      <c r="O651" t="s">
        <v>7211</v>
      </c>
      <c r="P651">
        <v>3342</v>
      </c>
    </row>
    <row r="652" spans="15:16" x14ac:dyDescent="0.45">
      <c r="O652" t="s">
        <v>7212</v>
      </c>
      <c r="P652">
        <v>3770</v>
      </c>
    </row>
    <row r="653" spans="15:16" x14ac:dyDescent="0.45">
      <c r="O653" t="s">
        <v>7213</v>
      </c>
      <c r="P653">
        <v>3315</v>
      </c>
    </row>
    <row r="654" spans="15:16" x14ac:dyDescent="0.45">
      <c r="O654" t="s">
        <v>7214</v>
      </c>
      <c r="P654">
        <v>3494</v>
      </c>
    </row>
    <row r="655" spans="15:16" x14ac:dyDescent="0.45">
      <c r="O655" t="s">
        <v>7215</v>
      </c>
      <c r="P655">
        <v>3066</v>
      </c>
    </row>
    <row r="656" spans="15:16" x14ac:dyDescent="0.45">
      <c r="O656" t="s">
        <v>7216</v>
      </c>
      <c r="P656">
        <v>3066</v>
      </c>
    </row>
    <row r="657" spans="15:16" x14ac:dyDescent="0.45">
      <c r="O657" t="s">
        <v>7217</v>
      </c>
      <c r="P657">
        <v>3630</v>
      </c>
    </row>
    <row r="658" spans="15:16" x14ac:dyDescent="0.45">
      <c r="O658" t="s">
        <v>7218</v>
      </c>
      <c r="P658">
        <v>3889</v>
      </c>
    </row>
    <row r="659" spans="15:16" x14ac:dyDescent="0.45">
      <c r="O659" t="s">
        <v>7219</v>
      </c>
      <c r="P659">
        <v>3384</v>
      </c>
    </row>
    <row r="660" spans="15:16" x14ac:dyDescent="0.45">
      <c r="O660" t="s">
        <v>7220</v>
      </c>
      <c r="P660">
        <v>3303</v>
      </c>
    </row>
    <row r="661" spans="15:16" x14ac:dyDescent="0.45">
      <c r="O661" t="s">
        <v>7221</v>
      </c>
      <c r="P661">
        <v>3286</v>
      </c>
    </row>
    <row r="662" spans="15:16" x14ac:dyDescent="0.45">
      <c r="O662" t="s">
        <v>7222</v>
      </c>
      <c r="P662">
        <v>3633</v>
      </c>
    </row>
    <row r="663" spans="15:16" x14ac:dyDescent="0.45">
      <c r="O663" t="s">
        <v>7223</v>
      </c>
      <c r="P663">
        <v>3227</v>
      </c>
    </row>
    <row r="664" spans="15:16" x14ac:dyDescent="0.45">
      <c r="O664" t="s">
        <v>7224</v>
      </c>
      <c r="P664">
        <v>3318</v>
      </c>
    </row>
    <row r="665" spans="15:16" x14ac:dyDescent="0.45">
      <c r="O665" t="s">
        <v>7225</v>
      </c>
      <c r="P665">
        <v>3315</v>
      </c>
    </row>
    <row r="666" spans="15:16" x14ac:dyDescent="0.45">
      <c r="O666" t="s">
        <v>7226</v>
      </c>
      <c r="P666">
        <v>3048</v>
      </c>
    </row>
    <row r="667" spans="15:16" x14ac:dyDescent="0.45">
      <c r="O667" t="s">
        <v>7227</v>
      </c>
      <c r="P667">
        <v>3616</v>
      </c>
    </row>
    <row r="668" spans="15:16" x14ac:dyDescent="0.45">
      <c r="O668" t="s">
        <v>7228</v>
      </c>
      <c r="P668">
        <v>3629</v>
      </c>
    </row>
    <row r="669" spans="15:16" x14ac:dyDescent="0.45">
      <c r="O669" t="s">
        <v>7229</v>
      </c>
      <c r="P669">
        <v>3461</v>
      </c>
    </row>
    <row r="670" spans="15:16" x14ac:dyDescent="0.45">
      <c r="O670" t="s">
        <v>7230</v>
      </c>
      <c r="P670">
        <v>3860</v>
      </c>
    </row>
    <row r="671" spans="15:16" x14ac:dyDescent="0.45">
      <c r="O671" t="s">
        <v>7231</v>
      </c>
      <c r="P671">
        <v>3477</v>
      </c>
    </row>
    <row r="672" spans="15:16" x14ac:dyDescent="0.45">
      <c r="O672" t="s">
        <v>7232</v>
      </c>
      <c r="P672">
        <v>3477</v>
      </c>
    </row>
    <row r="673" spans="15:16" x14ac:dyDescent="0.45">
      <c r="O673" t="s">
        <v>7233</v>
      </c>
      <c r="P673">
        <v>3825</v>
      </c>
    </row>
    <row r="674" spans="15:16" x14ac:dyDescent="0.45">
      <c r="O674" t="s">
        <v>7234</v>
      </c>
      <c r="P674">
        <v>3268</v>
      </c>
    </row>
    <row r="675" spans="15:16" x14ac:dyDescent="0.45">
      <c r="O675" t="s">
        <v>7235</v>
      </c>
      <c r="P675">
        <v>3480</v>
      </c>
    </row>
    <row r="676" spans="15:16" x14ac:dyDescent="0.45">
      <c r="O676" t="s">
        <v>7236</v>
      </c>
      <c r="P676">
        <v>3814</v>
      </c>
    </row>
    <row r="677" spans="15:16" x14ac:dyDescent="0.45">
      <c r="O677" t="s">
        <v>7237</v>
      </c>
      <c r="P677">
        <v>3480</v>
      </c>
    </row>
    <row r="678" spans="15:16" x14ac:dyDescent="0.45">
      <c r="O678" t="s">
        <v>7238</v>
      </c>
      <c r="P678">
        <v>3480</v>
      </c>
    </row>
    <row r="679" spans="15:16" x14ac:dyDescent="0.45">
      <c r="O679" t="s">
        <v>7239</v>
      </c>
      <c r="P679">
        <v>3249</v>
      </c>
    </row>
    <row r="680" spans="15:16" x14ac:dyDescent="0.45">
      <c r="O680" t="s">
        <v>7240</v>
      </c>
      <c r="P680">
        <v>3691</v>
      </c>
    </row>
    <row r="681" spans="15:16" x14ac:dyDescent="0.45">
      <c r="O681" t="s">
        <v>7241</v>
      </c>
      <c r="P681">
        <v>3352</v>
      </c>
    </row>
    <row r="682" spans="15:16" x14ac:dyDescent="0.45">
      <c r="O682" t="s">
        <v>7242</v>
      </c>
      <c r="P682">
        <v>3984</v>
      </c>
    </row>
    <row r="683" spans="15:16" x14ac:dyDescent="0.45">
      <c r="O683" t="s">
        <v>7243</v>
      </c>
      <c r="P683">
        <v>3214</v>
      </c>
    </row>
    <row r="684" spans="15:16" x14ac:dyDescent="0.45">
      <c r="O684" t="s">
        <v>7244</v>
      </c>
      <c r="P684">
        <v>3311</v>
      </c>
    </row>
    <row r="685" spans="15:16" x14ac:dyDescent="0.45">
      <c r="O685" t="s">
        <v>7245</v>
      </c>
      <c r="P685">
        <v>3551</v>
      </c>
    </row>
    <row r="686" spans="15:16" x14ac:dyDescent="0.45">
      <c r="O686" t="s">
        <v>7246</v>
      </c>
      <c r="P686">
        <v>3683</v>
      </c>
    </row>
    <row r="687" spans="15:16" x14ac:dyDescent="0.45">
      <c r="O687" t="s">
        <v>7247</v>
      </c>
      <c r="P687">
        <v>3984</v>
      </c>
    </row>
    <row r="688" spans="15:16" x14ac:dyDescent="0.45">
      <c r="O688" t="s">
        <v>7248</v>
      </c>
      <c r="P688">
        <v>3559</v>
      </c>
    </row>
    <row r="689" spans="15:16" x14ac:dyDescent="0.45">
      <c r="O689" t="s">
        <v>7249</v>
      </c>
      <c r="P689">
        <v>3558</v>
      </c>
    </row>
    <row r="690" spans="15:16" x14ac:dyDescent="0.45">
      <c r="O690" t="s">
        <v>7250</v>
      </c>
      <c r="P690">
        <v>3254</v>
      </c>
    </row>
    <row r="691" spans="15:16" x14ac:dyDescent="0.45">
      <c r="O691" t="s">
        <v>7251</v>
      </c>
      <c r="P691">
        <v>3888</v>
      </c>
    </row>
    <row r="692" spans="15:16" x14ac:dyDescent="0.45">
      <c r="O692" t="s">
        <v>7252</v>
      </c>
      <c r="P692">
        <v>3707</v>
      </c>
    </row>
    <row r="693" spans="15:16" x14ac:dyDescent="0.45">
      <c r="O693" t="s">
        <v>7253</v>
      </c>
      <c r="P693">
        <v>3249</v>
      </c>
    </row>
    <row r="694" spans="15:16" x14ac:dyDescent="0.45">
      <c r="O694" t="s">
        <v>7254</v>
      </c>
      <c r="P694">
        <v>3631</v>
      </c>
    </row>
    <row r="695" spans="15:16" x14ac:dyDescent="0.45">
      <c r="O695" t="s">
        <v>7255</v>
      </c>
      <c r="P695">
        <v>3631</v>
      </c>
    </row>
    <row r="696" spans="15:16" x14ac:dyDescent="0.45">
      <c r="O696" t="s">
        <v>7256</v>
      </c>
      <c r="P696">
        <v>3523</v>
      </c>
    </row>
    <row r="697" spans="15:16" x14ac:dyDescent="0.45">
      <c r="O697" t="s">
        <v>7257</v>
      </c>
      <c r="P697">
        <v>3101</v>
      </c>
    </row>
    <row r="698" spans="15:16" x14ac:dyDescent="0.45">
      <c r="O698" t="s">
        <v>7258</v>
      </c>
      <c r="P698">
        <v>3465</v>
      </c>
    </row>
    <row r="699" spans="15:16" x14ac:dyDescent="0.45">
      <c r="O699" t="s">
        <v>7259</v>
      </c>
      <c r="P699">
        <v>3099</v>
      </c>
    </row>
    <row r="700" spans="15:16" x14ac:dyDescent="0.45">
      <c r="O700" t="s">
        <v>7260</v>
      </c>
      <c r="P700">
        <v>3862</v>
      </c>
    </row>
    <row r="701" spans="15:16" x14ac:dyDescent="0.45">
      <c r="O701" t="s">
        <v>7261</v>
      </c>
      <c r="P701">
        <v>3506</v>
      </c>
    </row>
    <row r="702" spans="15:16" x14ac:dyDescent="0.45">
      <c r="O702" t="s">
        <v>7262</v>
      </c>
      <c r="P702">
        <v>3922</v>
      </c>
    </row>
    <row r="703" spans="15:16" x14ac:dyDescent="0.45">
      <c r="O703" t="s">
        <v>7263</v>
      </c>
      <c r="P703">
        <v>3268</v>
      </c>
    </row>
    <row r="704" spans="15:16" x14ac:dyDescent="0.45">
      <c r="O704" t="s">
        <v>7264</v>
      </c>
      <c r="P704">
        <v>3857</v>
      </c>
    </row>
    <row r="705" spans="15:16" x14ac:dyDescent="0.45">
      <c r="O705" t="s">
        <v>7265</v>
      </c>
      <c r="P705">
        <v>3465</v>
      </c>
    </row>
    <row r="706" spans="15:16" x14ac:dyDescent="0.45">
      <c r="O706" t="s">
        <v>7266</v>
      </c>
      <c r="P706">
        <v>3064</v>
      </c>
    </row>
    <row r="707" spans="15:16" x14ac:dyDescent="0.45">
      <c r="O707" t="s">
        <v>7267</v>
      </c>
      <c r="P707">
        <v>3977</v>
      </c>
    </row>
    <row r="708" spans="15:16" x14ac:dyDescent="0.45">
      <c r="O708" t="s">
        <v>7268</v>
      </c>
      <c r="P708">
        <v>3977</v>
      </c>
    </row>
    <row r="709" spans="15:16" x14ac:dyDescent="0.45">
      <c r="O709" t="s">
        <v>7269</v>
      </c>
      <c r="P709">
        <v>3977</v>
      </c>
    </row>
    <row r="710" spans="15:16" x14ac:dyDescent="0.45">
      <c r="O710" t="s">
        <v>7270</v>
      </c>
      <c r="P710">
        <v>3977</v>
      </c>
    </row>
    <row r="711" spans="15:16" x14ac:dyDescent="0.45">
      <c r="O711" t="s">
        <v>7271</v>
      </c>
      <c r="P711">
        <v>3977</v>
      </c>
    </row>
    <row r="712" spans="15:16" x14ac:dyDescent="0.45">
      <c r="O712" t="s">
        <v>7272</v>
      </c>
      <c r="P712">
        <v>3669</v>
      </c>
    </row>
    <row r="713" spans="15:16" x14ac:dyDescent="0.45">
      <c r="O713" t="s">
        <v>7273</v>
      </c>
      <c r="P713">
        <v>3551</v>
      </c>
    </row>
    <row r="714" spans="15:16" x14ac:dyDescent="0.45">
      <c r="O714" t="s">
        <v>7274</v>
      </c>
      <c r="P714">
        <v>3666</v>
      </c>
    </row>
    <row r="715" spans="15:16" x14ac:dyDescent="0.45">
      <c r="O715" t="s">
        <v>7275</v>
      </c>
      <c r="P715">
        <v>3121</v>
      </c>
    </row>
    <row r="716" spans="15:16" x14ac:dyDescent="0.45">
      <c r="O716" t="s">
        <v>7276</v>
      </c>
      <c r="P716">
        <v>3322</v>
      </c>
    </row>
    <row r="717" spans="15:16" x14ac:dyDescent="0.45">
      <c r="O717" t="s">
        <v>7277</v>
      </c>
      <c r="P717">
        <v>3363</v>
      </c>
    </row>
    <row r="718" spans="15:16" x14ac:dyDescent="0.45">
      <c r="O718" t="s">
        <v>7278</v>
      </c>
      <c r="P718">
        <v>3363</v>
      </c>
    </row>
    <row r="719" spans="15:16" x14ac:dyDescent="0.45">
      <c r="O719" t="s">
        <v>7279</v>
      </c>
      <c r="P719">
        <v>3919</v>
      </c>
    </row>
    <row r="720" spans="15:16" x14ac:dyDescent="0.45">
      <c r="O720" t="s">
        <v>7280</v>
      </c>
      <c r="P720">
        <v>3193</v>
      </c>
    </row>
    <row r="721" spans="15:16" x14ac:dyDescent="0.45">
      <c r="O721" t="s">
        <v>7281</v>
      </c>
      <c r="P721">
        <v>3858</v>
      </c>
    </row>
    <row r="722" spans="15:16" x14ac:dyDescent="0.45">
      <c r="O722" t="s">
        <v>7282</v>
      </c>
      <c r="P722">
        <v>3862</v>
      </c>
    </row>
    <row r="723" spans="15:16" x14ac:dyDescent="0.45">
      <c r="O723" t="s">
        <v>7283</v>
      </c>
      <c r="P723">
        <v>3041</v>
      </c>
    </row>
    <row r="724" spans="15:16" x14ac:dyDescent="0.45">
      <c r="O724" t="s">
        <v>7284</v>
      </c>
      <c r="P724">
        <v>3373</v>
      </c>
    </row>
    <row r="725" spans="15:16" x14ac:dyDescent="0.45">
      <c r="O725" t="s">
        <v>7285</v>
      </c>
      <c r="P725">
        <v>3283</v>
      </c>
    </row>
    <row r="726" spans="15:16" x14ac:dyDescent="0.45">
      <c r="O726" t="s">
        <v>7286</v>
      </c>
      <c r="P726">
        <v>3821</v>
      </c>
    </row>
    <row r="727" spans="15:16" x14ac:dyDescent="0.45">
      <c r="O727" t="s">
        <v>7287</v>
      </c>
      <c r="P727">
        <v>3377</v>
      </c>
    </row>
    <row r="728" spans="15:16" x14ac:dyDescent="0.45">
      <c r="O728" t="s">
        <v>7288</v>
      </c>
      <c r="P728">
        <v>3301</v>
      </c>
    </row>
    <row r="729" spans="15:16" x14ac:dyDescent="0.45">
      <c r="O729" t="s">
        <v>7289</v>
      </c>
      <c r="P729">
        <v>3136</v>
      </c>
    </row>
    <row r="730" spans="15:16" x14ac:dyDescent="0.45">
      <c r="O730" t="s">
        <v>7290</v>
      </c>
      <c r="P730">
        <v>3136</v>
      </c>
    </row>
    <row r="731" spans="15:16" x14ac:dyDescent="0.45">
      <c r="O731" t="s">
        <v>7291</v>
      </c>
      <c r="P731">
        <v>3136</v>
      </c>
    </row>
    <row r="732" spans="15:16" x14ac:dyDescent="0.45">
      <c r="O732" t="s">
        <v>7292</v>
      </c>
      <c r="P732">
        <v>3136</v>
      </c>
    </row>
    <row r="733" spans="15:16" x14ac:dyDescent="0.45">
      <c r="O733" t="s">
        <v>7293</v>
      </c>
      <c r="P733">
        <v>3393</v>
      </c>
    </row>
    <row r="734" spans="15:16" x14ac:dyDescent="0.45">
      <c r="O734" t="s">
        <v>7294</v>
      </c>
      <c r="P734">
        <v>3714</v>
      </c>
    </row>
    <row r="735" spans="15:16" x14ac:dyDescent="0.45">
      <c r="O735" t="s">
        <v>7295</v>
      </c>
      <c r="P735">
        <v>3265</v>
      </c>
    </row>
    <row r="736" spans="15:16" x14ac:dyDescent="0.45">
      <c r="O736" t="s">
        <v>7296</v>
      </c>
      <c r="P736">
        <v>3705</v>
      </c>
    </row>
    <row r="737" spans="15:16" x14ac:dyDescent="0.45">
      <c r="O737" t="s">
        <v>7297</v>
      </c>
      <c r="P737">
        <v>3530</v>
      </c>
    </row>
    <row r="738" spans="15:16" x14ac:dyDescent="0.45">
      <c r="O738" t="s">
        <v>7298</v>
      </c>
      <c r="P738">
        <v>3315</v>
      </c>
    </row>
    <row r="739" spans="15:16" x14ac:dyDescent="0.45">
      <c r="O739" t="s">
        <v>7299</v>
      </c>
      <c r="P739">
        <v>3568</v>
      </c>
    </row>
    <row r="740" spans="15:16" x14ac:dyDescent="0.45">
      <c r="O740" t="s">
        <v>7300</v>
      </c>
      <c r="P740">
        <v>3496</v>
      </c>
    </row>
    <row r="741" spans="15:16" x14ac:dyDescent="0.45">
      <c r="O741" t="s">
        <v>7301</v>
      </c>
      <c r="P741">
        <v>3251</v>
      </c>
    </row>
    <row r="742" spans="15:16" x14ac:dyDescent="0.45">
      <c r="O742" t="s">
        <v>7302</v>
      </c>
      <c r="P742">
        <v>3251</v>
      </c>
    </row>
    <row r="743" spans="15:16" x14ac:dyDescent="0.45">
      <c r="O743" t="s">
        <v>7303</v>
      </c>
      <c r="P743">
        <v>3268</v>
      </c>
    </row>
    <row r="744" spans="15:16" x14ac:dyDescent="0.45">
      <c r="O744" t="s">
        <v>7304</v>
      </c>
      <c r="P744">
        <v>3268</v>
      </c>
    </row>
    <row r="745" spans="15:16" x14ac:dyDescent="0.45">
      <c r="O745" t="s">
        <v>7305</v>
      </c>
      <c r="P745">
        <v>3222</v>
      </c>
    </row>
    <row r="746" spans="15:16" x14ac:dyDescent="0.45">
      <c r="O746" t="s">
        <v>7306</v>
      </c>
      <c r="P746">
        <v>3483</v>
      </c>
    </row>
    <row r="747" spans="15:16" x14ac:dyDescent="0.45">
      <c r="O747" t="s">
        <v>7307</v>
      </c>
      <c r="P747">
        <v>3385</v>
      </c>
    </row>
    <row r="748" spans="15:16" x14ac:dyDescent="0.45">
      <c r="O748" t="s">
        <v>7308</v>
      </c>
      <c r="P748">
        <v>3465</v>
      </c>
    </row>
    <row r="749" spans="15:16" x14ac:dyDescent="0.45">
      <c r="O749" t="s">
        <v>7309</v>
      </c>
      <c r="P749">
        <v>3341</v>
      </c>
    </row>
    <row r="750" spans="15:16" x14ac:dyDescent="0.45">
      <c r="O750" t="s">
        <v>7310</v>
      </c>
      <c r="P750">
        <v>3047</v>
      </c>
    </row>
    <row r="751" spans="15:16" x14ac:dyDescent="0.45">
      <c r="O751" t="s">
        <v>7311</v>
      </c>
      <c r="P751">
        <v>3981</v>
      </c>
    </row>
    <row r="752" spans="15:16" x14ac:dyDescent="0.45">
      <c r="O752" t="s">
        <v>7312</v>
      </c>
      <c r="P752">
        <v>3568</v>
      </c>
    </row>
    <row r="753" spans="15:16" x14ac:dyDescent="0.45">
      <c r="O753" t="s">
        <v>7313</v>
      </c>
      <c r="P753">
        <v>3477</v>
      </c>
    </row>
    <row r="754" spans="15:16" x14ac:dyDescent="0.45">
      <c r="O754" t="s">
        <v>7314</v>
      </c>
      <c r="P754">
        <v>3992</v>
      </c>
    </row>
    <row r="755" spans="15:16" x14ac:dyDescent="0.45">
      <c r="O755" t="s">
        <v>7315</v>
      </c>
      <c r="P755">
        <v>3175</v>
      </c>
    </row>
    <row r="756" spans="15:16" x14ac:dyDescent="0.45">
      <c r="O756" t="s">
        <v>7316</v>
      </c>
      <c r="P756">
        <v>3175</v>
      </c>
    </row>
    <row r="757" spans="15:16" x14ac:dyDescent="0.45">
      <c r="O757" t="s">
        <v>7317</v>
      </c>
      <c r="P757">
        <v>3175</v>
      </c>
    </row>
    <row r="758" spans="15:16" x14ac:dyDescent="0.45">
      <c r="O758" t="s">
        <v>7318</v>
      </c>
      <c r="P758">
        <v>3175</v>
      </c>
    </row>
    <row r="759" spans="15:16" x14ac:dyDescent="0.45">
      <c r="O759" t="s">
        <v>7319</v>
      </c>
      <c r="P759">
        <v>3737</v>
      </c>
    </row>
    <row r="760" spans="15:16" x14ac:dyDescent="0.45">
      <c r="O760" t="s">
        <v>7320</v>
      </c>
      <c r="P760">
        <v>3862</v>
      </c>
    </row>
    <row r="761" spans="15:16" x14ac:dyDescent="0.45">
      <c r="O761" t="s">
        <v>7321</v>
      </c>
      <c r="P761">
        <v>3340</v>
      </c>
    </row>
    <row r="762" spans="15:16" x14ac:dyDescent="0.45">
      <c r="O762" t="s">
        <v>7322</v>
      </c>
      <c r="P762">
        <v>3871</v>
      </c>
    </row>
    <row r="763" spans="15:16" x14ac:dyDescent="0.45">
      <c r="O763" t="s">
        <v>7323</v>
      </c>
      <c r="P763">
        <v>3145</v>
      </c>
    </row>
    <row r="764" spans="15:16" x14ac:dyDescent="0.45">
      <c r="O764" t="s">
        <v>7324</v>
      </c>
      <c r="P764">
        <v>3145</v>
      </c>
    </row>
    <row r="765" spans="15:16" x14ac:dyDescent="0.45">
      <c r="O765" t="s">
        <v>7325</v>
      </c>
      <c r="P765">
        <v>3271</v>
      </c>
    </row>
    <row r="766" spans="15:16" x14ac:dyDescent="0.45">
      <c r="O766" t="s">
        <v>7326</v>
      </c>
      <c r="P766">
        <v>3822</v>
      </c>
    </row>
    <row r="767" spans="15:16" x14ac:dyDescent="0.45">
      <c r="O767" t="s">
        <v>7327</v>
      </c>
      <c r="P767">
        <v>3756</v>
      </c>
    </row>
    <row r="768" spans="15:16" x14ac:dyDescent="0.45">
      <c r="O768" t="s">
        <v>7328</v>
      </c>
      <c r="P768">
        <v>3851</v>
      </c>
    </row>
    <row r="769" spans="15:16" x14ac:dyDescent="0.45">
      <c r="O769" t="s">
        <v>7329</v>
      </c>
      <c r="P769">
        <v>3304</v>
      </c>
    </row>
    <row r="770" spans="15:16" x14ac:dyDescent="0.45">
      <c r="O770" t="s">
        <v>7330</v>
      </c>
      <c r="P770">
        <v>3701</v>
      </c>
    </row>
    <row r="771" spans="15:16" x14ac:dyDescent="0.45">
      <c r="O771" t="s">
        <v>7331</v>
      </c>
      <c r="P771">
        <v>3858</v>
      </c>
    </row>
    <row r="772" spans="15:16" x14ac:dyDescent="0.45">
      <c r="O772" t="s">
        <v>7332</v>
      </c>
      <c r="P772">
        <v>3460</v>
      </c>
    </row>
    <row r="773" spans="15:16" x14ac:dyDescent="0.45">
      <c r="O773" t="s">
        <v>7333</v>
      </c>
      <c r="P773">
        <v>3363</v>
      </c>
    </row>
    <row r="774" spans="15:16" x14ac:dyDescent="0.45">
      <c r="O774" t="s">
        <v>7334</v>
      </c>
      <c r="P774">
        <v>3235</v>
      </c>
    </row>
    <row r="775" spans="15:16" x14ac:dyDescent="0.45">
      <c r="O775" t="s">
        <v>7335</v>
      </c>
      <c r="P775">
        <v>3888</v>
      </c>
    </row>
    <row r="776" spans="15:16" x14ac:dyDescent="0.45">
      <c r="O776" t="s">
        <v>7336</v>
      </c>
      <c r="P776">
        <v>3691</v>
      </c>
    </row>
    <row r="777" spans="15:16" x14ac:dyDescent="0.45">
      <c r="O777" t="s">
        <v>7337</v>
      </c>
      <c r="P777">
        <v>3385</v>
      </c>
    </row>
    <row r="778" spans="15:16" x14ac:dyDescent="0.45">
      <c r="O778" t="s">
        <v>7338</v>
      </c>
      <c r="P778">
        <v>3103</v>
      </c>
    </row>
    <row r="779" spans="15:16" x14ac:dyDescent="0.45">
      <c r="O779" t="s">
        <v>7339</v>
      </c>
      <c r="P779">
        <v>3023</v>
      </c>
    </row>
    <row r="780" spans="15:16" x14ac:dyDescent="0.45">
      <c r="O780" t="s">
        <v>7340</v>
      </c>
      <c r="P780">
        <v>3022</v>
      </c>
    </row>
    <row r="781" spans="15:16" x14ac:dyDescent="0.45">
      <c r="O781" t="s">
        <v>7341</v>
      </c>
      <c r="P781">
        <v>3023</v>
      </c>
    </row>
    <row r="782" spans="15:16" x14ac:dyDescent="0.45">
      <c r="O782" t="s">
        <v>7342</v>
      </c>
      <c r="P782">
        <v>3356</v>
      </c>
    </row>
    <row r="783" spans="15:16" x14ac:dyDescent="0.45">
      <c r="O783" t="s">
        <v>7343</v>
      </c>
      <c r="P783">
        <v>3037</v>
      </c>
    </row>
    <row r="784" spans="15:16" x14ac:dyDescent="0.45">
      <c r="O784" t="s">
        <v>7344</v>
      </c>
      <c r="P784">
        <v>3723</v>
      </c>
    </row>
    <row r="785" spans="15:16" x14ac:dyDescent="0.45">
      <c r="O785" t="s">
        <v>7345</v>
      </c>
      <c r="P785">
        <v>3871</v>
      </c>
    </row>
    <row r="786" spans="15:16" x14ac:dyDescent="0.45">
      <c r="O786" t="s">
        <v>7346</v>
      </c>
      <c r="P786">
        <v>3888</v>
      </c>
    </row>
    <row r="787" spans="15:16" x14ac:dyDescent="0.45">
      <c r="O787" t="s">
        <v>7347</v>
      </c>
      <c r="P787">
        <v>3186</v>
      </c>
    </row>
    <row r="788" spans="15:16" x14ac:dyDescent="0.45">
      <c r="O788" t="s">
        <v>7348</v>
      </c>
      <c r="P788">
        <v>3377</v>
      </c>
    </row>
    <row r="789" spans="15:16" x14ac:dyDescent="0.45">
      <c r="O789" t="s">
        <v>7349</v>
      </c>
      <c r="P789">
        <v>3858</v>
      </c>
    </row>
    <row r="790" spans="15:16" x14ac:dyDescent="0.45">
      <c r="O790" t="s">
        <v>7350</v>
      </c>
      <c r="P790">
        <v>3280</v>
      </c>
    </row>
    <row r="791" spans="15:16" x14ac:dyDescent="0.45">
      <c r="O791" t="s">
        <v>7351</v>
      </c>
      <c r="P791">
        <v>3461</v>
      </c>
    </row>
    <row r="792" spans="15:16" x14ac:dyDescent="0.45">
      <c r="O792" t="s">
        <v>7352</v>
      </c>
      <c r="P792">
        <v>3875</v>
      </c>
    </row>
    <row r="793" spans="15:16" x14ac:dyDescent="0.45">
      <c r="O793" t="s">
        <v>7353</v>
      </c>
      <c r="P793">
        <v>3516</v>
      </c>
    </row>
    <row r="794" spans="15:16" x14ac:dyDescent="0.45">
      <c r="O794" t="s">
        <v>7354</v>
      </c>
      <c r="P794">
        <v>3352</v>
      </c>
    </row>
    <row r="795" spans="15:16" x14ac:dyDescent="0.45">
      <c r="O795" t="s">
        <v>7355</v>
      </c>
      <c r="P795">
        <v>3312</v>
      </c>
    </row>
    <row r="796" spans="15:16" x14ac:dyDescent="0.45">
      <c r="O796" t="s">
        <v>7356</v>
      </c>
      <c r="P796">
        <v>3030</v>
      </c>
    </row>
    <row r="797" spans="15:16" x14ac:dyDescent="0.45">
      <c r="O797" t="s">
        <v>7357</v>
      </c>
      <c r="P797">
        <v>3523</v>
      </c>
    </row>
    <row r="798" spans="15:16" x14ac:dyDescent="0.45">
      <c r="O798" t="s">
        <v>7358</v>
      </c>
      <c r="P798">
        <v>3325</v>
      </c>
    </row>
    <row r="799" spans="15:16" x14ac:dyDescent="0.45">
      <c r="O799" t="s">
        <v>7359</v>
      </c>
      <c r="P799">
        <v>3726</v>
      </c>
    </row>
    <row r="800" spans="15:16" x14ac:dyDescent="0.45">
      <c r="O800" t="s">
        <v>7360</v>
      </c>
      <c r="P800">
        <v>3714</v>
      </c>
    </row>
    <row r="801" spans="15:16" x14ac:dyDescent="0.45">
      <c r="O801" t="s">
        <v>7361</v>
      </c>
      <c r="P801">
        <v>3977</v>
      </c>
    </row>
    <row r="802" spans="15:16" x14ac:dyDescent="0.45">
      <c r="O802" t="s">
        <v>7362</v>
      </c>
      <c r="P802">
        <v>3971</v>
      </c>
    </row>
    <row r="803" spans="15:16" x14ac:dyDescent="0.45">
      <c r="O803" t="s">
        <v>7363</v>
      </c>
      <c r="P803">
        <v>3808</v>
      </c>
    </row>
    <row r="804" spans="15:16" x14ac:dyDescent="0.45">
      <c r="O804" t="s">
        <v>7364</v>
      </c>
      <c r="P804">
        <v>3610</v>
      </c>
    </row>
    <row r="805" spans="15:16" x14ac:dyDescent="0.45">
      <c r="O805" t="s">
        <v>7365</v>
      </c>
      <c r="P805">
        <v>3089</v>
      </c>
    </row>
    <row r="806" spans="15:16" x14ac:dyDescent="0.45">
      <c r="O806" t="s">
        <v>7366</v>
      </c>
      <c r="P806">
        <v>3309</v>
      </c>
    </row>
    <row r="807" spans="15:16" x14ac:dyDescent="0.45">
      <c r="O807" t="s">
        <v>7367</v>
      </c>
      <c r="P807">
        <v>3427</v>
      </c>
    </row>
    <row r="808" spans="15:16" x14ac:dyDescent="0.45">
      <c r="O808" t="s">
        <v>7368</v>
      </c>
      <c r="P808">
        <v>3561</v>
      </c>
    </row>
    <row r="809" spans="15:16" x14ac:dyDescent="0.45">
      <c r="O809" t="s">
        <v>7369</v>
      </c>
      <c r="P809">
        <v>3414</v>
      </c>
    </row>
    <row r="810" spans="15:16" x14ac:dyDescent="0.45">
      <c r="O810" t="s">
        <v>7370</v>
      </c>
      <c r="P810">
        <v>3571</v>
      </c>
    </row>
    <row r="811" spans="15:16" x14ac:dyDescent="0.45">
      <c r="O811" t="s">
        <v>7371</v>
      </c>
      <c r="P811">
        <v>3172</v>
      </c>
    </row>
    <row r="812" spans="15:16" x14ac:dyDescent="0.45">
      <c r="O812" t="s">
        <v>7372</v>
      </c>
      <c r="P812">
        <v>3579</v>
      </c>
    </row>
    <row r="813" spans="15:16" x14ac:dyDescent="0.45">
      <c r="O813" t="s">
        <v>7373</v>
      </c>
      <c r="P813">
        <v>3898</v>
      </c>
    </row>
    <row r="814" spans="15:16" x14ac:dyDescent="0.45">
      <c r="O814" t="s">
        <v>7374</v>
      </c>
      <c r="P814">
        <v>3265</v>
      </c>
    </row>
    <row r="815" spans="15:16" x14ac:dyDescent="0.45">
      <c r="O815" t="s">
        <v>7375</v>
      </c>
      <c r="P815">
        <v>3775</v>
      </c>
    </row>
    <row r="816" spans="15:16" x14ac:dyDescent="0.45">
      <c r="O816" t="s">
        <v>7376</v>
      </c>
      <c r="P816">
        <v>3377</v>
      </c>
    </row>
    <row r="817" spans="15:16" x14ac:dyDescent="0.45">
      <c r="O817" t="s">
        <v>7377</v>
      </c>
      <c r="P817">
        <v>3678</v>
      </c>
    </row>
    <row r="818" spans="15:16" x14ac:dyDescent="0.45">
      <c r="O818" t="s">
        <v>7378</v>
      </c>
      <c r="P818">
        <v>3678</v>
      </c>
    </row>
    <row r="819" spans="15:16" x14ac:dyDescent="0.45">
      <c r="O819" t="s">
        <v>7379</v>
      </c>
      <c r="P819">
        <v>3008</v>
      </c>
    </row>
    <row r="820" spans="15:16" x14ac:dyDescent="0.45">
      <c r="O820" t="s">
        <v>7380</v>
      </c>
      <c r="P820">
        <v>3895</v>
      </c>
    </row>
    <row r="821" spans="15:16" x14ac:dyDescent="0.45">
      <c r="O821" t="s">
        <v>7381</v>
      </c>
      <c r="P821">
        <v>3871</v>
      </c>
    </row>
    <row r="822" spans="15:16" x14ac:dyDescent="0.45">
      <c r="O822" t="s">
        <v>7382</v>
      </c>
      <c r="P822">
        <v>3139</v>
      </c>
    </row>
    <row r="823" spans="15:16" x14ac:dyDescent="0.45">
      <c r="O823" t="s">
        <v>7383</v>
      </c>
      <c r="P823">
        <v>3480</v>
      </c>
    </row>
    <row r="824" spans="15:16" x14ac:dyDescent="0.45">
      <c r="O824" t="s">
        <v>7384</v>
      </c>
      <c r="P824">
        <v>3108</v>
      </c>
    </row>
    <row r="825" spans="15:16" x14ac:dyDescent="0.45">
      <c r="O825" t="s">
        <v>7385</v>
      </c>
      <c r="P825">
        <v>3109</v>
      </c>
    </row>
    <row r="826" spans="15:16" x14ac:dyDescent="0.45">
      <c r="O826" t="s">
        <v>7386</v>
      </c>
      <c r="P826">
        <v>3109</v>
      </c>
    </row>
    <row r="827" spans="15:16" x14ac:dyDescent="0.45">
      <c r="O827" t="s">
        <v>7387</v>
      </c>
      <c r="P827">
        <v>3064</v>
      </c>
    </row>
    <row r="828" spans="15:16" x14ac:dyDescent="0.45">
      <c r="O828" t="s">
        <v>7388</v>
      </c>
      <c r="P828">
        <v>3111</v>
      </c>
    </row>
    <row r="829" spans="15:16" x14ac:dyDescent="0.45">
      <c r="O829" t="s">
        <v>7389</v>
      </c>
      <c r="P829">
        <v>3478</v>
      </c>
    </row>
    <row r="830" spans="15:16" x14ac:dyDescent="0.45">
      <c r="O830" t="s">
        <v>7390</v>
      </c>
      <c r="P830">
        <v>3401</v>
      </c>
    </row>
    <row r="831" spans="15:16" x14ac:dyDescent="0.45">
      <c r="O831" t="s">
        <v>7391</v>
      </c>
      <c r="P831">
        <v>3646</v>
      </c>
    </row>
    <row r="832" spans="15:16" x14ac:dyDescent="0.45">
      <c r="O832" t="s">
        <v>7392</v>
      </c>
      <c r="P832">
        <v>3647</v>
      </c>
    </row>
    <row r="833" spans="15:16" x14ac:dyDescent="0.45">
      <c r="O833" t="s">
        <v>7393</v>
      </c>
      <c r="P833">
        <v>3754</v>
      </c>
    </row>
    <row r="834" spans="15:16" x14ac:dyDescent="0.45">
      <c r="O834" t="s">
        <v>7394</v>
      </c>
      <c r="P834">
        <v>3312</v>
      </c>
    </row>
    <row r="835" spans="15:16" x14ac:dyDescent="0.45">
      <c r="O835" t="s">
        <v>7395</v>
      </c>
      <c r="P835">
        <v>3893</v>
      </c>
    </row>
    <row r="836" spans="15:16" x14ac:dyDescent="0.45">
      <c r="O836" t="s">
        <v>7396</v>
      </c>
      <c r="P836">
        <v>3409</v>
      </c>
    </row>
    <row r="837" spans="15:16" x14ac:dyDescent="0.45">
      <c r="O837" t="s">
        <v>7397</v>
      </c>
      <c r="P837">
        <v>3177</v>
      </c>
    </row>
    <row r="838" spans="15:16" x14ac:dyDescent="0.45">
      <c r="O838" t="s">
        <v>7398</v>
      </c>
      <c r="P838">
        <v>3249</v>
      </c>
    </row>
    <row r="839" spans="15:16" x14ac:dyDescent="0.45">
      <c r="O839" t="s">
        <v>7399</v>
      </c>
      <c r="P839">
        <v>3249</v>
      </c>
    </row>
    <row r="840" spans="15:16" x14ac:dyDescent="0.45">
      <c r="O840" t="s">
        <v>7400</v>
      </c>
      <c r="P840">
        <v>3840</v>
      </c>
    </row>
    <row r="841" spans="15:16" x14ac:dyDescent="0.45">
      <c r="O841" t="s">
        <v>7401</v>
      </c>
      <c r="P841">
        <v>3304</v>
      </c>
    </row>
    <row r="842" spans="15:16" x14ac:dyDescent="0.45">
      <c r="O842" t="s">
        <v>7402</v>
      </c>
      <c r="P842">
        <v>3936</v>
      </c>
    </row>
    <row r="843" spans="15:16" x14ac:dyDescent="0.45">
      <c r="O843" t="s">
        <v>7403</v>
      </c>
      <c r="P843">
        <v>3660</v>
      </c>
    </row>
    <row r="844" spans="15:16" x14ac:dyDescent="0.45">
      <c r="O844" t="s">
        <v>7404</v>
      </c>
      <c r="P844">
        <v>3818</v>
      </c>
    </row>
    <row r="845" spans="15:16" x14ac:dyDescent="0.45">
      <c r="O845" t="s">
        <v>7405</v>
      </c>
      <c r="P845">
        <v>3818</v>
      </c>
    </row>
    <row r="846" spans="15:16" x14ac:dyDescent="0.45">
      <c r="O846" t="s">
        <v>7406</v>
      </c>
      <c r="P846">
        <v>3818</v>
      </c>
    </row>
    <row r="847" spans="15:16" x14ac:dyDescent="0.45">
      <c r="O847" t="s">
        <v>7407</v>
      </c>
      <c r="P847">
        <v>3818</v>
      </c>
    </row>
    <row r="848" spans="15:16" x14ac:dyDescent="0.45">
      <c r="O848" t="s">
        <v>7408</v>
      </c>
      <c r="P848">
        <v>3636</v>
      </c>
    </row>
    <row r="849" spans="15:16" x14ac:dyDescent="0.45">
      <c r="O849" t="s">
        <v>7409</v>
      </c>
      <c r="P849">
        <v>3304</v>
      </c>
    </row>
    <row r="850" spans="15:16" x14ac:dyDescent="0.45">
      <c r="O850" t="s">
        <v>7410</v>
      </c>
      <c r="P850">
        <v>3215</v>
      </c>
    </row>
    <row r="851" spans="15:16" x14ac:dyDescent="0.45">
      <c r="O851" t="s">
        <v>7411</v>
      </c>
      <c r="P851">
        <v>3570</v>
      </c>
    </row>
    <row r="852" spans="15:16" x14ac:dyDescent="0.45">
      <c r="O852" t="s">
        <v>7412</v>
      </c>
      <c r="P852">
        <v>3461</v>
      </c>
    </row>
    <row r="853" spans="15:16" x14ac:dyDescent="0.45">
      <c r="O853" t="s">
        <v>7413</v>
      </c>
      <c r="P853">
        <v>3446</v>
      </c>
    </row>
    <row r="854" spans="15:16" x14ac:dyDescent="0.45">
      <c r="O854" t="s">
        <v>7414</v>
      </c>
      <c r="P854">
        <v>3401</v>
      </c>
    </row>
    <row r="855" spans="15:16" x14ac:dyDescent="0.45">
      <c r="O855" t="s">
        <v>7415</v>
      </c>
      <c r="P855">
        <v>3461</v>
      </c>
    </row>
    <row r="856" spans="15:16" x14ac:dyDescent="0.45">
      <c r="O856" t="s">
        <v>7416</v>
      </c>
      <c r="P856">
        <v>3222</v>
      </c>
    </row>
    <row r="857" spans="15:16" x14ac:dyDescent="0.45">
      <c r="O857" t="s">
        <v>7417</v>
      </c>
      <c r="P857">
        <v>3409</v>
      </c>
    </row>
    <row r="858" spans="15:16" x14ac:dyDescent="0.45">
      <c r="O858" t="s">
        <v>7418</v>
      </c>
      <c r="P858">
        <v>3956</v>
      </c>
    </row>
    <row r="859" spans="15:16" x14ac:dyDescent="0.45">
      <c r="O859" t="s">
        <v>7419</v>
      </c>
      <c r="P859">
        <v>3956</v>
      </c>
    </row>
    <row r="860" spans="15:16" x14ac:dyDescent="0.45">
      <c r="O860" t="s">
        <v>7420</v>
      </c>
      <c r="P860">
        <v>3527</v>
      </c>
    </row>
    <row r="861" spans="15:16" x14ac:dyDescent="0.45">
      <c r="O861" t="s">
        <v>7421</v>
      </c>
      <c r="P861">
        <v>3371</v>
      </c>
    </row>
    <row r="862" spans="15:16" x14ac:dyDescent="0.45">
      <c r="O862" t="s">
        <v>7422</v>
      </c>
      <c r="P862">
        <v>3271</v>
      </c>
    </row>
    <row r="863" spans="15:16" x14ac:dyDescent="0.45">
      <c r="O863" t="s">
        <v>7423</v>
      </c>
      <c r="P863">
        <v>3175</v>
      </c>
    </row>
    <row r="864" spans="15:16" x14ac:dyDescent="0.45">
      <c r="O864" t="s">
        <v>7424</v>
      </c>
      <c r="P864">
        <v>3294</v>
      </c>
    </row>
    <row r="865" spans="15:16" x14ac:dyDescent="0.45">
      <c r="O865" t="s">
        <v>7425</v>
      </c>
      <c r="P865">
        <v>3630</v>
      </c>
    </row>
    <row r="866" spans="15:16" x14ac:dyDescent="0.45">
      <c r="O866" t="s">
        <v>7426</v>
      </c>
      <c r="P866">
        <v>3472</v>
      </c>
    </row>
    <row r="867" spans="15:16" x14ac:dyDescent="0.45">
      <c r="O867" t="s">
        <v>7427</v>
      </c>
      <c r="P867">
        <v>3377</v>
      </c>
    </row>
    <row r="868" spans="15:16" x14ac:dyDescent="0.45">
      <c r="O868" t="s">
        <v>7428</v>
      </c>
      <c r="P868">
        <v>3352</v>
      </c>
    </row>
    <row r="869" spans="15:16" x14ac:dyDescent="0.45">
      <c r="O869" t="s">
        <v>7429</v>
      </c>
      <c r="P869">
        <v>3472</v>
      </c>
    </row>
    <row r="870" spans="15:16" x14ac:dyDescent="0.45">
      <c r="O870" t="s">
        <v>7430</v>
      </c>
      <c r="P870">
        <v>3312</v>
      </c>
    </row>
    <row r="871" spans="15:16" x14ac:dyDescent="0.45">
      <c r="O871" t="s">
        <v>7431</v>
      </c>
      <c r="P871">
        <v>3342</v>
      </c>
    </row>
    <row r="872" spans="15:16" x14ac:dyDescent="0.45">
      <c r="O872" t="s">
        <v>7432</v>
      </c>
      <c r="P872">
        <v>3352</v>
      </c>
    </row>
    <row r="873" spans="15:16" x14ac:dyDescent="0.45">
      <c r="O873" t="s">
        <v>7433</v>
      </c>
      <c r="P873">
        <v>3576</v>
      </c>
    </row>
    <row r="874" spans="15:16" x14ac:dyDescent="0.45">
      <c r="O874" t="s">
        <v>7434</v>
      </c>
      <c r="P874">
        <v>3851</v>
      </c>
    </row>
    <row r="875" spans="15:16" x14ac:dyDescent="0.45">
      <c r="O875" t="s">
        <v>7435</v>
      </c>
      <c r="P875">
        <v>3851</v>
      </c>
    </row>
    <row r="876" spans="15:16" x14ac:dyDescent="0.45">
      <c r="O876" t="s">
        <v>7436</v>
      </c>
      <c r="P876">
        <v>3305</v>
      </c>
    </row>
    <row r="877" spans="15:16" x14ac:dyDescent="0.45">
      <c r="O877" t="s">
        <v>7437</v>
      </c>
      <c r="P877">
        <v>3323</v>
      </c>
    </row>
    <row r="878" spans="15:16" x14ac:dyDescent="0.45">
      <c r="O878" t="s">
        <v>7438</v>
      </c>
      <c r="P878">
        <v>3878</v>
      </c>
    </row>
    <row r="879" spans="15:16" x14ac:dyDescent="0.45">
      <c r="O879" t="s">
        <v>7439</v>
      </c>
      <c r="P879">
        <v>3556</v>
      </c>
    </row>
    <row r="880" spans="15:16" x14ac:dyDescent="0.45">
      <c r="O880" t="s">
        <v>7440</v>
      </c>
      <c r="P880">
        <v>3556</v>
      </c>
    </row>
    <row r="881" spans="15:16" x14ac:dyDescent="0.45">
      <c r="O881" t="s">
        <v>7441</v>
      </c>
      <c r="P881">
        <v>3084</v>
      </c>
    </row>
    <row r="882" spans="15:16" x14ac:dyDescent="0.45">
      <c r="O882" t="s">
        <v>7442</v>
      </c>
      <c r="P882">
        <v>3669</v>
      </c>
    </row>
    <row r="883" spans="15:16" x14ac:dyDescent="0.45">
      <c r="O883" t="s">
        <v>7443</v>
      </c>
      <c r="P883">
        <v>3875</v>
      </c>
    </row>
    <row r="884" spans="15:16" x14ac:dyDescent="0.45">
      <c r="O884" t="s">
        <v>7444</v>
      </c>
      <c r="P884">
        <v>3550</v>
      </c>
    </row>
    <row r="885" spans="15:16" x14ac:dyDescent="0.45">
      <c r="O885" t="s">
        <v>7445</v>
      </c>
      <c r="P885">
        <v>3219</v>
      </c>
    </row>
    <row r="886" spans="15:16" x14ac:dyDescent="0.45">
      <c r="O886" t="s">
        <v>7446</v>
      </c>
      <c r="P886">
        <v>3002</v>
      </c>
    </row>
    <row r="887" spans="15:16" x14ac:dyDescent="0.45">
      <c r="O887" t="s">
        <v>7447</v>
      </c>
      <c r="P887">
        <v>3852</v>
      </c>
    </row>
    <row r="888" spans="15:16" x14ac:dyDescent="0.45">
      <c r="O888" t="s">
        <v>7448</v>
      </c>
      <c r="P888">
        <v>3678</v>
      </c>
    </row>
    <row r="889" spans="15:16" x14ac:dyDescent="0.45">
      <c r="O889" t="s">
        <v>7449</v>
      </c>
      <c r="P889">
        <v>3799</v>
      </c>
    </row>
    <row r="890" spans="15:16" x14ac:dyDescent="0.45">
      <c r="O890" t="s">
        <v>7450</v>
      </c>
      <c r="P890">
        <v>3231</v>
      </c>
    </row>
    <row r="891" spans="15:16" x14ac:dyDescent="0.45">
      <c r="O891" t="s">
        <v>7451</v>
      </c>
      <c r="P891">
        <v>3463</v>
      </c>
    </row>
    <row r="892" spans="15:16" x14ac:dyDescent="0.45">
      <c r="O892" t="s">
        <v>7452</v>
      </c>
      <c r="P892">
        <v>3875</v>
      </c>
    </row>
    <row r="893" spans="15:16" x14ac:dyDescent="0.45">
      <c r="O893" t="s">
        <v>7453</v>
      </c>
      <c r="P893">
        <v>3691</v>
      </c>
    </row>
    <row r="894" spans="15:16" x14ac:dyDescent="0.45">
      <c r="O894" t="s">
        <v>7454</v>
      </c>
      <c r="P894">
        <v>3564</v>
      </c>
    </row>
    <row r="895" spans="15:16" x14ac:dyDescent="0.45">
      <c r="O895" t="s">
        <v>7455</v>
      </c>
      <c r="P895">
        <v>3564</v>
      </c>
    </row>
    <row r="896" spans="15:16" x14ac:dyDescent="0.45">
      <c r="O896" t="s">
        <v>7456</v>
      </c>
      <c r="P896">
        <v>3564</v>
      </c>
    </row>
    <row r="897" spans="15:16" x14ac:dyDescent="0.45">
      <c r="O897" t="s">
        <v>7457</v>
      </c>
      <c r="P897">
        <v>3564</v>
      </c>
    </row>
    <row r="898" spans="15:16" x14ac:dyDescent="0.45">
      <c r="O898" t="s">
        <v>7458</v>
      </c>
      <c r="P898">
        <v>3265</v>
      </c>
    </row>
    <row r="899" spans="15:16" x14ac:dyDescent="0.45">
      <c r="O899" t="s">
        <v>7459</v>
      </c>
      <c r="P899">
        <v>3472</v>
      </c>
    </row>
    <row r="900" spans="15:16" x14ac:dyDescent="0.45">
      <c r="O900" t="s">
        <v>7460</v>
      </c>
      <c r="P900">
        <v>3757</v>
      </c>
    </row>
    <row r="901" spans="15:16" x14ac:dyDescent="0.45">
      <c r="O901" t="s">
        <v>7461</v>
      </c>
      <c r="P901">
        <v>3318</v>
      </c>
    </row>
    <row r="902" spans="15:16" x14ac:dyDescent="0.45">
      <c r="O902" t="s">
        <v>7462</v>
      </c>
      <c r="P902">
        <v>3444</v>
      </c>
    </row>
    <row r="903" spans="15:16" x14ac:dyDescent="0.45">
      <c r="O903" t="s">
        <v>7463</v>
      </c>
      <c r="P903">
        <v>3678</v>
      </c>
    </row>
    <row r="904" spans="15:16" x14ac:dyDescent="0.45">
      <c r="O904" t="s">
        <v>7464</v>
      </c>
      <c r="P904">
        <v>3678</v>
      </c>
    </row>
    <row r="905" spans="15:16" x14ac:dyDescent="0.45">
      <c r="O905" t="s">
        <v>7465</v>
      </c>
      <c r="P905">
        <v>3196</v>
      </c>
    </row>
    <row r="906" spans="15:16" x14ac:dyDescent="0.45">
      <c r="O906" t="s">
        <v>7466</v>
      </c>
      <c r="P906">
        <v>3461</v>
      </c>
    </row>
    <row r="907" spans="15:16" x14ac:dyDescent="0.45">
      <c r="O907" t="s">
        <v>7467</v>
      </c>
      <c r="P907">
        <v>3713</v>
      </c>
    </row>
    <row r="908" spans="15:16" x14ac:dyDescent="0.45">
      <c r="O908" t="s">
        <v>7468</v>
      </c>
      <c r="P908">
        <v>3334</v>
      </c>
    </row>
    <row r="909" spans="15:16" x14ac:dyDescent="0.45">
      <c r="O909" t="s">
        <v>7469</v>
      </c>
      <c r="P909">
        <v>3746</v>
      </c>
    </row>
    <row r="910" spans="15:16" x14ac:dyDescent="0.45">
      <c r="O910" t="s">
        <v>7470</v>
      </c>
      <c r="P910">
        <v>3461</v>
      </c>
    </row>
    <row r="911" spans="15:16" x14ac:dyDescent="0.45">
      <c r="O911" t="s">
        <v>7471</v>
      </c>
      <c r="P911">
        <v>3266</v>
      </c>
    </row>
    <row r="912" spans="15:16" x14ac:dyDescent="0.45">
      <c r="O912" t="s">
        <v>7472</v>
      </c>
      <c r="P912">
        <v>3266</v>
      </c>
    </row>
    <row r="913" spans="15:16" x14ac:dyDescent="0.45">
      <c r="O913" t="s">
        <v>7473</v>
      </c>
      <c r="P913">
        <v>3921</v>
      </c>
    </row>
    <row r="914" spans="15:16" x14ac:dyDescent="0.45">
      <c r="O914" t="s">
        <v>7474</v>
      </c>
      <c r="P914">
        <v>3875</v>
      </c>
    </row>
    <row r="915" spans="15:16" x14ac:dyDescent="0.45">
      <c r="O915" t="s">
        <v>7475</v>
      </c>
      <c r="P915">
        <v>3265</v>
      </c>
    </row>
    <row r="916" spans="15:16" x14ac:dyDescent="0.45">
      <c r="O916" t="s">
        <v>7476</v>
      </c>
      <c r="P916">
        <v>3250</v>
      </c>
    </row>
    <row r="917" spans="15:16" x14ac:dyDescent="0.45">
      <c r="O917" t="s">
        <v>7477</v>
      </c>
      <c r="P917">
        <v>3821</v>
      </c>
    </row>
    <row r="918" spans="15:16" x14ac:dyDescent="0.45">
      <c r="O918" t="s">
        <v>7478</v>
      </c>
      <c r="P918">
        <v>3469</v>
      </c>
    </row>
    <row r="919" spans="15:16" x14ac:dyDescent="0.45">
      <c r="O919" t="s">
        <v>7479</v>
      </c>
      <c r="P919">
        <v>3558</v>
      </c>
    </row>
    <row r="920" spans="15:16" x14ac:dyDescent="0.45">
      <c r="O920" t="s">
        <v>7480</v>
      </c>
      <c r="P920">
        <v>3448</v>
      </c>
    </row>
    <row r="921" spans="15:16" x14ac:dyDescent="0.45">
      <c r="O921" t="s">
        <v>7481</v>
      </c>
      <c r="P921">
        <v>3185</v>
      </c>
    </row>
    <row r="922" spans="15:16" x14ac:dyDescent="0.45">
      <c r="O922" t="s">
        <v>7482</v>
      </c>
      <c r="P922">
        <v>3095</v>
      </c>
    </row>
    <row r="923" spans="15:16" x14ac:dyDescent="0.45">
      <c r="O923" t="s">
        <v>7483</v>
      </c>
      <c r="P923">
        <v>3095</v>
      </c>
    </row>
    <row r="924" spans="15:16" x14ac:dyDescent="0.45">
      <c r="O924" t="s">
        <v>7484</v>
      </c>
      <c r="P924">
        <v>3184</v>
      </c>
    </row>
    <row r="925" spans="15:16" x14ac:dyDescent="0.45">
      <c r="O925" t="s">
        <v>7485</v>
      </c>
      <c r="P925">
        <v>3782</v>
      </c>
    </row>
    <row r="926" spans="15:16" x14ac:dyDescent="0.45">
      <c r="O926" t="s">
        <v>7486</v>
      </c>
      <c r="P926">
        <v>3475</v>
      </c>
    </row>
    <row r="927" spans="15:16" x14ac:dyDescent="0.45">
      <c r="O927" t="s">
        <v>7487</v>
      </c>
      <c r="P927">
        <v>3551</v>
      </c>
    </row>
    <row r="928" spans="15:16" x14ac:dyDescent="0.45">
      <c r="O928" t="s">
        <v>7488</v>
      </c>
      <c r="P928">
        <v>3802</v>
      </c>
    </row>
    <row r="929" spans="15:16" x14ac:dyDescent="0.45">
      <c r="O929" t="s">
        <v>7489</v>
      </c>
      <c r="P929">
        <v>3352</v>
      </c>
    </row>
    <row r="930" spans="15:16" x14ac:dyDescent="0.45">
      <c r="O930" t="s">
        <v>7490</v>
      </c>
      <c r="P930">
        <v>3407</v>
      </c>
    </row>
    <row r="931" spans="15:16" x14ac:dyDescent="0.45">
      <c r="O931" t="s">
        <v>7491</v>
      </c>
      <c r="P931">
        <v>3723</v>
      </c>
    </row>
    <row r="932" spans="15:16" x14ac:dyDescent="0.45">
      <c r="O932" t="s">
        <v>7492</v>
      </c>
      <c r="P932">
        <v>3895</v>
      </c>
    </row>
    <row r="933" spans="15:16" x14ac:dyDescent="0.45">
      <c r="O933" t="s">
        <v>7493</v>
      </c>
      <c r="P933">
        <v>3895</v>
      </c>
    </row>
    <row r="934" spans="15:16" x14ac:dyDescent="0.45">
      <c r="O934" t="s">
        <v>7494</v>
      </c>
      <c r="P934">
        <v>3551</v>
      </c>
    </row>
    <row r="935" spans="15:16" x14ac:dyDescent="0.45">
      <c r="O935" t="s">
        <v>7495</v>
      </c>
      <c r="P935">
        <v>3076</v>
      </c>
    </row>
    <row r="936" spans="15:16" x14ac:dyDescent="0.45">
      <c r="O936" t="s">
        <v>7496</v>
      </c>
      <c r="P936">
        <v>3551</v>
      </c>
    </row>
    <row r="937" spans="15:16" x14ac:dyDescent="0.45">
      <c r="O937" t="s">
        <v>7497</v>
      </c>
      <c r="P937">
        <v>3352</v>
      </c>
    </row>
    <row r="938" spans="15:16" x14ac:dyDescent="0.45">
      <c r="O938" t="s">
        <v>7498</v>
      </c>
      <c r="P938">
        <v>3825</v>
      </c>
    </row>
    <row r="939" spans="15:16" x14ac:dyDescent="0.45">
      <c r="O939" t="s">
        <v>7499</v>
      </c>
      <c r="P939">
        <v>3889</v>
      </c>
    </row>
    <row r="940" spans="15:16" x14ac:dyDescent="0.45">
      <c r="O940" t="s">
        <v>7500</v>
      </c>
      <c r="P940">
        <v>3701</v>
      </c>
    </row>
    <row r="941" spans="15:16" x14ac:dyDescent="0.45">
      <c r="O941" t="s">
        <v>7501</v>
      </c>
      <c r="P941">
        <v>3730</v>
      </c>
    </row>
    <row r="942" spans="15:16" x14ac:dyDescent="0.45">
      <c r="O942" t="s">
        <v>7502</v>
      </c>
      <c r="P942">
        <v>3040</v>
      </c>
    </row>
    <row r="943" spans="15:16" x14ac:dyDescent="0.45">
      <c r="O943" t="s">
        <v>7503</v>
      </c>
      <c r="P943">
        <v>3041</v>
      </c>
    </row>
    <row r="944" spans="15:16" x14ac:dyDescent="0.45">
      <c r="O944" t="s">
        <v>7504</v>
      </c>
      <c r="P944">
        <v>3041</v>
      </c>
    </row>
    <row r="945" spans="15:16" x14ac:dyDescent="0.45">
      <c r="O945" t="s">
        <v>7505</v>
      </c>
      <c r="P945">
        <v>3040</v>
      </c>
    </row>
    <row r="946" spans="15:16" x14ac:dyDescent="0.45">
      <c r="O946" t="s">
        <v>7506</v>
      </c>
      <c r="P946">
        <v>3177</v>
      </c>
    </row>
    <row r="947" spans="15:16" x14ac:dyDescent="0.45">
      <c r="O947" t="s">
        <v>7507</v>
      </c>
      <c r="P947">
        <v>3251</v>
      </c>
    </row>
    <row r="948" spans="15:16" x14ac:dyDescent="0.45">
      <c r="O948" t="s">
        <v>7508</v>
      </c>
      <c r="P948">
        <v>3350</v>
      </c>
    </row>
    <row r="949" spans="15:16" x14ac:dyDescent="0.45">
      <c r="O949" t="s">
        <v>7509</v>
      </c>
      <c r="P949">
        <v>3666</v>
      </c>
    </row>
    <row r="950" spans="15:16" x14ac:dyDescent="0.45">
      <c r="O950" t="s">
        <v>7510</v>
      </c>
      <c r="P950">
        <v>3739</v>
      </c>
    </row>
    <row r="951" spans="15:16" x14ac:dyDescent="0.45">
      <c r="O951" t="s">
        <v>7511</v>
      </c>
      <c r="P951">
        <v>3371</v>
      </c>
    </row>
    <row r="952" spans="15:16" x14ac:dyDescent="0.45">
      <c r="O952" t="s">
        <v>7512</v>
      </c>
      <c r="P952">
        <v>3377</v>
      </c>
    </row>
    <row r="953" spans="15:16" x14ac:dyDescent="0.45">
      <c r="O953" t="s">
        <v>7513</v>
      </c>
      <c r="P953">
        <v>3678</v>
      </c>
    </row>
    <row r="954" spans="15:16" x14ac:dyDescent="0.45">
      <c r="O954" t="s">
        <v>7514</v>
      </c>
      <c r="P954">
        <v>3678</v>
      </c>
    </row>
    <row r="955" spans="15:16" x14ac:dyDescent="0.45">
      <c r="O955" t="s">
        <v>7515</v>
      </c>
      <c r="P955">
        <v>3338</v>
      </c>
    </row>
    <row r="956" spans="15:16" x14ac:dyDescent="0.45">
      <c r="O956" t="s">
        <v>7516</v>
      </c>
      <c r="P956">
        <v>3338</v>
      </c>
    </row>
    <row r="957" spans="15:16" x14ac:dyDescent="0.45">
      <c r="O957" t="s">
        <v>7517</v>
      </c>
      <c r="P957">
        <v>3951</v>
      </c>
    </row>
    <row r="958" spans="15:16" x14ac:dyDescent="0.45">
      <c r="O958" t="s">
        <v>7518</v>
      </c>
      <c r="P958">
        <v>3078</v>
      </c>
    </row>
    <row r="959" spans="15:16" x14ac:dyDescent="0.45">
      <c r="O959" t="s">
        <v>7519</v>
      </c>
      <c r="P959">
        <v>3231</v>
      </c>
    </row>
    <row r="960" spans="15:16" x14ac:dyDescent="0.45">
      <c r="O960" t="s">
        <v>7520</v>
      </c>
      <c r="P960">
        <v>3579</v>
      </c>
    </row>
    <row r="961" spans="15:16" x14ac:dyDescent="0.45">
      <c r="O961" t="s">
        <v>7521</v>
      </c>
      <c r="P961">
        <v>3561</v>
      </c>
    </row>
    <row r="962" spans="15:16" x14ac:dyDescent="0.45">
      <c r="O962" t="s">
        <v>7522</v>
      </c>
      <c r="P962">
        <v>3699</v>
      </c>
    </row>
    <row r="963" spans="15:16" x14ac:dyDescent="0.45">
      <c r="O963" t="s">
        <v>7523</v>
      </c>
      <c r="P963">
        <v>3451</v>
      </c>
    </row>
    <row r="964" spans="15:16" x14ac:dyDescent="0.45">
      <c r="O964" t="s">
        <v>7524</v>
      </c>
      <c r="P964">
        <v>3714</v>
      </c>
    </row>
    <row r="965" spans="15:16" x14ac:dyDescent="0.45">
      <c r="O965" t="s">
        <v>7525</v>
      </c>
      <c r="P965">
        <v>3060</v>
      </c>
    </row>
    <row r="966" spans="15:16" x14ac:dyDescent="0.45">
      <c r="O966" t="s">
        <v>7526</v>
      </c>
      <c r="P966">
        <v>3518</v>
      </c>
    </row>
    <row r="967" spans="15:16" x14ac:dyDescent="0.45">
      <c r="O967" t="s">
        <v>7527</v>
      </c>
      <c r="P967">
        <v>3237</v>
      </c>
    </row>
    <row r="968" spans="15:16" x14ac:dyDescent="0.45">
      <c r="O968" t="s">
        <v>7528</v>
      </c>
      <c r="P968">
        <v>3458</v>
      </c>
    </row>
    <row r="969" spans="15:16" x14ac:dyDescent="0.45">
      <c r="O969" t="s">
        <v>7529</v>
      </c>
      <c r="P969">
        <v>3864</v>
      </c>
    </row>
    <row r="970" spans="15:16" x14ac:dyDescent="0.45">
      <c r="O970" t="s">
        <v>7530</v>
      </c>
      <c r="P970">
        <v>3821</v>
      </c>
    </row>
    <row r="971" spans="15:16" x14ac:dyDescent="0.45">
      <c r="O971" t="s">
        <v>7531</v>
      </c>
      <c r="P971">
        <v>3518</v>
      </c>
    </row>
    <row r="972" spans="15:16" x14ac:dyDescent="0.45">
      <c r="O972" t="s">
        <v>7532</v>
      </c>
      <c r="P972">
        <v>3778</v>
      </c>
    </row>
    <row r="973" spans="15:16" x14ac:dyDescent="0.45">
      <c r="O973" t="s">
        <v>7533</v>
      </c>
      <c r="P973">
        <v>3156</v>
      </c>
    </row>
    <row r="974" spans="15:16" x14ac:dyDescent="0.45">
      <c r="O974" t="s">
        <v>7534</v>
      </c>
      <c r="P974">
        <v>3786</v>
      </c>
    </row>
    <row r="975" spans="15:16" x14ac:dyDescent="0.45">
      <c r="O975" t="s">
        <v>7535</v>
      </c>
      <c r="P975">
        <v>3518</v>
      </c>
    </row>
    <row r="976" spans="15:16" x14ac:dyDescent="0.45">
      <c r="O976" t="s">
        <v>7536</v>
      </c>
      <c r="P976">
        <v>3939</v>
      </c>
    </row>
    <row r="977" spans="15:16" x14ac:dyDescent="0.45">
      <c r="O977" t="s">
        <v>7537</v>
      </c>
      <c r="P977">
        <v>3959</v>
      </c>
    </row>
    <row r="978" spans="15:16" x14ac:dyDescent="0.45">
      <c r="O978" t="s">
        <v>7538</v>
      </c>
      <c r="P978">
        <v>3585</v>
      </c>
    </row>
    <row r="979" spans="15:16" x14ac:dyDescent="0.45">
      <c r="O979" t="s">
        <v>7539</v>
      </c>
      <c r="P979">
        <v>3342</v>
      </c>
    </row>
    <row r="980" spans="15:16" x14ac:dyDescent="0.45">
      <c r="O980" t="s">
        <v>7540</v>
      </c>
      <c r="P980">
        <v>3065</v>
      </c>
    </row>
    <row r="981" spans="15:16" x14ac:dyDescent="0.45">
      <c r="O981" t="s">
        <v>7541</v>
      </c>
      <c r="P981">
        <v>3068</v>
      </c>
    </row>
    <row r="982" spans="15:16" x14ac:dyDescent="0.45">
      <c r="O982" t="s">
        <v>7542</v>
      </c>
      <c r="P982">
        <v>3875</v>
      </c>
    </row>
    <row r="983" spans="15:16" x14ac:dyDescent="0.45">
      <c r="O983" t="s">
        <v>7543</v>
      </c>
      <c r="P983">
        <v>3465</v>
      </c>
    </row>
    <row r="984" spans="15:16" x14ac:dyDescent="0.45">
      <c r="O984" t="s">
        <v>7544</v>
      </c>
      <c r="P984">
        <v>3851</v>
      </c>
    </row>
    <row r="985" spans="15:16" x14ac:dyDescent="0.45">
      <c r="O985" t="s">
        <v>7545</v>
      </c>
      <c r="P985">
        <v>3031</v>
      </c>
    </row>
    <row r="986" spans="15:16" x14ac:dyDescent="0.45">
      <c r="O986" t="s">
        <v>7546</v>
      </c>
      <c r="P986">
        <v>3929</v>
      </c>
    </row>
    <row r="987" spans="15:16" x14ac:dyDescent="0.45">
      <c r="O987" t="s">
        <v>7547</v>
      </c>
      <c r="P987">
        <v>3550</v>
      </c>
    </row>
    <row r="988" spans="15:16" x14ac:dyDescent="0.45">
      <c r="O988" t="s">
        <v>7548</v>
      </c>
      <c r="P988">
        <v>3717</v>
      </c>
    </row>
    <row r="989" spans="15:16" x14ac:dyDescent="0.45">
      <c r="O989" t="s">
        <v>7549</v>
      </c>
      <c r="P989">
        <v>3844</v>
      </c>
    </row>
    <row r="990" spans="15:16" x14ac:dyDescent="0.45">
      <c r="O990" t="s">
        <v>7550</v>
      </c>
      <c r="P990">
        <v>3844</v>
      </c>
    </row>
    <row r="991" spans="15:16" x14ac:dyDescent="0.45">
      <c r="O991" t="s">
        <v>7551</v>
      </c>
      <c r="P991">
        <v>3011</v>
      </c>
    </row>
    <row r="992" spans="15:16" x14ac:dyDescent="0.45">
      <c r="O992" t="s">
        <v>7552</v>
      </c>
      <c r="P992">
        <v>3764</v>
      </c>
    </row>
    <row r="993" spans="15:16" x14ac:dyDescent="0.45">
      <c r="O993" t="s">
        <v>7553</v>
      </c>
      <c r="P993">
        <v>3131</v>
      </c>
    </row>
    <row r="994" spans="15:16" x14ac:dyDescent="0.45">
      <c r="O994" t="s">
        <v>7554</v>
      </c>
      <c r="P994">
        <v>3875</v>
      </c>
    </row>
    <row r="995" spans="15:16" x14ac:dyDescent="0.45">
      <c r="O995" t="s">
        <v>7555</v>
      </c>
      <c r="P995">
        <v>3236</v>
      </c>
    </row>
    <row r="996" spans="15:16" x14ac:dyDescent="0.45">
      <c r="O996" t="s">
        <v>7556</v>
      </c>
      <c r="P996">
        <v>3960</v>
      </c>
    </row>
    <row r="997" spans="15:16" x14ac:dyDescent="0.45">
      <c r="O997" t="s">
        <v>7557</v>
      </c>
      <c r="P997">
        <v>3960</v>
      </c>
    </row>
    <row r="998" spans="15:16" x14ac:dyDescent="0.45">
      <c r="O998" t="s">
        <v>7558</v>
      </c>
      <c r="P998">
        <v>3557</v>
      </c>
    </row>
    <row r="999" spans="15:16" x14ac:dyDescent="0.45">
      <c r="O999" t="s">
        <v>7559</v>
      </c>
      <c r="P999">
        <v>3805</v>
      </c>
    </row>
    <row r="1000" spans="15:16" x14ac:dyDescent="0.45">
      <c r="O1000" t="s">
        <v>7560</v>
      </c>
      <c r="P1000">
        <v>3323</v>
      </c>
    </row>
    <row r="1001" spans="15:16" x14ac:dyDescent="0.45">
      <c r="O1001" t="s">
        <v>7561</v>
      </c>
      <c r="P1001">
        <v>3265</v>
      </c>
    </row>
    <row r="1002" spans="15:16" x14ac:dyDescent="0.45">
      <c r="O1002" t="s">
        <v>7562</v>
      </c>
      <c r="P1002">
        <v>3265</v>
      </c>
    </row>
    <row r="1003" spans="15:16" x14ac:dyDescent="0.45">
      <c r="O1003" t="s">
        <v>7563</v>
      </c>
      <c r="P1003">
        <v>3461</v>
      </c>
    </row>
    <row r="1004" spans="15:16" x14ac:dyDescent="0.45">
      <c r="O1004" t="s">
        <v>7564</v>
      </c>
      <c r="P1004">
        <v>3199</v>
      </c>
    </row>
    <row r="1005" spans="15:16" x14ac:dyDescent="0.45">
      <c r="O1005" t="s">
        <v>7565</v>
      </c>
      <c r="P1005">
        <v>3199</v>
      </c>
    </row>
    <row r="1006" spans="15:16" x14ac:dyDescent="0.45">
      <c r="O1006" t="s">
        <v>7566</v>
      </c>
      <c r="P1006">
        <v>3199</v>
      </c>
    </row>
    <row r="1007" spans="15:16" x14ac:dyDescent="0.45">
      <c r="O1007" t="s">
        <v>7567</v>
      </c>
      <c r="P1007">
        <v>3200</v>
      </c>
    </row>
    <row r="1008" spans="15:16" x14ac:dyDescent="0.45">
      <c r="O1008" t="s">
        <v>7568</v>
      </c>
      <c r="P1008">
        <v>3199</v>
      </c>
    </row>
    <row r="1009" spans="15:16" x14ac:dyDescent="0.45">
      <c r="O1009" t="s">
        <v>7569</v>
      </c>
      <c r="P1009">
        <v>3741</v>
      </c>
    </row>
    <row r="1010" spans="15:16" x14ac:dyDescent="0.45">
      <c r="O1010" t="s">
        <v>7570</v>
      </c>
      <c r="P1010">
        <v>3921</v>
      </c>
    </row>
    <row r="1011" spans="15:16" x14ac:dyDescent="0.45">
      <c r="O1011" t="s">
        <v>7571</v>
      </c>
      <c r="P1011">
        <v>3384</v>
      </c>
    </row>
    <row r="1012" spans="15:16" x14ac:dyDescent="0.45">
      <c r="O1012" t="s">
        <v>7572</v>
      </c>
      <c r="P1012">
        <v>3217</v>
      </c>
    </row>
    <row r="1013" spans="15:16" x14ac:dyDescent="0.45">
      <c r="O1013" t="s">
        <v>7573</v>
      </c>
      <c r="P1013">
        <v>3451</v>
      </c>
    </row>
    <row r="1014" spans="15:16" x14ac:dyDescent="0.45">
      <c r="O1014" t="s">
        <v>7574</v>
      </c>
      <c r="P1014">
        <v>3851</v>
      </c>
    </row>
    <row r="1015" spans="15:16" x14ac:dyDescent="0.45">
      <c r="O1015" t="s">
        <v>7575</v>
      </c>
      <c r="P1015">
        <v>3825</v>
      </c>
    </row>
    <row r="1016" spans="15:16" x14ac:dyDescent="0.45">
      <c r="O1016" t="s">
        <v>7576</v>
      </c>
      <c r="P1016">
        <v>3825</v>
      </c>
    </row>
    <row r="1017" spans="15:16" x14ac:dyDescent="0.45">
      <c r="O1017" t="s">
        <v>7577</v>
      </c>
      <c r="P1017">
        <v>3381</v>
      </c>
    </row>
    <row r="1018" spans="15:16" x14ac:dyDescent="0.45">
      <c r="O1018" t="s">
        <v>7578</v>
      </c>
      <c r="P1018">
        <v>3218</v>
      </c>
    </row>
    <row r="1019" spans="15:16" x14ac:dyDescent="0.45">
      <c r="O1019" t="s">
        <v>7579</v>
      </c>
      <c r="P1019">
        <v>3723</v>
      </c>
    </row>
    <row r="1020" spans="15:16" x14ac:dyDescent="0.45">
      <c r="O1020" t="s">
        <v>7580</v>
      </c>
      <c r="P1020">
        <v>3822</v>
      </c>
    </row>
    <row r="1021" spans="15:16" x14ac:dyDescent="0.45">
      <c r="O1021" t="s">
        <v>7581</v>
      </c>
      <c r="P1021">
        <v>3568</v>
      </c>
    </row>
    <row r="1022" spans="15:16" x14ac:dyDescent="0.45">
      <c r="O1022" t="s">
        <v>7582</v>
      </c>
      <c r="P1022">
        <v>3737</v>
      </c>
    </row>
    <row r="1023" spans="15:16" x14ac:dyDescent="0.45">
      <c r="O1023" t="s">
        <v>7583</v>
      </c>
      <c r="P1023">
        <v>3207</v>
      </c>
    </row>
    <row r="1024" spans="15:16" x14ac:dyDescent="0.45">
      <c r="O1024" t="s">
        <v>7584</v>
      </c>
      <c r="P1024">
        <v>3185</v>
      </c>
    </row>
    <row r="1025" spans="15:16" x14ac:dyDescent="0.45">
      <c r="O1025" t="s">
        <v>7585</v>
      </c>
      <c r="P1025">
        <v>3814</v>
      </c>
    </row>
    <row r="1026" spans="15:16" x14ac:dyDescent="0.45">
      <c r="O1026" t="s">
        <v>7586</v>
      </c>
      <c r="P1026">
        <v>3814</v>
      </c>
    </row>
    <row r="1027" spans="15:16" x14ac:dyDescent="0.45">
      <c r="O1027" t="s">
        <v>7587</v>
      </c>
      <c r="P1027">
        <v>3352</v>
      </c>
    </row>
    <row r="1028" spans="15:16" x14ac:dyDescent="0.45">
      <c r="O1028" t="s">
        <v>7588</v>
      </c>
      <c r="P1028">
        <v>3265</v>
      </c>
    </row>
    <row r="1029" spans="15:16" x14ac:dyDescent="0.45">
      <c r="O1029" t="s">
        <v>7589</v>
      </c>
      <c r="P1029">
        <v>3691</v>
      </c>
    </row>
    <row r="1030" spans="15:16" x14ac:dyDescent="0.45">
      <c r="O1030" t="s">
        <v>7590</v>
      </c>
      <c r="P1030">
        <v>3407</v>
      </c>
    </row>
    <row r="1031" spans="15:16" x14ac:dyDescent="0.45">
      <c r="O1031" t="s">
        <v>7591</v>
      </c>
      <c r="P1031">
        <v>3289</v>
      </c>
    </row>
    <row r="1032" spans="15:16" x14ac:dyDescent="0.45">
      <c r="O1032" t="s">
        <v>7592</v>
      </c>
      <c r="P1032">
        <v>3220</v>
      </c>
    </row>
    <row r="1033" spans="15:16" x14ac:dyDescent="0.45">
      <c r="O1033" t="s">
        <v>7593</v>
      </c>
      <c r="P1033">
        <v>3221</v>
      </c>
    </row>
    <row r="1034" spans="15:16" x14ac:dyDescent="0.45">
      <c r="O1034" t="s">
        <v>7594</v>
      </c>
      <c r="P1034">
        <v>3215</v>
      </c>
    </row>
    <row r="1035" spans="15:16" x14ac:dyDescent="0.45">
      <c r="O1035" t="s">
        <v>7595</v>
      </c>
      <c r="P1035">
        <v>3218</v>
      </c>
    </row>
    <row r="1036" spans="15:16" x14ac:dyDescent="0.45">
      <c r="O1036" t="s">
        <v>7596</v>
      </c>
      <c r="P1036">
        <v>3885</v>
      </c>
    </row>
    <row r="1037" spans="15:16" x14ac:dyDescent="0.45">
      <c r="O1037" t="s">
        <v>7597</v>
      </c>
      <c r="P1037">
        <v>3239</v>
      </c>
    </row>
    <row r="1038" spans="15:16" x14ac:dyDescent="0.45">
      <c r="O1038" t="s">
        <v>7598</v>
      </c>
      <c r="P1038">
        <v>3237</v>
      </c>
    </row>
    <row r="1039" spans="15:16" x14ac:dyDescent="0.45">
      <c r="O1039" t="s">
        <v>7599</v>
      </c>
      <c r="P1039">
        <v>3971</v>
      </c>
    </row>
    <row r="1040" spans="15:16" x14ac:dyDescent="0.45">
      <c r="O1040" t="s">
        <v>7600</v>
      </c>
      <c r="P1040">
        <v>3783</v>
      </c>
    </row>
    <row r="1041" spans="15:16" x14ac:dyDescent="0.45">
      <c r="O1041" t="s">
        <v>7601</v>
      </c>
      <c r="P1041">
        <v>3891</v>
      </c>
    </row>
    <row r="1042" spans="15:16" x14ac:dyDescent="0.45">
      <c r="O1042" t="s">
        <v>7602</v>
      </c>
      <c r="P1042">
        <v>3833</v>
      </c>
    </row>
    <row r="1043" spans="15:16" x14ac:dyDescent="0.45">
      <c r="O1043" t="s">
        <v>7603</v>
      </c>
      <c r="P1043">
        <v>3700</v>
      </c>
    </row>
    <row r="1044" spans="15:16" x14ac:dyDescent="0.45">
      <c r="O1044" t="s">
        <v>7604</v>
      </c>
      <c r="P1044">
        <v>3546</v>
      </c>
    </row>
    <row r="1045" spans="15:16" x14ac:dyDescent="0.45">
      <c r="O1045" t="s">
        <v>7605</v>
      </c>
      <c r="P1045">
        <v>3418</v>
      </c>
    </row>
    <row r="1046" spans="15:16" x14ac:dyDescent="0.45">
      <c r="O1046" t="s">
        <v>7606</v>
      </c>
      <c r="P1046">
        <v>3249</v>
      </c>
    </row>
    <row r="1047" spans="15:16" x14ac:dyDescent="0.45">
      <c r="O1047" t="s">
        <v>7607</v>
      </c>
      <c r="P1047">
        <v>3387</v>
      </c>
    </row>
    <row r="1048" spans="15:16" x14ac:dyDescent="0.45">
      <c r="O1048" t="s">
        <v>7608</v>
      </c>
      <c r="P1048">
        <v>3741</v>
      </c>
    </row>
    <row r="1049" spans="15:16" x14ac:dyDescent="0.45">
      <c r="O1049" t="s">
        <v>7609</v>
      </c>
      <c r="P1049">
        <v>3289</v>
      </c>
    </row>
    <row r="1050" spans="15:16" x14ac:dyDescent="0.45">
      <c r="O1050" t="s">
        <v>7610</v>
      </c>
      <c r="P1050">
        <v>3240</v>
      </c>
    </row>
    <row r="1051" spans="15:16" x14ac:dyDescent="0.45">
      <c r="O1051" t="s">
        <v>7611</v>
      </c>
      <c r="P1051">
        <v>3331</v>
      </c>
    </row>
    <row r="1052" spans="15:16" x14ac:dyDescent="0.45">
      <c r="O1052" t="s">
        <v>7612</v>
      </c>
      <c r="P1052">
        <v>3717</v>
      </c>
    </row>
    <row r="1053" spans="15:16" x14ac:dyDescent="0.45">
      <c r="O1053" t="s">
        <v>7613</v>
      </c>
      <c r="P1053">
        <v>3851</v>
      </c>
    </row>
    <row r="1054" spans="15:16" x14ac:dyDescent="0.45">
      <c r="O1054" t="s">
        <v>7614</v>
      </c>
      <c r="P1054">
        <v>3851</v>
      </c>
    </row>
    <row r="1055" spans="15:16" x14ac:dyDescent="0.45">
      <c r="O1055" t="s">
        <v>7615</v>
      </c>
      <c r="P1055">
        <v>3480</v>
      </c>
    </row>
    <row r="1056" spans="15:16" x14ac:dyDescent="0.45">
      <c r="O1056" t="s">
        <v>7616</v>
      </c>
      <c r="P1056">
        <v>3072</v>
      </c>
    </row>
    <row r="1057" spans="15:16" x14ac:dyDescent="0.45">
      <c r="O1057" t="s">
        <v>7617</v>
      </c>
      <c r="P1057">
        <v>3797</v>
      </c>
    </row>
    <row r="1058" spans="15:16" x14ac:dyDescent="0.45">
      <c r="O1058" t="s">
        <v>7618</v>
      </c>
      <c r="P1058">
        <v>3616</v>
      </c>
    </row>
    <row r="1059" spans="15:16" x14ac:dyDescent="0.45">
      <c r="O1059" t="s">
        <v>7619</v>
      </c>
      <c r="P1059">
        <v>3858</v>
      </c>
    </row>
    <row r="1060" spans="15:16" x14ac:dyDescent="0.45">
      <c r="O1060" t="s">
        <v>7620</v>
      </c>
      <c r="P1060">
        <v>3891</v>
      </c>
    </row>
    <row r="1061" spans="15:16" x14ac:dyDescent="0.45">
      <c r="O1061" t="s">
        <v>7621</v>
      </c>
      <c r="P1061">
        <v>3624</v>
      </c>
    </row>
    <row r="1062" spans="15:16" x14ac:dyDescent="0.45">
      <c r="O1062" t="s">
        <v>7622</v>
      </c>
      <c r="P1062">
        <v>3616</v>
      </c>
    </row>
    <row r="1063" spans="15:16" x14ac:dyDescent="0.45">
      <c r="O1063" t="s">
        <v>7623</v>
      </c>
      <c r="P1063">
        <v>3437</v>
      </c>
    </row>
    <row r="1064" spans="15:16" x14ac:dyDescent="0.45">
      <c r="O1064" t="s">
        <v>7624</v>
      </c>
      <c r="P1064">
        <v>3437</v>
      </c>
    </row>
    <row r="1065" spans="15:16" x14ac:dyDescent="0.45">
      <c r="O1065" t="s">
        <v>7625</v>
      </c>
      <c r="P1065">
        <v>3575</v>
      </c>
    </row>
    <row r="1066" spans="15:16" x14ac:dyDescent="0.45">
      <c r="O1066" t="s">
        <v>7626</v>
      </c>
      <c r="P1066">
        <v>3043</v>
      </c>
    </row>
    <row r="1067" spans="15:16" x14ac:dyDescent="0.45">
      <c r="O1067" t="s">
        <v>7627</v>
      </c>
      <c r="P1067">
        <v>3797</v>
      </c>
    </row>
    <row r="1068" spans="15:16" x14ac:dyDescent="0.45">
      <c r="O1068" t="s">
        <v>7628</v>
      </c>
      <c r="P1068">
        <v>3979</v>
      </c>
    </row>
    <row r="1069" spans="15:16" x14ac:dyDescent="0.45">
      <c r="O1069" t="s">
        <v>7629</v>
      </c>
      <c r="P1069">
        <v>3691</v>
      </c>
    </row>
    <row r="1070" spans="15:16" x14ac:dyDescent="0.45">
      <c r="O1070" t="s">
        <v>7630</v>
      </c>
      <c r="P1070">
        <v>3990</v>
      </c>
    </row>
    <row r="1071" spans="15:16" x14ac:dyDescent="0.45">
      <c r="O1071" t="s">
        <v>7631</v>
      </c>
      <c r="P1071">
        <v>3163</v>
      </c>
    </row>
    <row r="1072" spans="15:16" x14ac:dyDescent="0.45">
      <c r="O1072" t="s">
        <v>7632</v>
      </c>
      <c r="P1072">
        <v>3146</v>
      </c>
    </row>
    <row r="1073" spans="15:16" x14ac:dyDescent="0.45">
      <c r="O1073" t="s">
        <v>7633</v>
      </c>
      <c r="P1073">
        <v>3352</v>
      </c>
    </row>
    <row r="1074" spans="15:16" x14ac:dyDescent="0.45">
      <c r="O1074" t="s">
        <v>7634</v>
      </c>
      <c r="P1074">
        <v>3898</v>
      </c>
    </row>
    <row r="1075" spans="15:16" x14ac:dyDescent="0.45">
      <c r="O1075" t="s">
        <v>5505</v>
      </c>
      <c r="P1075">
        <v>3150</v>
      </c>
    </row>
    <row r="1076" spans="15:16" x14ac:dyDescent="0.45">
      <c r="O1076" t="s">
        <v>7635</v>
      </c>
      <c r="P1076">
        <v>3898</v>
      </c>
    </row>
    <row r="1077" spans="15:16" x14ac:dyDescent="0.45">
      <c r="O1077" t="s">
        <v>7636</v>
      </c>
      <c r="P1077">
        <v>3238</v>
      </c>
    </row>
    <row r="1078" spans="15:16" x14ac:dyDescent="0.45">
      <c r="O1078" t="s">
        <v>7637</v>
      </c>
      <c r="P1078">
        <v>3864</v>
      </c>
    </row>
    <row r="1079" spans="15:16" x14ac:dyDescent="0.45">
      <c r="O1079" t="s">
        <v>7638</v>
      </c>
      <c r="P1079">
        <v>3517</v>
      </c>
    </row>
    <row r="1080" spans="15:16" x14ac:dyDescent="0.45">
      <c r="O1080" t="s">
        <v>7639</v>
      </c>
      <c r="P1080">
        <v>3764</v>
      </c>
    </row>
    <row r="1081" spans="15:16" x14ac:dyDescent="0.45">
      <c r="O1081" t="s">
        <v>7640</v>
      </c>
      <c r="P1081">
        <v>3352</v>
      </c>
    </row>
    <row r="1082" spans="15:16" x14ac:dyDescent="0.45">
      <c r="O1082" t="s">
        <v>7641</v>
      </c>
      <c r="P1082">
        <v>3717</v>
      </c>
    </row>
    <row r="1083" spans="15:16" x14ac:dyDescent="0.45">
      <c r="O1083" t="s">
        <v>7642</v>
      </c>
      <c r="P1083">
        <v>3363</v>
      </c>
    </row>
    <row r="1084" spans="15:16" x14ac:dyDescent="0.45">
      <c r="O1084" t="s">
        <v>7643</v>
      </c>
      <c r="P1084">
        <v>3364</v>
      </c>
    </row>
    <row r="1085" spans="15:16" x14ac:dyDescent="0.45">
      <c r="O1085" t="s">
        <v>7644</v>
      </c>
      <c r="P1085">
        <v>3858</v>
      </c>
    </row>
    <row r="1086" spans="15:16" x14ac:dyDescent="0.45">
      <c r="O1086" t="s">
        <v>7645</v>
      </c>
      <c r="P1086">
        <v>3122</v>
      </c>
    </row>
    <row r="1087" spans="15:16" x14ac:dyDescent="0.45">
      <c r="O1087" t="s">
        <v>7646</v>
      </c>
      <c r="P1087">
        <v>3266</v>
      </c>
    </row>
    <row r="1088" spans="15:16" x14ac:dyDescent="0.45">
      <c r="O1088" t="s">
        <v>7647</v>
      </c>
      <c r="P1088">
        <v>3020</v>
      </c>
    </row>
    <row r="1089" spans="15:16" x14ac:dyDescent="0.45">
      <c r="O1089" t="s">
        <v>7648</v>
      </c>
      <c r="P1089">
        <v>3854</v>
      </c>
    </row>
    <row r="1090" spans="15:16" x14ac:dyDescent="0.45">
      <c r="O1090" t="s">
        <v>7649</v>
      </c>
      <c r="P1090">
        <v>3854</v>
      </c>
    </row>
    <row r="1091" spans="15:16" x14ac:dyDescent="0.45">
      <c r="O1091" t="s">
        <v>7650</v>
      </c>
      <c r="P1091">
        <v>3854</v>
      </c>
    </row>
    <row r="1092" spans="15:16" x14ac:dyDescent="0.45">
      <c r="O1092" t="s">
        <v>7651</v>
      </c>
      <c r="P1092">
        <v>3370</v>
      </c>
    </row>
    <row r="1093" spans="15:16" x14ac:dyDescent="0.45">
      <c r="O1093" t="s">
        <v>7652</v>
      </c>
      <c r="P1093">
        <v>3444</v>
      </c>
    </row>
    <row r="1094" spans="15:16" x14ac:dyDescent="0.45">
      <c r="O1094" t="s">
        <v>7653</v>
      </c>
      <c r="P1094">
        <v>3522</v>
      </c>
    </row>
    <row r="1095" spans="15:16" x14ac:dyDescent="0.45">
      <c r="O1095" t="s">
        <v>7654</v>
      </c>
      <c r="P1095">
        <v>3314</v>
      </c>
    </row>
    <row r="1096" spans="15:16" x14ac:dyDescent="0.45">
      <c r="O1096" t="s">
        <v>7655</v>
      </c>
      <c r="P1096">
        <v>3418</v>
      </c>
    </row>
    <row r="1097" spans="15:16" x14ac:dyDescent="0.45">
      <c r="O1097" t="s">
        <v>7656</v>
      </c>
      <c r="P1097">
        <v>3469</v>
      </c>
    </row>
    <row r="1098" spans="15:16" x14ac:dyDescent="0.45">
      <c r="O1098" t="s">
        <v>7657</v>
      </c>
      <c r="P1098">
        <v>3469</v>
      </c>
    </row>
    <row r="1099" spans="15:16" x14ac:dyDescent="0.45">
      <c r="O1099" t="s">
        <v>7658</v>
      </c>
      <c r="P1099">
        <v>3527</v>
      </c>
    </row>
    <row r="1100" spans="15:16" x14ac:dyDescent="0.45">
      <c r="O1100" t="s">
        <v>7659</v>
      </c>
      <c r="P1100">
        <v>3527</v>
      </c>
    </row>
    <row r="1101" spans="15:16" x14ac:dyDescent="0.45">
      <c r="O1101" t="s">
        <v>7660</v>
      </c>
      <c r="P1101">
        <v>3451</v>
      </c>
    </row>
    <row r="1102" spans="15:16" x14ac:dyDescent="0.45">
      <c r="O1102" t="s">
        <v>7661</v>
      </c>
      <c r="P1102">
        <v>3461</v>
      </c>
    </row>
    <row r="1103" spans="15:16" x14ac:dyDescent="0.45">
      <c r="O1103" t="s">
        <v>7662</v>
      </c>
      <c r="P1103">
        <v>3858</v>
      </c>
    </row>
    <row r="1104" spans="15:16" x14ac:dyDescent="0.45">
      <c r="O1104" t="s">
        <v>7663</v>
      </c>
      <c r="P1104">
        <v>3340</v>
      </c>
    </row>
    <row r="1105" spans="15:16" x14ac:dyDescent="0.45">
      <c r="O1105" t="s">
        <v>7664</v>
      </c>
      <c r="P1105">
        <v>3385</v>
      </c>
    </row>
    <row r="1106" spans="15:16" x14ac:dyDescent="0.45">
      <c r="O1106" t="s">
        <v>7665</v>
      </c>
      <c r="P1106">
        <v>3265</v>
      </c>
    </row>
    <row r="1107" spans="15:16" x14ac:dyDescent="0.45">
      <c r="O1107" t="s">
        <v>7666</v>
      </c>
      <c r="P1107">
        <v>3265</v>
      </c>
    </row>
    <row r="1108" spans="15:16" x14ac:dyDescent="0.45">
      <c r="O1108" t="s">
        <v>7667</v>
      </c>
      <c r="P1108">
        <v>3265</v>
      </c>
    </row>
    <row r="1109" spans="15:16" x14ac:dyDescent="0.45">
      <c r="O1109" t="s">
        <v>7668</v>
      </c>
      <c r="P1109">
        <v>3469</v>
      </c>
    </row>
    <row r="1110" spans="15:16" x14ac:dyDescent="0.45">
      <c r="O1110" t="s">
        <v>7669</v>
      </c>
      <c r="P1110">
        <v>3675</v>
      </c>
    </row>
    <row r="1111" spans="15:16" x14ac:dyDescent="0.45">
      <c r="O1111" t="s">
        <v>7670</v>
      </c>
      <c r="P1111">
        <v>3675</v>
      </c>
    </row>
    <row r="1112" spans="15:16" x14ac:dyDescent="0.45">
      <c r="O1112" t="s">
        <v>7671</v>
      </c>
      <c r="P1112">
        <v>3046</v>
      </c>
    </row>
    <row r="1113" spans="15:16" x14ac:dyDescent="0.45">
      <c r="O1113" t="s">
        <v>7672</v>
      </c>
      <c r="P1113">
        <v>3293</v>
      </c>
    </row>
    <row r="1114" spans="15:16" x14ac:dyDescent="0.45">
      <c r="O1114" t="s">
        <v>7673</v>
      </c>
      <c r="P1114">
        <v>3851</v>
      </c>
    </row>
    <row r="1115" spans="15:16" x14ac:dyDescent="0.45">
      <c r="O1115" t="s">
        <v>7674</v>
      </c>
      <c r="P1115">
        <v>3221</v>
      </c>
    </row>
    <row r="1116" spans="15:16" x14ac:dyDescent="0.45">
      <c r="O1116" t="s">
        <v>7675</v>
      </c>
      <c r="P1116">
        <v>3260</v>
      </c>
    </row>
    <row r="1117" spans="15:16" x14ac:dyDescent="0.45">
      <c r="O1117" t="s">
        <v>7676</v>
      </c>
      <c r="P1117">
        <v>3559</v>
      </c>
    </row>
    <row r="1118" spans="15:16" x14ac:dyDescent="0.45">
      <c r="O1118" t="s">
        <v>7677</v>
      </c>
      <c r="P1118">
        <v>3719</v>
      </c>
    </row>
    <row r="1119" spans="15:16" x14ac:dyDescent="0.45">
      <c r="O1119" t="s">
        <v>7678</v>
      </c>
      <c r="P1119">
        <v>3851</v>
      </c>
    </row>
    <row r="1120" spans="15:16" x14ac:dyDescent="0.45">
      <c r="O1120" t="s">
        <v>7679</v>
      </c>
      <c r="P1120">
        <v>3555</v>
      </c>
    </row>
    <row r="1121" spans="15:16" x14ac:dyDescent="0.45">
      <c r="O1121" t="s">
        <v>7680</v>
      </c>
      <c r="P1121">
        <v>3350</v>
      </c>
    </row>
    <row r="1122" spans="15:16" x14ac:dyDescent="0.45">
      <c r="O1122" t="s">
        <v>7681</v>
      </c>
      <c r="P1122">
        <v>3555</v>
      </c>
    </row>
    <row r="1123" spans="15:16" x14ac:dyDescent="0.45">
      <c r="O1123" t="s">
        <v>7682</v>
      </c>
      <c r="P1123">
        <v>3435</v>
      </c>
    </row>
    <row r="1124" spans="15:16" x14ac:dyDescent="0.45">
      <c r="O1124" t="s">
        <v>7683</v>
      </c>
      <c r="P1124">
        <v>3472</v>
      </c>
    </row>
    <row r="1125" spans="15:16" x14ac:dyDescent="0.45">
      <c r="O1125" t="s">
        <v>7684</v>
      </c>
      <c r="P1125">
        <v>3352</v>
      </c>
    </row>
    <row r="1126" spans="15:16" x14ac:dyDescent="0.45">
      <c r="O1126" t="s">
        <v>7685</v>
      </c>
      <c r="P1126">
        <v>3579</v>
      </c>
    </row>
    <row r="1127" spans="15:16" x14ac:dyDescent="0.45">
      <c r="O1127" t="s">
        <v>7686</v>
      </c>
      <c r="P1127">
        <v>3673</v>
      </c>
    </row>
    <row r="1128" spans="15:16" x14ac:dyDescent="0.45">
      <c r="O1128" t="s">
        <v>7687</v>
      </c>
      <c r="P1128">
        <v>3875</v>
      </c>
    </row>
    <row r="1129" spans="15:16" x14ac:dyDescent="0.45">
      <c r="O1129" t="s">
        <v>7688</v>
      </c>
      <c r="P1129">
        <v>3888</v>
      </c>
    </row>
    <row r="1130" spans="15:16" x14ac:dyDescent="0.45">
      <c r="O1130" t="s">
        <v>7689</v>
      </c>
      <c r="P1130">
        <v>3666</v>
      </c>
    </row>
    <row r="1131" spans="15:16" x14ac:dyDescent="0.45">
      <c r="O1131" t="s">
        <v>7690</v>
      </c>
      <c r="P1131">
        <v>3685</v>
      </c>
    </row>
    <row r="1132" spans="15:16" x14ac:dyDescent="0.45">
      <c r="O1132" t="s">
        <v>7691</v>
      </c>
      <c r="P1132">
        <v>3725</v>
      </c>
    </row>
    <row r="1133" spans="15:16" x14ac:dyDescent="0.45">
      <c r="O1133" t="s">
        <v>7692</v>
      </c>
      <c r="P1133">
        <v>3557</v>
      </c>
    </row>
    <row r="1134" spans="15:16" x14ac:dyDescent="0.45">
      <c r="O1134" t="s">
        <v>7693</v>
      </c>
      <c r="P1134">
        <v>3477</v>
      </c>
    </row>
    <row r="1135" spans="15:16" x14ac:dyDescent="0.45">
      <c r="O1135" t="s">
        <v>7694</v>
      </c>
      <c r="P1135">
        <v>3305</v>
      </c>
    </row>
    <row r="1136" spans="15:16" x14ac:dyDescent="0.45">
      <c r="O1136" t="s">
        <v>7695</v>
      </c>
      <c r="P1136">
        <v>3305</v>
      </c>
    </row>
    <row r="1137" spans="15:16" x14ac:dyDescent="0.45">
      <c r="O1137" t="s">
        <v>7696</v>
      </c>
      <c r="P1137">
        <v>3345</v>
      </c>
    </row>
    <row r="1138" spans="15:16" x14ac:dyDescent="0.45">
      <c r="O1138" t="s">
        <v>7697</v>
      </c>
      <c r="P1138">
        <v>3873</v>
      </c>
    </row>
    <row r="1139" spans="15:16" x14ac:dyDescent="0.45">
      <c r="O1139" t="s">
        <v>7698</v>
      </c>
      <c r="P1139">
        <v>3412</v>
      </c>
    </row>
    <row r="1140" spans="15:16" x14ac:dyDescent="0.45">
      <c r="O1140" t="s">
        <v>7699</v>
      </c>
      <c r="P1140">
        <v>3585</v>
      </c>
    </row>
    <row r="1141" spans="15:16" x14ac:dyDescent="0.45">
      <c r="O1141" t="s">
        <v>7700</v>
      </c>
      <c r="P1141">
        <v>3723</v>
      </c>
    </row>
    <row r="1142" spans="15:16" x14ac:dyDescent="0.45">
      <c r="O1142" t="s">
        <v>7701</v>
      </c>
      <c r="P1142">
        <v>3608</v>
      </c>
    </row>
    <row r="1143" spans="15:16" x14ac:dyDescent="0.45">
      <c r="O1143" t="s">
        <v>7702</v>
      </c>
      <c r="P1143">
        <v>3043</v>
      </c>
    </row>
    <row r="1144" spans="15:16" x14ac:dyDescent="0.45">
      <c r="O1144" t="s">
        <v>7703</v>
      </c>
      <c r="P1144">
        <v>3544</v>
      </c>
    </row>
    <row r="1145" spans="15:16" x14ac:dyDescent="0.45">
      <c r="O1145" t="s">
        <v>7704</v>
      </c>
      <c r="P1145">
        <v>3669</v>
      </c>
    </row>
    <row r="1146" spans="15:16" x14ac:dyDescent="0.45">
      <c r="O1146" t="s">
        <v>7705</v>
      </c>
      <c r="P1146">
        <v>3477</v>
      </c>
    </row>
    <row r="1147" spans="15:16" x14ac:dyDescent="0.45">
      <c r="O1147" t="s">
        <v>7706</v>
      </c>
      <c r="P1147">
        <v>3463</v>
      </c>
    </row>
    <row r="1148" spans="15:16" x14ac:dyDescent="0.45">
      <c r="O1148" t="s">
        <v>7707</v>
      </c>
      <c r="P1148">
        <v>3631</v>
      </c>
    </row>
    <row r="1149" spans="15:16" x14ac:dyDescent="0.45">
      <c r="O1149" t="s">
        <v>7708</v>
      </c>
      <c r="P1149">
        <v>3314</v>
      </c>
    </row>
    <row r="1150" spans="15:16" x14ac:dyDescent="0.45">
      <c r="O1150" t="s">
        <v>7709</v>
      </c>
      <c r="P1150">
        <v>3870</v>
      </c>
    </row>
    <row r="1151" spans="15:16" x14ac:dyDescent="0.45">
      <c r="O1151" t="s">
        <v>7710</v>
      </c>
      <c r="P1151">
        <v>3525</v>
      </c>
    </row>
    <row r="1152" spans="15:16" x14ac:dyDescent="0.45">
      <c r="O1152" t="s">
        <v>7711</v>
      </c>
      <c r="P1152">
        <v>3875</v>
      </c>
    </row>
    <row r="1153" spans="15:16" x14ac:dyDescent="0.45">
      <c r="O1153" t="s">
        <v>7712</v>
      </c>
      <c r="P1153">
        <v>3984</v>
      </c>
    </row>
    <row r="1154" spans="15:16" x14ac:dyDescent="0.45">
      <c r="O1154" t="s">
        <v>7713</v>
      </c>
      <c r="P1154">
        <v>3701</v>
      </c>
    </row>
    <row r="1155" spans="15:16" x14ac:dyDescent="0.45">
      <c r="O1155" t="s">
        <v>7714</v>
      </c>
      <c r="P1155">
        <v>3409</v>
      </c>
    </row>
    <row r="1156" spans="15:16" x14ac:dyDescent="0.45">
      <c r="O1156" t="s">
        <v>7715</v>
      </c>
      <c r="P1156">
        <v>3302</v>
      </c>
    </row>
    <row r="1157" spans="15:16" x14ac:dyDescent="0.45">
      <c r="O1157" t="s">
        <v>7716</v>
      </c>
      <c r="P1157">
        <v>3281</v>
      </c>
    </row>
    <row r="1158" spans="15:16" x14ac:dyDescent="0.45">
      <c r="O1158" t="s">
        <v>7717</v>
      </c>
      <c r="P1158">
        <v>3477</v>
      </c>
    </row>
    <row r="1159" spans="15:16" x14ac:dyDescent="0.45">
      <c r="O1159" t="s">
        <v>7718</v>
      </c>
      <c r="P1159">
        <v>3608</v>
      </c>
    </row>
    <row r="1160" spans="15:16" x14ac:dyDescent="0.45">
      <c r="O1160" t="s">
        <v>7719</v>
      </c>
      <c r="P1160">
        <v>3477</v>
      </c>
    </row>
    <row r="1161" spans="15:16" x14ac:dyDescent="0.45">
      <c r="O1161" t="s">
        <v>7720</v>
      </c>
      <c r="P1161">
        <v>3477</v>
      </c>
    </row>
    <row r="1162" spans="15:16" x14ac:dyDescent="0.45">
      <c r="O1162" t="s">
        <v>7721</v>
      </c>
      <c r="P1162">
        <v>3477</v>
      </c>
    </row>
    <row r="1163" spans="15:16" x14ac:dyDescent="0.45">
      <c r="O1163" t="s">
        <v>7722</v>
      </c>
      <c r="P1163">
        <v>3685</v>
      </c>
    </row>
    <row r="1164" spans="15:16" x14ac:dyDescent="0.45">
      <c r="O1164" t="s">
        <v>7723</v>
      </c>
      <c r="P1164">
        <v>3374</v>
      </c>
    </row>
    <row r="1165" spans="15:16" x14ac:dyDescent="0.45">
      <c r="O1165" t="s">
        <v>7724</v>
      </c>
      <c r="P1165">
        <v>3537</v>
      </c>
    </row>
    <row r="1166" spans="15:16" x14ac:dyDescent="0.45">
      <c r="O1166" t="s">
        <v>7725</v>
      </c>
      <c r="P1166">
        <v>3462</v>
      </c>
    </row>
    <row r="1167" spans="15:16" x14ac:dyDescent="0.45">
      <c r="O1167" t="s">
        <v>7726</v>
      </c>
      <c r="P1167">
        <v>3341</v>
      </c>
    </row>
    <row r="1168" spans="15:16" x14ac:dyDescent="0.45">
      <c r="O1168" t="s">
        <v>7727</v>
      </c>
      <c r="P1168">
        <v>3444</v>
      </c>
    </row>
    <row r="1169" spans="15:16" x14ac:dyDescent="0.45">
      <c r="O1169" t="s">
        <v>7728</v>
      </c>
      <c r="P1169">
        <v>3387</v>
      </c>
    </row>
    <row r="1170" spans="15:16" x14ac:dyDescent="0.45">
      <c r="O1170" t="s">
        <v>7729</v>
      </c>
      <c r="P1170">
        <v>3088</v>
      </c>
    </row>
    <row r="1171" spans="15:16" x14ac:dyDescent="0.45">
      <c r="O1171" t="s">
        <v>7730</v>
      </c>
      <c r="P1171">
        <v>3059</v>
      </c>
    </row>
    <row r="1172" spans="15:16" x14ac:dyDescent="0.45">
      <c r="O1172" t="s">
        <v>7731</v>
      </c>
      <c r="P1172">
        <v>3304</v>
      </c>
    </row>
    <row r="1173" spans="15:16" x14ac:dyDescent="0.45">
      <c r="O1173" t="s">
        <v>7732</v>
      </c>
      <c r="P1173">
        <v>3352</v>
      </c>
    </row>
    <row r="1174" spans="15:16" x14ac:dyDescent="0.45">
      <c r="O1174" t="s">
        <v>7733</v>
      </c>
      <c r="P1174">
        <v>3675</v>
      </c>
    </row>
    <row r="1175" spans="15:16" x14ac:dyDescent="0.45">
      <c r="O1175" t="s">
        <v>7734</v>
      </c>
      <c r="P1175">
        <v>3675</v>
      </c>
    </row>
    <row r="1176" spans="15:16" x14ac:dyDescent="0.45">
      <c r="O1176" t="s">
        <v>7735</v>
      </c>
      <c r="P1176">
        <v>3675</v>
      </c>
    </row>
    <row r="1177" spans="15:16" x14ac:dyDescent="0.45">
      <c r="O1177" t="s">
        <v>7736</v>
      </c>
      <c r="P1177">
        <v>3234</v>
      </c>
    </row>
    <row r="1178" spans="15:16" x14ac:dyDescent="0.45">
      <c r="O1178" t="s">
        <v>7737</v>
      </c>
      <c r="P1178">
        <v>3104</v>
      </c>
    </row>
    <row r="1179" spans="15:16" x14ac:dyDescent="0.45">
      <c r="O1179" t="s">
        <v>7738</v>
      </c>
      <c r="P1179">
        <v>3315</v>
      </c>
    </row>
    <row r="1180" spans="15:16" x14ac:dyDescent="0.45">
      <c r="O1180" t="s">
        <v>7739</v>
      </c>
      <c r="P1180">
        <v>3315</v>
      </c>
    </row>
    <row r="1181" spans="15:16" x14ac:dyDescent="0.45">
      <c r="O1181" t="s">
        <v>7740</v>
      </c>
      <c r="P1181">
        <v>3216</v>
      </c>
    </row>
    <row r="1182" spans="15:16" x14ac:dyDescent="0.45">
      <c r="O1182" t="s">
        <v>7741</v>
      </c>
      <c r="P1182">
        <v>3216</v>
      </c>
    </row>
    <row r="1183" spans="15:16" x14ac:dyDescent="0.45">
      <c r="O1183" t="s">
        <v>7742</v>
      </c>
      <c r="P1183">
        <v>3770</v>
      </c>
    </row>
    <row r="1184" spans="15:16" x14ac:dyDescent="0.45">
      <c r="O1184" t="s">
        <v>7743</v>
      </c>
      <c r="P1184">
        <v>3451</v>
      </c>
    </row>
    <row r="1185" spans="15:16" x14ac:dyDescent="0.45">
      <c r="O1185" t="s">
        <v>7744</v>
      </c>
      <c r="P1185">
        <v>3566</v>
      </c>
    </row>
    <row r="1186" spans="15:16" x14ac:dyDescent="0.45">
      <c r="O1186" t="s">
        <v>7745</v>
      </c>
      <c r="P1186">
        <v>3691</v>
      </c>
    </row>
    <row r="1187" spans="15:16" x14ac:dyDescent="0.45">
      <c r="O1187" t="s">
        <v>7746</v>
      </c>
      <c r="P1187">
        <v>3960</v>
      </c>
    </row>
    <row r="1188" spans="15:16" x14ac:dyDescent="0.45">
      <c r="O1188" t="s">
        <v>7747</v>
      </c>
      <c r="P1188">
        <v>3709</v>
      </c>
    </row>
    <row r="1189" spans="15:16" x14ac:dyDescent="0.45">
      <c r="O1189" t="s">
        <v>7748</v>
      </c>
      <c r="P1189">
        <v>3807</v>
      </c>
    </row>
    <row r="1190" spans="15:16" x14ac:dyDescent="0.45">
      <c r="O1190" t="s">
        <v>7749</v>
      </c>
      <c r="P1190">
        <v>3401</v>
      </c>
    </row>
    <row r="1191" spans="15:16" x14ac:dyDescent="0.45">
      <c r="O1191" t="s">
        <v>7750</v>
      </c>
      <c r="P1191">
        <v>3351</v>
      </c>
    </row>
    <row r="1192" spans="15:16" x14ac:dyDescent="0.45">
      <c r="O1192" t="s">
        <v>7751</v>
      </c>
      <c r="P1192">
        <v>3046</v>
      </c>
    </row>
    <row r="1193" spans="15:16" x14ac:dyDescent="0.45">
      <c r="O1193" t="s">
        <v>7752</v>
      </c>
      <c r="P1193">
        <v>3803</v>
      </c>
    </row>
    <row r="1194" spans="15:16" x14ac:dyDescent="0.45">
      <c r="O1194" t="s">
        <v>7753</v>
      </c>
      <c r="P1194">
        <v>3818</v>
      </c>
    </row>
    <row r="1195" spans="15:16" x14ac:dyDescent="0.45">
      <c r="O1195" t="s">
        <v>7754</v>
      </c>
      <c r="P1195">
        <v>3381</v>
      </c>
    </row>
    <row r="1196" spans="15:16" x14ac:dyDescent="0.45">
      <c r="O1196" t="s">
        <v>7755</v>
      </c>
      <c r="P1196">
        <v>3953</v>
      </c>
    </row>
    <row r="1197" spans="15:16" x14ac:dyDescent="0.45">
      <c r="O1197" t="s">
        <v>7756</v>
      </c>
      <c r="P1197">
        <v>3300</v>
      </c>
    </row>
    <row r="1198" spans="15:16" x14ac:dyDescent="0.45">
      <c r="O1198" t="s">
        <v>7757</v>
      </c>
      <c r="P1198">
        <v>3215</v>
      </c>
    </row>
    <row r="1199" spans="15:16" x14ac:dyDescent="0.45">
      <c r="O1199" t="s">
        <v>7758</v>
      </c>
      <c r="P1199">
        <v>3188</v>
      </c>
    </row>
    <row r="1200" spans="15:16" x14ac:dyDescent="0.45">
      <c r="O1200" t="s">
        <v>7759</v>
      </c>
      <c r="P1200">
        <v>3188</v>
      </c>
    </row>
    <row r="1201" spans="15:16" x14ac:dyDescent="0.45">
      <c r="O1201" t="s">
        <v>7760</v>
      </c>
      <c r="P1201">
        <v>3188</v>
      </c>
    </row>
    <row r="1202" spans="15:16" x14ac:dyDescent="0.45">
      <c r="O1202" t="s">
        <v>7761</v>
      </c>
      <c r="P1202">
        <v>3976</v>
      </c>
    </row>
    <row r="1203" spans="15:16" x14ac:dyDescent="0.45">
      <c r="O1203" t="s">
        <v>7762</v>
      </c>
      <c r="P1203">
        <v>3675</v>
      </c>
    </row>
    <row r="1204" spans="15:16" x14ac:dyDescent="0.45">
      <c r="O1204" t="s">
        <v>7763</v>
      </c>
      <c r="P1204">
        <v>3360</v>
      </c>
    </row>
    <row r="1205" spans="15:16" x14ac:dyDescent="0.45">
      <c r="O1205" t="s">
        <v>7764</v>
      </c>
      <c r="P1205">
        <v>3453</v>
      </c>
    </row>
    <row r="1206" spans="15:16" x14ac:dyDescent="0.45">
      <c r="O1206" t="s">
        <v>7765</v>
      </c>
      <c r="P1206">
        <v>3453</v>
      </c>
    </row>
    <row r="1207" spans="15:16" x14ac:dyDescent="0.45">
      <c r="O1207" t="s">
        <v>7766</v>
      </c>
      <c r="P1207">
        <v>3806</v>
      </c>
    </row>
    <row r="1208" spans="15:16" x14ac:dyDescent="0.45">
      <c r="O1208" t="s">
        <v>7767</v>
      </c>
      <c r="P1208">
        <v>3995</v>
      </c>
    </row>
    <row r="1209" spans="15:16" x14ac:dyDescent="0.45">
      <c r="O1209" t="s">
        <v>7768</v>
      </c>
      <c r="P1209">
        <v>3741</v>
      </c>
    </row>
    <row r="1210" spans="15:16" x14ac:dyDescent="0.45">
      <c r="O1210" t="s">
        <v>7769</v>
      </c>
      <c r="P1210">
        <v>3317</v>
      </c>
    </row>
    <row r="1211" spans="15:16" x14ac:dyDescent="0.45">
      <c r="O1211" t="s">
        <v>7770</v>
      </c>
      <c r="P1211">
        <v>3616</v>
      </c>
    </row>
    <row r="1212" spans="15:16" x14ac:dyDescent="0.45">
      <c r="O1212" t="s">
        <v>7771</v>
      </c>
      <c r="P1212">
        <v>3124</v>
      </c>
    </row>
    <row r="1213" spans="15:16" x14ac:dyDescent="0.45">
      <c r="O1213" t="s">
        <v>7772</v>
      </c>
      <c r="P1213">
        <v>3915</v>
      </c>
    </row>
    <row r="1214" spans="15:16" x14ac:dyDescent="0.45">
      <c r="O1214" t="s">
        <v>7773</v>
      </c>
      <c r="P1214">
        <v>3501</v>
      </c>
    </row>
    <row r="1215" spans="15:16" x14ac:dyDescent="0.45">
      <c r="O1215" t="s">
        <v>7774</v>
      </c>
      <c r="P1215">
        <v>3465</v>
      </c>
    </row>
    <row r="1216" spans="15:16" x14ac:dyDescent="0.45">
      <c r="O1216" t="s">
        <v>7775</v>
      </c>
      <c r="P1216">
        <v>3401</v>
      </c>
    </row>
    <row r="1217" spans="15:16" x14ac:dyDescent="0.45">
      <c r="O1217" t="s">
        <v>7776</v>
      </c>
      <c r="P1217">
        <v>3737</v>
      </c>
    </row>
    <row r="1218" spans="15:16" x14ac:dyDescent="0.45">
      <c r="O1218" t="s">
        <v>7777</v>
      </c>
      <c r="P1218">
        <v>3287</v>
      </c>
    </row>
    <row r="1219" spans="15:16" x14ac:dyDescent="0.45">
      <c r="O1219" t="s">
        <v>7778</v>
      </c>
      <c r="P1219">
        <v>3862</v>
      </c>
    </row>
    <row r="1220" spans="15:16" x14ac:dyDescent="0.45">
      <c r="O1220" t="s">
        <v>7779</v>
      </c>
      <c r="P1220">
        <v>3142</v>
      </c>
    </row>
    <row r="1221" spans="15:16" x14ac:dyDescent="0.45">
      <c r="O1221" t="s">
        <v>7780</v>
      </c>
      <c r="P1221">
        <v>3122</v>
      </c>
    </row>
    <row r="1222" spans="15:16" x14ac:dyDescent="0.45">
      <c r="O1222" t="s">
        <v>7781</v>
      </c>
      <c r="P1222">
        <v>3123</v>
      </c>
    </row>
    <row r="1223" spans="15:16" x14ac:dyDescent="0.45">
      <c r="O1223" t="s">
        <v>7782</v>
      </c>
      <c r="P1223">
        <v>3122</v>
      </c>
    </row>
    <row r="1224" spans="15:16" x14ac:dyDescent="0.45">
      <c r="O1224" t="s">
        <v>7783</v>
      </c>
      <c r="P1224">
        <v>3122</v>
      </c>
    </row>
    <row r="1225" spans="15:16" x14ac:dyDescent="0.45">
      <c r="O1225" t="s">
        <v>7784</v>
      </c>
      <c r="P1225">
        <v>3888</v>
      </c>
    </row>
    <row r="1226" spans="15:16" x14ac:dyDescent="0.45">
      <c r="O1226" t="s">
        <v>7785</v>
      </c>
      <c r="P1226">
        <v>3966</v>
      </c>
    </row>
    <row r="1227" spans="15:16" x14ac:dyDescent="0.45">
      <c r="O1227" t="s">
        <v>7786</v>
      </c>
      <c r="P1227">
        <v>3658</v>
      </c>
    </row>
    <row r="1228" spans="15:16" x14ac:dyDescent="0.45">
      <c r="O1228" t="s">
        <v>7787</v>
      </c>
      <c r="P1228">
        <v>3840</v>
      </c>
    </row>
    <row r="1229" spans="15:16" x14ac:dyDescent="0.45">
      <c r="O1229" t="s">
        <v>7788</v>
      </c>
      <c r="P1229">
        <v>3840</v>
      </c>
    </row>
    <row r="1230" spans="15:16" x14ac:dyDescent="0.45">
      <c r="O1230" t="s">
        <v>7789</v>
      </c>
      <c r="P1230">
        <v>3840</v>
      </c>
    </row>
    <row r="1231" spans="15:16" x14ac:dyDescent="0.45">
      <c r="O1231" t="s">
        <v>7790</v>
      </c>
      <c r="P1231">
        <v>3777</v>
      </c>
    </row>
    <row r="1232" spans="15:16" x14ac:dyDescent="0.45">
      <c r="O1232" t="s">
        <v>7791</v>
      </c>
      <c r="P1232">
        <v>3777</v>
      </c>
    </row>
    <row r="1233" spans="15:16" x14ac:dyDescent="0.45">
      <c r="O1233" t="s">
        <v>7792</v>
      </c>
      <c r="P1233">
        <v>3981</v>
      </c>
    </row>
    <row r="1234" spans="15:16" x14ac:dyDescent="0.45">
      <c r="O1234" t="s">
        <v>7793</v>
      </c>
      <c r="P1234">
        <v>3523</v>
      </c>
    </row>
    <row r="1235" spans="15:16" x14ac:dyDescent="0.45">
      <c r="O1235" t="s">
        <v>7794</v>
      </c>
      <c r="P1235">
        <v>3758</v>
      </c>
    </row>
    <row r="1236" spans="15:16" x14ac:dyDescent="0.45">
      <c r="O1236" t="s">
        <v>7795</v>
      </c>
      <c r="P1236">
        <v>3523</v>
      </c>
    </row>
    <row r="1237" spans="15:16" x14ac:dyDescent="0.45">
      <c r="O1237" t="s">
        <v>7796</v>
      </c>
      <c r="P1237">
        <v>3202</v>
      </c>
    </row>
    <row r="1238" spans="15:16" x14ac:dyDescent="0.45">
      <c r="O1238" t="s">
        <v>7797</v>
      </c>
      <c r="P1238">
        <v>3305</v>
      </c>
    </row>
    <row r="1239" spans="15:16" x14ac:dyDescent="0.45">
      <c r="O1239" t="s">
        <v>7798</v>
      </c>
      <c r="P1239">
        <v>3135</v>
      </c>
    </row>
    <row r="1240" spans="15:16" x14ac:dyDescent="0.45">
      <c r="O1240" t="s">
        <v>7799</v>
      </c>
      <c r="P1240">
        <v>3134</v>
      </c>
    </row>
    <row r="1241" spans="15:16" x14ac:dyDescent="0.45">
      <c r="O1241" t="s">
        <v>7800</v>
      </c>
      <c r="P1241">
        <v>3967</v>
      </c>
    </row>
    <row r="1242" spans="15:16" x14ac:dyDescent="0.45">
      <c r="O1242" t="s">
        <v>7801</v>
      </c>
      <c r="P1242">
        <v>3084</v>
      </c>
    </row>
    <row r="1243" spans="15:16" x14ac:dyDescent="0.45">
      <c r="O1243" t="s">
        <v>7802</v>
      </c>
      <c r="P1243">
        <v>3081</v>
      </c>
    </row>
    <row r="1244" spans="15:16" x14ac:dyDescent="0.45">
      <c r="O1244" t="s">
        <v>7803</v>
      </c>
      <c r="P1244">
        <v>3081</v>
      </c>
    </row>
    <row r="1245" spans="15:16" x14ac:dyDescent="0.45">
      <c r="O1245" t="s">
        <v>7804</v>
      </c>
      <c r="P1245">
        <v>3081</v>
      </c>
    </row>
    <row r="1246" spans="15:16" x14ac:dyDescent="0.45">
      <c r="O1246" t="s">
        <v>7805</v>
      </c>
      <c r="P1246">
        <v>3301</v>
      </c>
    </row>
    <row r="1247" spans="15:16" x14ac:dyDescent="0.45">
      <c r="O1247" t="s">
        <v>7806</v>
      </c>
      <c r="P1247">
        <v>3312</v>
      </c>
    </row>
    <row r="1248" spans="15:16" x14ac:dyDescent="0.45">
      <c r="O1248" t="s">
        <v>7807</v>
      </c>
      <c r="P1248">
        <v>3461</v>
      </c>
    </row>
    <row r="1249" spans="15:16" x14ac:dyDescent="0.45">
      <c r="O1249" t="s">
        <v>7808</v>
      </c>
      <c r="P1249">
        <v>3461</v>
      </c>
    </row>
    <row r="1250" spans="15:16" x14ac:dyDescent="0.45">
      <c r="O1250" t="s">
        <v>7809</v>
      </c>
      <c r="P1250">
        <v>3218</v>
      </c>
    </row>
    <row r="1251" spans="15:16" x14ac:dyDescent="0.45">
      <c r="O1251" t="s">
        <v>7810</v>
      </c>
      <c r="P1251">
        <v>3825</v>
      </c>
    </row>
    <row r="1252" spans="15:16" x14ac:dyDescent="0.45">
      <c r="O1252" t="s">
        <v>7811</v>
      </c>
      <c r="P1252">
        <v>3442</v>
      </c>
    </row>
    <row r="1253" spans="15:16" x14ac:dyDescent="0.45">
      <c r="O1253" t="s">
        <v>7812</v>
      </c>
      <c r="P1253">
        <v>3321</v>
      </c>
    </row>
    <row r="1254" spans="15:16" x14ac:dyDescent="0.45">
      <c r="O1254" t="s">
        <v>7813</v>
      </c>
      <c r="P1254">
        <v>3273</v>
      </c>
    </row>
    <row r="1255" spans="15:16" x14ac:dyDescent="0.45">
      <c r="O1255" t="s">
        <v>7814</v>
      </c>
      <c r="P1255">
        <v>3858</v>
      </c>
    </row>
    <row r="1256" spans="15:16" x14ac:dyDescent="0.45">
      <c r="O1256" t="s">
        <v>7815</v>
      </c>
      <c r="P1256">
        <v>3268</v>
      </c>
    </row>
    <row r="1257" spans="15:16" x14ac:dyDescent="0.45">
      <c r="O1257" t="s">
        <v>7816</v>
      </c>
      <c r="P1257">
        <v>3304</v>
      </c>
    </row>
    <row r="1258" spans="15:16" x14ac:dyDescent="0.45">
      <c r="O1258" t="s">
        <v>7817</v>
      </c>
      <c r="P1258">
        <v>3847</v>
      </c>
    </row>
    <row r="1259" spans="15:16" x14ac:dyDescent="0.45">
      <c r="O1259" t="s">
        <v>7818</v>
      </c>
      <c r="P1259">
        <v>3971</v>
      </c>
    </row>
    <row r="1260" spans="15:16" x14ac:dyDescent="0.45">
      <c r="O1260" t="s">
        <v>7819</v>
      </c>
      <c r="P1260">
        <v>3764</v>
      </c>
    </row>
    <row r="1261" spans="15:16" x14ac:dyDescent="0.45">
      <c r="O1261" t="s">
        <v>7820</v>
      </c>
      <c r="P1261">
        <v>3190</v>
      </c>
    </row>
    <row r="1262" spans="15:16" x14ac:dyDescent="0.45">
      <c r="O1262" t="s">
        <v>7821</v>
      </c>
      <c r="P1262">
        <v>3660</v>
      </c>
    </row>
    <row r="1263" spans="15:16" x14ac:dyDescent="0.45">
      <c r="O1263" t="s">
        <v>7822</v>
      </c>
      <c r="P1263">
        <v>3032</v>
      </c>
    </row>
    <row r="1264" spans="15:16" x14ac:dyDescent="0.45">
      <c r="O1264" t="s">
        <v>7823</v>
      </c>
      <c r="P1264">
        <v>3216</v>
      </c>
    </row>
    <row r="1265" spans="15:16" x14ac:dyDescent="0.45">
      <c r="O1265" t="s">
        <v>7824</v>
      </c>
      <c r="P1265">
        <v>3315</v>
      </c>
    </row>
    <row r="1266" spans="15:16" x14ac:dyDescent="0.45">
      <c r="O1266" t="s">
        <v>7825</v>
      </c>
      <c r="P1266">
        <v>3825</v>
      </c>
    </row>
    <row r="1267" spans="15:16" x14ac:dyDescent="0.45">
      <c r="O1267" t="s">
        <v>7826</v>
      </c>
      <c r="P1267">
        <v>3351</v>
      </c>
    </row>
    <row r="1268" spans="15:16" x14ac:dyDescent="0.45">
      <c r="O1268" t="s">
        <v>7827</v>
      </c>
      <c r="P1268">
        <v>3660</v>
      </c>
    </row>
    <row r="1269" spans="15:16" x14ac:dyDescent="0.45">
      <c r="O1269" t="s">
        <v>7828</v>
      </c>
      <c r="P1269">
        <v>3037</v>
      </c>
    </row>
    <row r="1270" spans="15:16" x14ac:dyDescent="0.45">
      <c r="O1270" t="s">
        <v>7829</v>
      </c>
      <c r="P1270">
        <v>3898</v>
      </c>
    </row>
    <row r="1271" spans="15:16" x14ac:dyDescent="0.45">
      <c r="O1271" t="s">
        <v>7830</v>
      </c>
      <c r="P1271">
        <v>3920</v>
      </c>
    </row>
    <row r="1272" spans="15:16" x14ac:dyDescent="0.45">
      <c r="O1272" t="s">
        <v>7831</v>
      </c>
      <c r="P1272">
        <v>3139</v>
      </c>
    </row>
    <row r="1273" spans="15:16" x14ac:dyDescent="0.45">
      <c r="O1273" t="s">
        <v>7832</v>
      </c>
      <c r="P1273">
        <v>3862</v>
      </c>
    </row>
    <row r="1274" spans="15:16" x14ac:dyDescent="0.45">
      <c r="O1274" t="s">
        <v>7833</v>
      </c>
      <c r="P1274">
        <v>3148</v>
      </c>
    </row>
    <row r="1275" spans="15:16" x14ac:dyDescent="0.45">
      <c r="O1275" t="s">
        <v>7834</v>
      </c>
      <c r="P1275">
        <v>3465</v>
      </c>
    </row>
    <row r="1276" spans="15:16" x14ac:dyDescent="0.45">
      <c r="O1276" t="s">
        <v>7835</v>
      </c>
      <c r="P1276">
        <v>3304</v>
      </c>
    </row>
    <row r="1277" spans="15:16" x14ac:dyDescent="0.45">
      <c r="O1277" t="s">
        <v>7836</v>
      </c>
      <c r="P1277">
        <v>3717</v>
      </c>
    </row>
    <row r="1278" spans="15:16" x14ac:dyDescent="0.45">
      <c r="O1278" t="s">
        <v>7837</v>
      </c>
      <c r="P1278">
        <v>3396</v>
      </c>
    </row>
    <row r="1279" spans="15:16" x14ac:dyDescent="0.45">
      <c r="O1279" t="s">
        <v>7838</v>
      </c>
      <c r="P1279">
        <v>3162</v>
      </c>
    </row>
    <row r="1280" spans="15:16" x14ac:dyDescent="0.45">
      <c r="O1280" t="s">
        <v>7839</v>
      </c>
      <c r="P1280">
        <v>3340</v>
      </c>
    </row>
    <row r="1281" spans="15:16" x14ac:dyDescent="0.45">
      <c r="O1281" t="s">
        <v>7840</v>
      </c>
      <c r="P1281">
        <v>3029</v>
      </c>
    </row>
    <row r="1282" spans="15:16" x14ac:dyDescent="0.45">
      <c r="O1282" t="s">
        <v>7841</v>
      </c>
      <c r="P1282">
        <v>3238</v>
      </c>
    </row>
    <row r="1283" spans="15:16" x14ac:dyDescent="0.45">
      <c r="O1283" t="s">
        <v>7842</v>
      </c>
      <c r="P1283">
        <v>3567</v>
      </c>
    </row>
    <row r="1284" spans="15:16" x14ac:dyDescent="0.45">
      <c r="O1284" t="s">
        <v>7843</v>
      </c>
      <c r="P1284">
        <v>3400</v>
      </c>
    </row>
    <row r="1285" spans="15:16" x14ac:dyDescent="0.45">
      <c r="O1285" t="s">
        <v>7844</v>
      </c>
      <c r="P1285">
        <v>3741</v>
      </c>
    </row>
    <row r="1286" spans="15:16" x14ac:dyDescent="0.45">
      <c r="O1286" t="s">
        <v>7845</v>
      </c>
      <c r="P1286">
        <v>3051</v>
      </c>
    </row>
    <row r="1287" spans="15:16" x14ac:dyDescent="0.45">
      <c r="O1287" t="s">
        <v>7846</v>
      </c>
      <c r="P1287">
        <v>3303</v>
      </c>
    </row>
    <row r="1288" spans="15:16" x14ac:dyDescent="0.45">
      <c r="O1288" t="s">
        <v>7847</v>
      </c>
      <c r="P1288">
        <v>3128</v>
      </c>
    </row>
    <row r="1289" spans="15:16" x14ac:dyDescent="0.45">
      <c r="O1289" t="s">
        <v>7848</v>
      </c>
      <c r="P1289">
        <v>3723</v>
      </c>
    </row>
    <row r="1290" spans="15:16" x14ac:dyDescent="0.45">
      <c r="O1290" t="s">
        <v>7849</v>
      </c>
      <c r="P1290">
        <v>3858</v>
      </c>
    </row>
    <row r="1291" spans="15:16" x14ac:dyDescent="0.45">
      <c r="O1291" t="s">
        <v>7850</v>
      </c>
      <c r="P1291">
        <v>3723</v>
      </c>
    </row>
    <row r="1292" spans="15:16" x14ac:dyDescent="0.45">
      <c r="O1292" t="s">
        <v>7851</v>
      </c>
      <c r="P1292">
        <v>3723</v>
      </c>
    </row>
    <row r="1293" spans="15:16" x14ac:dyDescent="0.45">
      <c r="O1293" t="s">
        <v>7852</v>
      </c>
      <c r="P1293">
        <v>3723</v>
      </c>
    </row>
    <row r="1294" spans="15:16" x14ac:dyDescent="0.45">
      <c r="O1294" t="s">
        <v>7853</v>
      </c>
      <c r="P1294">
        <v>3166</v>
      </c>
    </row>
    <row r="1295" spans="15:16" x14ac:dyDescent="0.45">
      <c r="O1295" t="s">
        <v>7854</v>
      </c>
      <c r="P1295">
        <v>3757</v>
      </c>
    </row>
    <row r="1296" spans="15:16" x14ac:dyDescent="0.45">
      <c r="O1296" t="s">
        <v>7855</v>
      </c>
      <c r="P1296">
        <v>3558</v>
      </c>
    </row>
    <row r="1297" spans="15:16" x14ac:dyDescent="0.45">
      <c r="O1297" t="s">
        <v>7856</v>
      </c>
      <c r="P1297">
        <v>3971</v>
      </c>
    </row>
    <row r="1298" spans="15:16" x14ac:dyDescent="0.45">
      <c r="O1298" t="s">
        <v>7857</v>
      </c>
      <c r="P1298">
        <v>3166</v>
      </c>
    </row>
    <row r="1299" spans="15:16" x14ac:dyDescent="0.45">
      <c r="O1299" t="s">
        <v>7858</v>
      </c>
      <c r="P1299">
        <v>3551</v>
      </c>
    </row>
    <row r="1300" spans="15:16" x14ac:dyDescent="0.45">
      <c r="O1300" t="s">
        <v>7859</v>
      </c>
      <c r="P1300">
        <v>3551</v>
      </c>
    </row>
    <row r="1301" spans="15:16" x14ac:dyDescent="0.45">
      <c r="O1301" t="s">
        <v>7860</v>
      </c>
      <c r="P1301">
        <v>3695</v>
      </c>
    </row>
    <row r="1302" spans="15:16" x14ac:dyDescent="0.45">
      <c r="O1302" t="s">
        <v>7861</v>
      </c>
      <c r="P1302">
        <v>3691</v>
      </c>
    </row>
    <row r="1303" spans="15:16" x14ac:dyDescent="0.45">
      <c r="O1303" t="s">
        <v>7862</v>
      </c>
      <c r="P1303">
        <v>3099</v>
      </c>
    </row>
    <row r="1304" spans="15:16" x14ac:dyDescent="0.45">
      <c r="O1304" t="s">
        <v>7863</v>
      </c>
      <c r="P1304">
        <v>3833</v>
      </c>
    </row>
    <row r="1305" spans="15:16" x14ac:dyDescent="0.45">
      <c r="O1305" t="s">
        <v>7864</v>
      </c>
      <c r="P1305">
        <v>3875</v>
      </c>
    </row>
    <row r="1306" spans="15:16" x14ac:dyDescent="0.45">
      <c r="O1306" t="s">
        <v>7865</v>
      </c>
      <c r="P1306">
        <v>3351</v>
      </c>
    </row>
    <row r="1307" spans="15:16" x14ac:dyDescent="0.45">
      <c r="O1307" t="s">
        <v>7866</v>
      </c>
      <c r="P1307">
        <v>3381</v>
      </c>
    </row>
    <row r="1308" spans="15:16" x14ac:dyDescent="0.45">
      <c r="O1308" t="s">
        <v>7867</v>
      </c>
      <c r="P1308">
        <v>3282</v>
      </c>
    </row>
    <row r="1309" spans="15:16" x14ac:dyDescent="0.45">
      <c r="O1309" t="s">
        <v>7868</v>
      </c>
      <c r="P1309">
        <v>3223</v>
      </c>
    </row>
    <row r="1310" spans="15:16" x14ac:dyDescent="0.45">
      <c r="O1310" t="s">
        <v>7869</v>
      </c>
      <c r="P1310">
        <v>3688</v>
      </c>
    </row>
    <row r="1311" spans="15:16" x14ac:dyDescent="0.45">
      <c r="O1311" t="s">
        <v>7870</v>
      </c>
      <c r="P1311">
        <v>3517</v>
      </c>
    </row>
    <row r="1312" spans="15:16" x14ac:dyDescent="0.45">
      <c r="O1312" t="s">
        <v>7871</v>
      </c>
      <c r="P1312">
        <v>3342</v>
      </c>
    </row>
    <row r="1313" spans="15:16" x14ac:dyDescent="0.45">
      <c r="O1313" t="s">
        <v>7872</v>
      </c>
      <c r="P1313">
        <v>3472</v>
      </c>
    </row>
    <row r="1314" spans="15:16" x14ac:dyDescent="0.45">
      <c r="O1314" t="s">
        <v>7873</v>
      </c>
      <c r="P1314">
        <v>3636</v>
      </c>
    </row>
    <row r="1315" spans="15:16" x14ac:dyDescent="0.45">
      <c r="O1315" t="s">
        <v>7874</v>
      </c>
      <c r="P1315">
        <v>3321</v>
      </c>
    </row>
    <row r="1316" spans="15:16" x14ac:dyDescent="0.45">
      <c r="O1316" t="s">
        <v>7875</v>
      </c>
      <c r="P1316">
        <v>3996</v>
      </c>
    </row>
    <row r="1317" spans="15:16" x14ac:dyDescent="0.45">
      <c r="O1317" t="s">
        <v>7876</v>
      </c>
      <c r="P1317">
        <v>3352</v>
      </c>
    </row>
    <row r="1318" spans="15:16" x14ac:dyDescent="0.45">
      <c r="O1318" t="s">
        <v>7877</v>
      </c>
      <c r="P1318">
        <v>3350</v>
      </c>
    </row>
    <row r="1319" spans="15:16" x14ac:dyDescent="0.45">
      <c r="O1319" t="s">
        <v>7878</v>
      </c>
      <c r="P1319">
        <v>3815</v>
      </c>
    </row>
    <row r="1320" spans="15:16" x14ac:dyDescent="0.45">
      <c r="O1320" t="s">
        <v>7879</v>
      </c>
      <c r="P1320">
        <v>3494</v>
      </c>
    </row>
    <row r="1321" spans="15:16" x14ac:dyDescent="0.45">
      <c r="O1321" t="s">
        <v>7880</v>
      </c>
      <c r="P1321">
        <v>3451</v>
      </c>
    </row>
    <row r="1322" spans="15:16" x14ac:dyDescent="0.45">
      <c r="O1322" t="s">
        <v>7881</v>
      </c>
      <c r="P1322">
        <v>3550</v>
      </c>
    </row>
    <row r="1323" spans="15:16" x14ac:dyDescent="0.45">
      <c r="O1323" t="s">
        <v>7882</v>
      </c>
      <c r="P1323">
        <v>3249</v>
      </c>
    </row>
    <row r="1324" spans="15:16" x14ac:dyDescent="0.45">
      <c r="O1324" t="s">
        <v>7883</v>
      </c>
      <c r="P1324">
        <v>3249</v>
      </c>
    </row>
    <row r="1325" spans="15:16" x14ac:dyDescent="0.45">
      <c r="O1325" t="s">
        <v>7884</v>
      </c>
      <c r="P1325">
        <v>3249</v>
      </c>
    </row>
    <row r="1326" spans="15:16" x14ac:dyDescent="0.45">
      <c r="O1326" t="s">
        <v>7885</v>
      </c>
      <c r="P1326">
        <v>3498</v>
      </c>
    </row>
    <row r="1327" spans="15:16" x14ac:dyDescent="0.45">
      <c r="O1327" t="s">
        <v>7886</v>
      </c>
      <c r="P1327">
        <v>3079</v>
      </c>
    </row>
    <row r="1328" spans="15:16" x14ac:dyDescent="0.45">
      <c r="O1328" t="s">
        <v>7887</v>
      </c>
      <c r="P1328">
        <v>3079</v>
      </c>
    </row>
    <row r="1329" spans="15:16" x14ac:dyDescent="0.45">
      <c r="O1329" t="s">
        <v>7888</v>
      </c>
      <c r="P1329">
        <v>3079</v>
      </c>
    </row>
    <row r="1330" spans="15:16" x14ac:dyDescent="0.45">
      <c r="O1330" t="s">
        <v>7889</v>
      </c>
      <c r="P1330">
        <v>3047</v>
      </c>
    </row>
    <row r="1331" spans="15:16" x14ac:dyDescent="0.45">
      <c r="O1331" t="s">
        <v>7890</v>
      </c>
      <c r="P1331">
        <v>3971</v>
      </c>
    </row>
    <row r="1332" spans="15:16" x14ac:dyDescent="0.45">
      <c r="O1332" t="s">
        <v>7891</v>
      </c>
      <c r="P1332">
        <v>3556</v>
      </c>
    </row>
    <row r="1333" spans="15:16" x14ac:dyDescent="0.45">
      <c r="O1333" t="s">
        <v>7892</v>
      </c>
      <c r="P1333">
        <v>3825</v>
      </c>
    </row>
    <row r="1334" spans="15:16" x14ac:dyDescent="0.45">
      <c r="O1334" t="s">
        <v>7893</v>
      </c>
      <c r="P1334">
        <v>3984</v>
      </c>
    </row>
    <row r="1335" spans="15:16" x14ac:dyDescent="0.45">
      <c r="O1335" t="s">
        <v>7894</v>
      </c>
      <c r="P1335">
        <v>3723</v>
      </c>
    </row>
    <row r="1336" spans="15:16" x14ac:dyDescent="0.45">
      <c r="O1336" t="s">
        <v>7895</v>
      </c>
      <c r="P1336">
        <v>3228</v>
      </c>
    </row>
    <row r="1337" spans="15:16" x14ac:dyDescent="0.45">
      <c r="O1337" t="s">
        <v>7896</v>
      </c>
      <c r="P1337">
        <v>3266</v>
      </c>
    </row>
    <row r="1338" spans="15:16" x14ac:dyDescent="0.45">
      <c r="O1338" t="s">
        <v>7897</v>
      </c>
      <c r="P1338">
        <v>3266</v>
      </c>
    </row>
    <row r="1339" spans="15:16" x14ac:dyDescent="0.45">
      <c r="O1339" t="s">
        <v>7898</v>
      </c>
      <c r="P1339">
        <v>3517</v>
      </c>
    </row>
    <row r="1340" spans="15:16" x14ac:dyDescent="0.45">
      <c r="O1340" t="s">
        <v>7899</v>
      </c>
      <c r="P1340">
        <v>3888</v>
      </c>
    </row>
    <row r="1341" spans="15:16" x14ac:dyDescent="0.45">
      <c r="O1341" t="s">
        <v>7900</v>
      </c>
      <c r="P1341">
        <v>3700</v>
      </c>
    </row>
    <row r="1342" spans="15:16" x14ac:dyDescent="0.45">
      <c r="O1342" t="s">
        <v>7901</v>
      </c>
      <c r="P1342">
        <v>3840</v>
      </c>
    </row>
    <row r="1343" spans="15:16" x14ac:dyDescent="0.45">
      <c r="O1343" t="s">
        <v>7902</v>
      </c>
      <c r="P1343">
        <v>3840</v>
      </c>
    </row>
    <row r="1344" spans="15:16" x14ac:dyDescent="0.45">
      <c r="O1344" t="s">
        <v>7903</v>
      </c>
      <c r="P1344">
        <v>3945</v>
      </c>
    </row>
    <row r="1345" spans="15:16" x14ac:dyDescent="0.45">
      <c r="O1345" t="s">
        <v>7904</v>
      </c>
      <c r="P1345">
        <v>3480</v>
      </c>
    </row>
    <row r="1346" spans="15:16" x14ac:dyDescent="0.45">
      <c r="O1346" t="s">
        <v>7905</v>
      </c>
      <c r="P1346">
        <v>3480</v>
      </c>
    </row>
    <row r="1347" spans="15:16" x14ac:dyDescent="0.45">
      <c r="O1347" t="s">
        <v>7906</v>
      </c>
      <c r="P1347">
        <v>3423</v>
      </c>
    </row>
    <row r="1348" spans="15:16" x14ac:dyDescent="0.45">
      <c r="O1348" t="s">
        <v>7907</v>
      </c>
      <c r="P1348">
        <v>3825</v>
      </c>
    </row>
    <row r="1349" spans="15:16" x14ac:dyDescent="0.45">
      <c r="O1349" t="s">
        <v>7908</v>
      </c>
      <c r="P1349">
        <v>3527</v>
      </c>
    </row>
    <row r="1350" spans="15:16" x14ac:dyDescent="0.45">
      <c r="O1350" t="s">
        <v>7909</v>
      </c>
      <c r="P1350">
        <v>3483</v>
      </c>
    </row>
    <row r="1351" spans="15:16" x14ac:dyDescent="0.45">
      <c r="O1351" t="s">
        <v>7910</v>
      </c>
      <c r="P1351">
        <v>3409</v>
      </c>
    </row>
    <row r="1352" spans="15:16" x14ac:dyDescent="0.45">
      <c r="O1352" t="s">
        <v>7911</v>
      </c>
      <c r="P1352">
        <v>3818</v>
      </c>
    </row>
    <row r="1353" spans="15:16" x14ac:dyDescent="0.45">
      <c r="O1353" t="s">
        <v>7912</v>
      </c>
      <c r="P1353">
        <v>3384</v>
      </c>
    </row>
    <row r="1354" spans="15:16" x14ac:dyDescent="0.45">
      <c r="O1354" t="s">
        <v>7913</v>
      </c>
      <c r="P1354">
        <v>3384</v>
      </c>
    </row>
    <row r="1355" spans="15:16" x14ac:dyDescent="0.45">
      <c r="O1355" t="s">
        <v>7914</v>
      </c>
      <c r="P1355">
        <v>3238</v>
      </c>
    </row>
    <row r="1356" spans="15:16" x14ac:dyDescent="0.45">
      <c r="O1356" t="s">
        <v>7915</v>
      </c>
      <c r="P1356">
        <v>3902</v>
      </c>
    </row>
    <row r="1357" spans="15:16" x14ac:dyDescent="0.45">
      <c r="O1357" t="s">
        <v>7916</v>
      </c>
      <c r="P1357">
        <v>3870</v>
      </c>
    </row>
    <row r="1358" spans="15:16" x14ac:dyDescent="0.45">
      <c r="O1358" t="s">
        <v>7917</v>
      </c>
      <c r="P1358">
        <v>3148</v>
      </c>
    </row>
    <row r="1359" spans="15:16" x14ac:dyDescent="0.45">
      <c r="O1359" t="s">
        <v>7918</v>
      </c>
      <c r="P1359">
        <v>3364</v>
      </c>
    </row>
    <row r="1360" spans="15:16" x14ac:dyDescent="0.45">
      <c r="O1360" t="s">
        <v>7919</v>
      </c>
      <c r="P1360">
        <v>3869</v>
      </c>
    </row>
    <row r="1361" spans="15:16" x14ac:dyDescent="0.45">
      <c r="O1361" t="s">
        <v>7920</v>
      </c>
      <c r="P1361">
        <v>3951</v>
      </c>
    </row>
    <row r="1362" spans="15:16" x14ac:dyDescent="0.45">
      <c r="O1362" t="s">
        <v>7921</v>
      </c>
      <c r="P1362">
        <v>3977</v>
      </c>
    </row>
    <row r="1363" spans="15:16" x14ac:dyDescent="0.45">
      <c r="O1363" t="s">
        <v>7922</v>
      </c>
      <c r="P1363">
        <v>3401</v>
      </c>
    </row>
    <row r="1364" spans="15:16" x14ac:dyDescent="0.45">
      <c r="O1364" t="s">
        <v>7923</v>
      </c>
      <c r="P1364">
        <v>3575</v>
      </c>
    </row>
    <row r="1365" spans="15:16" x14ac:dyDescent="0.45">
      <c r="O1365" t="s">
        <v>7924</v>
      </c>
      <c r="P1365">
        <v>3551</v>
      </c>
    </row>
    <row r="1366" spans="15:16" x14ac:dyDescent="0.45">
      <c r="O1366" t="s">
        <v>7925</v>
      </c>
      <c r="P1366">
        <v>3635</v>
      </c>
    </row>
    <row r="1367" spans="15:16" x14ac:dyDescent="0.45">
      <c r="O1367" t="s">
        <v>7926</v>
      </c>
      <c r="P1367">
        <v>3318</v>
      </c>
    </row>
    <row r="1368" spans="15:16" x14ac:dyDescent="0.45">
      <c r="O1368" t="s">
        <v>7927</v>
      </c>
      <c r="P1368">
        <v>3909</v>
      </c>
    </row>
    <row r="1369" spans="15:16" x14ac:dyDescent="0.45">
      <c r="O1369" t="s">
        <v>7928</v>
      </c>
      <c r="P1369">
        <v>3909</v>
      </c>
    </row>
    <row r="1370" spans="15:16" x14ac:dyDescent="0.45">
      <c r="O1370" t="s">
        <v>7929</v>
      </c>
      <c r="P1370">
        <v>3064</v>
      </c>
    </row>
    <row r="1371" spans="15:16" x14ac:dyDescent="0.45">
      <c r="O1371" t="s">
        <v>7930</v>
      </c>
      <c r="P1371">
        <v>3401</v>
      </c>
    </row>
    <row r="1372" spans="15:16" x14ac:dyDescent="0.45">
      <c r="O1372" t="s">
        <v>7931</v>
      </c>
      <c r="P1372">
        <v>3791</v>
      </c>
    </row>
    <row r="1373" spans="15:16" x14ac:dyDescent="0.45">
      <c r="O1373" t="s">
        <v>7932</v>
      </c>
      <c r="P1373">
        <v>3766</v>
      </c>
    </row>
    <row r="1374" spans="15:16" x14ac:dyDescent="0.45">
      <c r="O1374" t="s">
        <v>7933</v>
      </c>
      <c r="P1374">
        <v>3529</v>
      </c>
    </row>
    <row r="1375" spans="15:16" x14ac:dyDescent="0.45">
      <c r="O1375" t="s">
        <v>7934</v>
      </c>
      <c r="P1375">
        <v>3570</v>
      </c>
    </row>
    <row r="1376" spans="15:16" x14ac:dyDescent="0.45">
      <c r="O1376" t="s">
        <v>7935</v>
      </c>
      <c r="P1376">
        <v>3571</v>
      </c>
    </row>
    <row r="1377" spans="15:16" x14ac:dyDescent="0.45">
      <c r="O1377" t="s">
        <v>7936</v>
      </c>
      <c r="P1377">
        <v>3401</v>
      </c>
    </row>
    <row r="1378" spans="15:16" x14ac:dyDescent="0.45">
      <c r="O1378" t="s">
        <v>7937</v>
      </c>
      <c r="P1378">
        <v>3691</v>
      </c>
    </row>
    <row r="1379" spans="15:16" x14ac:dyDescent="0.45">
      <c r="O1379" t="s">
        <v>7938</v>
      </c>
      <c r="P1379">
        <v>3555</v>
      </c>
    </row>
    <row r="1380" spans="15:16" x14ac:dyDescent="0.45">
      <c r="O1380" t="s">
        <v>7939</v>
      </c>
      <c r="P1380">
        <v>3097</v>
      </c>
    </row>
    <row r="1381" spans="15:16" x14ac:dyDescent="0.45">
      <c r="O1381" t="s">
        <v>7940</v>
      </c>
      <c r="P1381">
        <v>3419</v>
      </c>
    </row>
    <row r="1382" spans="15:16" x14ac:dyDescent="0.45">
      <c r="O1382" t="s">
        <v>7941</v>
      </c>
      <c r="P1382">
        <v>3719</v>
      </c>
    </row>
    <row r="1383" spans="15:16" x14ac:dyDescent="0.45">
      <c r="O1383" t="s">
        <v>7942</v>
      </c>
      <c r="P1383">
        <v>3387</v>
      </c>
    </row>
    <row r="1384" spans="15:16" x14ac:dyDescent="0.45">
      <c r="O1384" t="s">
        <v>7943</v>
      </c>
      <c r="P1384">
        <v>3564</v>
      </c>
    </row>
    <row r="1385" spans="15:16" x14ac:dyDescent="0.45">
      <c r="O1385" t="s">
        <v>7944</v>
      </c>
      <c r="P1385">
        <v>3294</v>
      </c>
    </row>
    <row r="1386" spans="15:16" x14ac:dyDescent="0.45">
      <c r="O1386" t="s">
        <v>7945</v>
      </c>
      <c r="P1386">
        <v>3951</v>
      </c>
    </row>
    <row r="1387" spans="15:16" x14ac:dyDescent="0.45">
      <c r="O1387" t="s">
        <v>7946</v>
      </c>
      <c r="P1387">
        <v>3950</v>
      </c>
    </row>
    <row r="1388" spans="15:16" x14ac:dyDescent="0.45">
      <c r="O1388" t="s">
        <v>7947</v>
      </c>
      <c r="P1388">
        <v>3260</v>
      </c>
    </row>
    <row r="1389" spans="15:16" x14ac:dyDescent="0.45">
      <c r="O1389" t="s">
        <v>7948</v>
      </c>
      <c r="P1389">
        <v>3199</v>
      </c>
    </row>
    <row r="1390" spans="15:16" x14ac:dyDescent="0.45">
      <c r="O1390" t="s">
        <v>7949</v>
      </c>
      <c r="P1390">
        <v>3199</v>
      </c>
    </row>
    <row r="1391" spans="15:16" x14ac:dyDescent="0.45">
      <c r="O1391" t="s">
        <v>7950</v>
      </c>
      <c r="P1391">
        <v>3401</v>
      </c>
    </row>
    <row r="1392" spans="15:16" x14ac:dyDescent="0.45">
      <c r="O1392" t="s">
        <v>7951</v>
      </c>
      <c r="P1392">
        <v>3631</v>
      </c>
    </row>
    <row r="1393" spans="15:16" x14ac:dyDescent="0.45">
      <c r="O1393" t="s">
        <v>7952</v>
      </c>
      <c r="P1393">
        <v>3483</v>
      </c>
    </row>
    <row r="1394" spans="15:16" x14ac:dyDescent="0.45">
      <c r="O1394" t="s">
        <v>7953</v>
      </c>
      <c r="P1394">
        <v>3649</v>
      </c>
    </row>
    <row r="1395" spans="15:16" x14ac:dyDescent="0.45">
      <c r="O1395" t="s">
        <v>7954</v>
      </c>
      <c r="P1395">
        <v>3649</v>
      </c>
    </row>
    <row r="1396" spans="15:16" x14ac:dyDescent="0.45">
      <c r="O1396" t="s">
        <v>7955</v>
      </c>
      <c r="P1396">
        <v>3634</v>
      </c>
    </row>
    <row r="1397" spans="15:16" x14ac:dyDescent="0.45">
      <c r="O1397" t="s">
        <v>7956</v>
      </c>
      <c r="P1397">
        <v>3634</v>
      </c>
    </row>
    <row r="1398" spans="15:16" x14ac:dyDescent="0.45">
      <c r="O1398" t="s">
        <v>7957</v>
      </c>
      <c r="P1398">
        <v>3640</v>
      </c>
    </row>
    <row r="1399" spans="15:16" x14ac:dyDescent="0.45">
      <c r="O1399" t="s">
        <v>7958</v>
      </c>
      <c r="P1399">
        <v>3249</v>
      </c>
    </row>
    <row r="1400" spans="15:16" x14ac:dyDescent="0.45">
      <c r="O1400" t="s">
        <v>7959</v>
      </c>
      <c r="P1400">
        <v>3021</v>
      </c>
    </row>
    <row r="1401" spans="15:16" x14ac:dyDescent="0.45">
      <c r="O1401" t="s">
        <v>7960</v>
      </c>
      <c r="P1401">
        <v>3568</v>
      </c>
    </row>
    <row r="1402" spans="15:16" x14ac:dyDescent="0.45">
      <c r="O1402" t="s">
        <v>7961</v>
      </c>
      <c r="P1402">
        <v>3036</v>
      </c>
    </row>
    <row r="1403" spans="15:16" x14ac:dyDescent="0.45">
      <c r="O1403" t="s">
        <v>7962</v>
      </c>
      <c r="P1403">
        <v>3038</v>
      </c>
    </row>
    <row r="1404" spans="15:16" x14ac:dyDescent="0.45">
      <c r="O1404" t="s">
        <v>7963</v>
      </c>
      <c r="P1404">
        <v>3033</v>
      </c>
    </row>
    <row r="1405" spans="15:16" x14ac:dyDescent="0.45">
      <c r="O1405" t="s">
        <v>7964</v>
      </c>
      <c r="P1405">
        <v>3038</v>
      </c>
    </row>
    <row r="1406" spans="15:16" x14ac:dyDescent="0.45">
      <c r="O1406" t="s">
        <v>7965</v>
      </c>
      <c r="P1406">
        <v>3036</v>
      </c>
    </row>
    <row r="1407" spans="15:16" x14ac:dyDescent="0.45">
      <c r="O1407" t="s">
        <v>7966</v>
      </c>
      <c r="P1407">
        <v>3042</v>
      </c>
    </row>
    <row r="1408" spans="15:16" x14ac:dyDescent="0.45">
      <c r="O1408" t="s">
        <v>7967</v>
      </c>
      <c r="P1408">
        <v>3393</v>
      </c>
    </row>
    <row r="1409" spans="15:16" x14ac:dyDescent="0.45">
      <c r="O1409" t="s">
        <v>7968</v>
      </c>
      <c r="P1409">
        <v>3666</v>
      </c>
    </row>
    <row r="1410" spans="15:16" x14ac:dyDescent="0.45">
      <c r="O1410" t="s">
        <v>7969</v>
      </c>
      <c r="P1410">
        <v>3597</v>
      </c>
    </row>
    <row r="1411" spans="15:16" x14ac:dyDescent="0.45">
      <c r="O1411" t="s">
        <v>7970</v>
      </c>
      <c r="P1411">
        <v>3395</v>
      </c>
    </row>
    <row r="1412" spans="15:16" x14ac:dyDescent="0.45">
      <c r="O1412" t="s">
        <v>7971</v>
      </c>
      <c r="P1412">
        <v>3239</v>
      </c>
    </row>
    <row r="1413" spans="15:16" x14ac:dyDescent="0.45">
      <c r="O1413" t="s">
        <v>7972</v>
      </c>
      <c r="P1413">
        <v>3234</v>
      </c>
    </row>
    <row r="1414" spans="15:16" x14ac:dyDescent="0.45">
      <c r="O1414" t="s">
        <v>7973</v>
      </c>
      <c r="P1414">
        <v>3550</v>
      </c>
    </row>
    <row r="1415" spans="15:16" x14ac:dyDescent="0.45">
      <c r="O1415" t="s">
        <v>7974</v>
      </c>
      <c r="P1415">
        <v>3031</v>
      </c>
    </row>
    <row r="1416" spans="15:16" x14ac:dyDescent="0.45">
      <c r="O1416" t="s">
        <v>7975</v>
      </c>
      <c r="P1416">
        <v>3579</v>
      </c>
    </row>
    <row r="1417" spans="15:16" x14ac:dyDescent="0.45">
      <c r="O1417" t="s">
        <v>7976</v>
      </c>
      <c r="P1417">
        <v>3579</v>
      </c>
    </row>
    <row r="1418" spans="15:16" x14ac:dyDescent="0.45">
      <c r="O1418" t="s">
        <v>7977</v>
      </c>
      <c r="P1418">
        <v>3691</v>
      </c>
    </row>
    <row r="1419" spans="15:16" x14ac:dyDescent="0.45">
      <c r="O1419" t="s">
        <v>7978</v>
      </c>
      <c r="P1419">
        <v>3691</v>
      </c>
    </row>
    <row r="1420" spans="15:16" x14ac:dyDescent="0.45">
      <c r="O1420" t="s">
        <v>7979</v>
      </c>
      <c r="P1420">
        <v>3979</v>
      </c>
    </row>
    <row r="1421" spans="15:16" x14ac:dyDescent="0.45">
      <c r="O1421" t="s">
        <v>7980</v>
      </c>
      <c r="P1421">
        <v>3434</v>
      </c>
    </row>
    <row r="1422" spans="15:16" x14ac:dyDescent="0.45">
      <c r="O1422" t="s">
        <v>7981</v>
      </c>
      <c r="P1422">
        <v>3129</v>
      </c>
    </row>
    <row r="1423" spans="15:16" x14ac:dyDescent="0.45">
      <c r="O1423" t="s">
        <v>7982</v>
      </c>
      <c r="P1423">
        <v>3660</v>
      </c>
    </row>
    <row r="1424" spans="15:16" x14ac:dyDescent="0.45">
      <c r="O1424" t="s">
        <v>7983</v>
      </c>
      <c r="P1424">
        <v>3723</v>
      </c>
    </row>
    <row r="1425" spans="15:16" x14ac:dyDescent="0.45">
      <c r="O1425" t="s">
        <v>7984</v>
      </c>
      <c r="P1425">
        <v>3101</v>
      </c>
    </row>
    <row r="1426" spans="15:16" x14ac:dyDescent="0.45">
      <c r="O1426" t="s">
        <v>7985</v>
      </c>
      <c r="P1426">
        <v>3102</v>
      </c>
    </row>
    <row r="1427" spans="15:16" x14ac:dyDescent="0.45">
      <c r="O1427" t="s">
        <v>7986</v>
      </c>
      <c r="P1427">
        <v>3390</v>
      </c>
    </row>
    <row r="1428" spans="15:16" x14ac:dyDescent="0.45">
      <c r="O1428" t="s">
        <v>7987</v>
      </c>
      <c r="P1428">
        <v>3173</v>
      </c>
    </row>
    <row r="1429" spans="15:16" x14ac:dyDescent="0.45">
      <c r="O1429" t="s">
        <v>7988</v>
      </c>
      <c r="P1429">
        <v>3631</v>
      </c>
    </row>
    <row r="1430" spans="15:16" x14ac:dyDescent="0.45">
      <c r="O1430" t="s">
        <v>7989</v>
      </c>
      <c r="P1430">
        <v>3631</v>
      </c>
    </row>
    <row r="1431" spans="15:16" x14ac:dyDescent="0.45">
      <c r="O1431" t="s">
        <v>7990</v>
      </c>
      <c r="P1431">
        <v>3631</v>
      </c>
    </row>
    <row r="1432" spans="15:16" x14ac:dyDescent="0.45">
      <c r="O1432" t="s">
        <v>7991</v>
      </c>
      <c r="P1432">
        <v>3418</v>
      </c>
    </row>
    <row r="1433" spans="15:16" x14ac:dyDescent="0.45">
      <c r="O1433" t="s">
        <v>7992</v>
      </c>
      <c r="P1433">
        <v>3691</v>
      </c>
    </row>
    <row r="1434" spans="15:16" x14ac:dyDescent="0.45">
      <c r="O1434" t="s">
        <v>7993</v>
      </c>
      <c r="P1434">
        <v>3995</v>
      </c>
    </row>
    <row r="1435" spans="15:16" x14ac:dyDescent="0.45">
      <c r="O1435" t="s">
        <v>7994</v>
      </c>
      <c r="P1435">
        <v>3312</v>
      </c>
    </row>
    <row r="1436" spans="15:16" x14ac:dyDescent="0.45">
      <c r="O1436" t="s">
        <v>7995</v>
      </c>
      <c r="P1436">
        <v>3283</v>
      </c>
    </row>
    <row r="1437" spans="15:16" x14ac:dyDescent="0.45">
      <c r="O1437" t="s">
        <v>7996</v>
      </c>
      <c r="P1437">
        <v>3678</v>
      </c>
    </row>
    <row r="1438" spans="15:16" x14ac:dyDescent="0.45">
      <c r="O1438" t="s">
        <v>7997</v>
      </c>
      <c r="P1438">
        <v>3717</v>
      </c>
    </row>
    <row r="1439" spans="15:16" x14ac:dyDescent="0.45">
      <c r="O1439" t="s">
        <v>7998</v>
      </c>
      <c r="P1439">
        <v>3851</v>
      </c>
    </row>
    <row r="1440" spans="15:16" x14ac:dyDescent="0.45">
      <c r="O1440" t="s">
        <v>7999</v>
      </c>
      <c r="P1440">
        <v>3764</v>
      </c>
    </row>
    <row r="1441" spans="15:16" x14ac:dyDescent="0.45">
      <c r="O1441" t="s">
        <v>8000</v>
      </c>
      <c r="P1441">
        <v>3764</v>
      </c>
    </row>
    <row r="1442" spans="15:16" x14ac:dyDescent="0.45">
      <c r="O1442" t="s">
        <v>8001</v>
      </c>
      <c r="P1442">
        <v>3137</v>
      </c>
    </row>
    <row r="1443" spans="15:16" x14ac:dyDescent="0.45">
      <c r="O1443" t="s">
        <v>8002</v>
      </c>
      <c r="P1443">
        <v>3137</v>
      </c>
    </row>
    <row r="1444" spans="15:16" x14ac:dyDescent="0.45">
      <c r="O1444" t="s">
        <v>8003</v>
      </c>
      <c r="P1444">
        <v>3551</v>
      </c>
    </row>
    <row r="1445" spans="15:16" x14ac:dyDescent="0.45">
      <c r="O1445" t="s">
        <v>8004</v>
      </c>
      <c r="P1445">
        <v>3678</v>
      </c>
    </row>
    <row r="1446" spans="15:16" x14ac:dyDescent="0.45">
      <c r="O1446" t="s">
        <v>8005</v>
      </c>
      <c r="P1446">
        <v>3763</v>
      </c>
    </row>
    <row r="1447" spans="15:16" x14ac:dyDescent="0.45">
      <c r="O1447" t="s">
        <v>8006</v>
      </c>
      <c r="P1447">
        <v>3757</v>
      </c>
    </row>
    <row r="1448" spans="15:16" x14ac:dyDescent="0.45">
      <c r="O1448" t="s">
        <v>8007</v>
      </c>
      <c r="P1448">
        <v>3757</v>
      </c>
    </row>
    <row r="1449" spans="15:16" x14ac:dyDescent="0.45">
      <c r="O1449" t="s">
        <v>8008</v>
      </c>
      <c r="P1449">
        <v>3517</v>
      </c>
    </row>
    <row r="1450" spans="15:16" x14ac:dyDescent="0.45">
      <c r="O1450" t="s">
        <v>8009</v>
      </c>
      <c r="P1450">
        <v>3021</v>
      </c>
    </row>
    <row r="1451" spans="15:16" x14ac:dyDescent="0.45">
      <c r="O1451" t="s">
        <v>8010</v>
      </c>
      <c r="P1451">
        <v>3083</v>
      </c>
    </row>
    <row r="1452" spans="15:16" x14ac:dyDescent="0.45">
      <c r="O1452" t="s">
        <v>8011</v>
      </c>
      <c r="P1452">
        <v>3364</v>
      </c>
    </row>
    <row r="1453" spans="15:16" x14ac:dyDescent="0.45">
      <c r="O1453" t="s">
        <v>8012</v>
      </c>
      <c r="P1453">
        <v>3012</v>
      </c>
    </row>
    <row r="1454" spans="15:16" x14ac:dyDescent="0.45">
      <c r="O1454" t="s">
        <v>8013</v>
      </c>
      <c r="P1454">
        <v>3483</v>
      </c>
    </row>
    <row r="1455" spans="15:16" x14ac:dyDescent="0.45">
      <c r="O1455" t="s">
        <v>8014</v>
      </c>
      <c r="P1455">
        <v>3520</v>
      </c>
    </row>
    <row r="1456" spans="15:16" x14ac:dyDescent="0.45">
      <c r="O1456" t="s">
        <v>8015</v>
      </c>
      <c r="P1456">
        <v>3283</v>
      </c>
    </row>
    <row r="1457" spans="15:16" x14ac:dyDescent="0.45">
      <c r="O1457" t="s">
        <v>8016</v>
      </c>
      <c r="P1457">
        <v>3608</v>
      </c>
    </row>
    <row r="1458" spans="15:16" x14ac:dyDescent="0.45">
      <c r="O1458" t="s">
        <v>8017</v>
      </c>
      <c r="P1458">
        <v>3666</v>
      </c>
    </row>
    <row r="1459" spans="15:16" x14ac:dyDescent="0.45">
      <c r="O1459" t="s">
        <v>8018</v>
      </c>
      <c r="P1459">
        <v>3286</v>
      </c>
    </row>
    <row r="1460" spans="15:16" x14ac:dyDescent="0.45">
      <c r="O1460" t="s">
        <v>8019</v>
      </c>
      <c r="P1460">
        <v>3723</v>
      </c>
    </row>
    <row r="1461" spans="15:16" x14ac:dyDescent="0.45">
      <c r="O1461" t="s">
        <v>8020</v>
      </c>
      <c r="P1461">
        <v>3523</v>
      </c>
    </row>
    <row r="1462" spans="15:16" x14ac:dyDescent="0.45">
      <c r="O1462" t="s">
        <v>8021</v>
      </c>
      <c r="P1462">
        <v>3152</v>
      </c>
    </row>
    <row r="1463" spans="15:16" x14ac:dyDescent="0.45">
      <c r="O1463" t="s">
        <v>8022</v>
      </c>
      <c r="P1463">
        <v>3180</v>
      </c>
    </row>
    <row r="1464" spans="15:16" x14ac:dyDescent="0.45">
      <c r="O1464" t="s">
        <v>8023</v>
      </c>
      <c r="P1464">
        <v>3260</v>
      </c>
    </row>
    <row r="1465" spans="15:16" x14ac:dyDescent="0.45">
      <c r="O1465" t="s">
        <v>8024</v>
      </c>
      <c r="P1465">
        <v>3704</v>
      </c>
    </row>
    <row r="1466" spans="15:16" x14ac:dyDescent="0.45">
      <c r="O1466" t="s">
        <v>8025</v>
      </c>
      <c r="P1466">
        <v>3265</v>
      </c>
    </row>
    <row r="1467" spans="15:16" x14ac:dyDescent="0.45">
      <c r="O1467" t="s">
        <v>8026</v>
      </c>
      <c r="P1467">
        <v>3951</v>
      </c>
    </row>
    <row r="1468" spans="15:16" x14ac:dyDescent="0.45">
      <c r="O1468" t="s">
        <v>8027</v>
      </c>
      <c r="P1468">
        <v>3315</v>
      </c>
    </row>
    <row r="1469" spans="15:16" x14ac:dyDescent="0.45">
      <c r="O1469" t="s">
        <v>8028</v>
      </c>
      <c r="P1469">
        <v>3981</v>
      </c>
    </row>
    <row r="1470" spans="15:16" x14ac:dyDescent="0.45">
      <c r="O1470" t="s">
        <v>8029</v>
      </c>
      <c r="P1470">
        <v>3981</v>
      </c>
    </row>
    <row r="1471" spans="15:16" x14ac:dyDescent="0.45">
      <c r="O1471" t="s">
        <v>8030</v>
      </c>
      <c r="P1471">
        <v>3597</v>
      </c>
    </row>
    <row r="1472" spans="15:16" x14ac:dyDescent="0.45">
      <c r="O1472" t="s">
        <v>8031</v>
      </c>
      <c r="P1472">
        <v>3669</v>
      </c>
    </row>
    <row r="1473" spans="15:16" x14ac:dyDescent="0.45">
      <c r="O1473" t="s">
        <v>8032</v>
      </c>
      <c r="P1473">
        <v>3580</v>
      </c>
    </row>
    <row r="1474" spans="15:16" x14ac:dyDescent="0.45">
      <c r="O1474" t="s">
        <v>8033</v>
      </c>
      <c r="P1474">
        <v>3644</v>
      </c>
    </row>
    <row r="1475" spans="15:16" x14ac:dyDescent="0.45">
      <c r="O1475" t="s">
        <v>8034</v>
      </c>
      <c r="P1475">
        <v>3954</v>
      </c>
    </row>
    <row r="1476" spans="15:16" x14ac:dyDescent="0.45">
      <c r="O1476" t="s">
        <v>8035</v>
      </c>
      <c r="P1476">
        <v>3477</v>
      </c>
    </row>
    <row r="1477" spans="15:16" x14ac:dyDescent="0.45">
      <c r="O1477" t="s">
        <v>8036</v>
      </c>
      <c r="P1477">
        <v>3501</v>
      </c>
    </row>
    <row r="1478" spans="15:16" x14ac:dyDescent="0.45">
      <c r="O1478" t="s">
        <v>8037</v>
      </c>
      <c r="P1478">
        <v>3844</v>
      </c>
    </row>
    <row r="1479" spans="15:16" x14ac:dyDescent="0.45">
      <c r="O1479" t="s">
        <v>8038</v>
      </c>
      <c r="P1479">
        <v>3364</v>
      </c>
    </row>
    <row r="1480" spans="15:16" x14ac:dyDescent="0.45">
      <c r="O1480" t="s">
        <v>8039</v>
      </c>
      <c r="P1480">
        <v>3860</v>
      </c>
    </row>
    <row r="1481" spans="15:16" x14ac:dyDescent="0.45">
      <c r="O1481" t="s">
        <v>8040</v>
      </c>
      <c r="P1481">
        <v>3953</v>
      </c>
    </row>
    <row r="1482" spans="15:16" x14ac:dyDescent="0.45">
      <c r="O1482" t="s">
        <v>8041</v>
      </c>
      <c r="P1482">
        <v>3144</v>
      </c>
    </row>
    <row r="1483" spans="15:16" x14ac:dyDescent="0.45">
      <c r="O1483" t="s">
        <v>8042</v>
      </c>
      <c r="P1483">
        <v>3714</v>
      </c>
    </row>
    <row r="1484" spans="15:16" x14ac:dyDescent="0.45">
      <c r="O1484" t="s">
        <v>8043</v>
      </c>
      <c r="P1484">
        <v>3341</v>
      </c>
    </row>
    <row r="1485" spans="15:16" x14ac:dyDescent="0.45">
      <c r="O1485" t="s">
        <v>8044</v>
      </c>
      <c r="P1485">
        <v>3282</v>
      </c>
    </row>
    <row r="1486" spans="15:16" x14ac:dyDescent="0.45">
      <c r="O1486" t="s">
        <v>8045</v>
      </c>
      <c r="P1486">
        <v>3520</v>
      </c>
    </row>
    <row r="1487" spans="15:16" x14ac:dyDescent="0.45">
      <c r="O1487" t="s">
        <v>8046</v>
      </c>
      <c r="P1487">
        <v>3579</v>
      </c>
    </row>
    <row r="1488" spans="15:16" x14ac:dyDescent="0.45">
      <c r="O1488" t="s">
        <v>8047</v>
      </c>
      <c r="P1488">
        <v>3950</v>
      </c>
    </row>
    <row r="1489" spans="15:16" x14ac:dyDescent="0.45">
      <c r="O1489" t="s">
        <v>8048</v>
      </c>
      <c r="P1489">
        <v>3950</v>
      </c>
    </row>
    <row r="1490" spans="15:16" x14ac:dyDescent="0.45">
      <c r="O1490" t="s">
        <v>8049</v>
      </c>
      <c r="P1490">
        <v>3461</v>
      </c>
    </row>
    <row r="1491" spans="15:16" x14ac:dyDescent="0.45">
      <c r="O1491" t="s">
        <v>8050</v>
      </c>
      <c r="P1491">
        <v>3565</v>
      </c>
    </row>
    <row r="1492" spans="15:16" x14ac:dyDescent="0.45">
      <c r="O1492" t="s">
        <v>8051</v>
      </c>
      <c r="P1492">
        <v>3638</v>
      </c>
    </row>
    <row r="1493" spans="15:16" x14ac:dyDescent="0.45">
      <c r="O1493" t="s">
        <v>8052</v>
      </c>
      <c r="P1493">
        <v>3622</v>
      </c>
    </row>
    <row r="1494" spans="15:16" x14ac:dyDescent="0.45">
      <c r="O1494" t="s">
        <v>8053</v>
      </c>
      <c r="P1494">
        <v>3945</v>
      </c>
    </row>
    <row r="1495" spans="15:16" x14ac:dyDescent="0.45">
      <c r="O1495" t="s">
        <v>8054</v>
      </c>
      <c r="P1495">
        <v>3490</v>
      </c>
    </row>
    <row r="1496" spans="15:16" x14ac:dyDescent="0.45">
      <c r="O1496" t="s">
        <v>8055</v>
      </c>
      <c r="P1496">
        <v>3585</v>
      </c>
    </row>
    <row r="1497" spans="15:16" x14ac:dyDescent="0.45">
      <c r="O1497" t="s">
        <v>8056</v>
      </c>
      <c r="P1497">
        <v>3930</v>
      </c>
    </row>
    <row r="1498" spans="15:16" x14ac:dyDescent="0.45">
      <c r="O1498" t="s">
        <v>8057</v>
      </c>
      <c r="P1498">
        <v>3518</v>
      </c>
    </row>
    <row r="1499" spans="15:16" x14ac:dyDescent="0.45">
      <c r="O1499" t="s">
        <v>8058</v>
      </c>
      <c r="P1499">
        <v>3518</v>
      </c>
    </row>
    <row r="1500" spans="15:16" x14ac:dyDescent="0.45">
      <c r="O1500" t="s">
        <v>8059</v>
      </c>
      <c r="P1500">
        <v>3517</v>
      </c>
    </row>
    <row r="1501" spans="15:16" x14ac:dyDescent="0.45">
      <c r="O1501" t="s">
        <v>8060</v>
      </c>
      <c r="P1501">
        <v>3337</v>
      </c>
    </row>
    <row r="1502" spans="15:16" x14ac:dyDescent="0.45">
      <c r="O1502" t="s">
        <v>8061</v>
      </c>
      <c r="P1502">
        <v>3620</v>
      </c>
    </row>
    <row r="1503" spans="15:16" x14ac:dyDescent="0.45">
      <c r="O1503" t="s">
        <v>8062</v>
      </c>
      <c r="P1503">
        <v>3620</v>
      </c>
    </row>
    <row r="1504" spans="15:16" x14ac:dyDescent="0.45">
      <c r="O1504" t="s">
        <v>8063</v>
      </c>
      <c r="P1504">
        <v>3444</v>
      </c>
    </row>
    <row r="1505" spans="15:16" x14ac:dyDescent="0.45">
      <c r="O1505" t="s">
        <v>8064</v>
      </c>
      <c r="P1505">
        <v>3444</v>
      </c>
    </row>
    <row r="1506" spans="15:16" x14ac:dyDescent="0.45">
      <c r="O1506" t="s">
        <v>8065</v>
      </c>
      <c r="P1506">
        <v>3621</v>
      </c>
    </row>
    <row r="1507" spans="15:16" x14ac:dyDescent="0.45">
      <c r="O1507" t="s">
        <v>8066</v>
      </c>
      <c r="P1507">
        <v>3083</v>
      </c>
    </row>
    <row r="1508" spans="15:16" x14ac:dyDescent="0.45">
      <c r="O1508" t="s">
        <v>8067</v>
      </c>
      <c r="P1508">
        <v>3463</v>
      </c>
    </row>
    <row r="1509" spans="15:16" x14ac:dyDescent="0.45">
      <c r="O1509" t="s">
        <v>8068</v>
      </c>
      <c r="P1509">
        <v>3265</v>
      </c>
    </row>
    <row r="1510" spans="15:16" x14ac:dyDescent="0.45">
      <c r="O1510" t="s">
        <v>8069</v>
      </c>
      <c r="P1510">
        <v>3816</v>
      </c>
    </row>
    <row r="1511" spans="15:16" x14ac:dyDescent="0.45">
      <c r="O1511" t="s">
        <v>8070</v>
      </c>
      <c r="P1511">
        <v>3130</v>
      </c>
    </row>
    <row r="1512" spans="15:16" x14ac:dyDescent="0.45">
      <c r="O1512" t="s">
        <v>8071</v>
      </c>
      <c r="P1512">
        <v>3678</v>
      </c>
    </row>
    <row r="1513" spans="15:16" x14ac:dyDescent="0.45">
      <c r="O1513" t="s">
        <v>8072</v>
      </c>
      <c r="P1513">
        <v>3523</v>
      </c>
    </row>
    <row r="1514" spans="15:16" x14ac:dyDescent="0.45">
      <c r="O1514" t="s">
        <v>8073</v>
      </c>
      <c r="P1514">
        <v>3480</v>
      </c>
    </row>
    <row r="1515" spans="15:16" x14ac:dyDescent="0.45">
      <c r="O1515" t="s">
        <v>8074</v>
      </c>
      <c r="P1515">
        <v>3480</v>
      </c>
    </row>
    <row r="1516" spans="15:16" x14ac:dyDescent="0.45">
      <c r="O1516" t="s">
        <v>8075</v>
      </c>
      <c r="P1516">
        <v>3480</v>
      </c>
    </row>
    <row r="1517" spans="15:16" x14ac:dyDescent="0.45">
      <c r="O1517" t="s">
        <v>8076</v>
      </c>
      <c r="P1517">
        <v>3393</v>
      </c>
    </row>
    <row r="1518" spans="15:16" x14ac:dyDescent="0.45">
      <c r="O1518" t="s">
        <v>8077</v>
      </c>
      <c r="P1518">
        <v>3401</v>
      </c>
    </row>
    <row r="1519" spans="15:16" x14ac:dyDescent="0.45">
      <c r="O1519" t="s">
        <v>8078</v>
      </c>
      <c r="P1519">
        <v>3584</v>
      </c>
    </row>
    <row r="1520" spans="15:16" x14ac:dyDescent="0.45">
      <c r="O1520" t="s">
        <v>8079</v>
      </c>
      <c r="P1520">
        <v>3351</v>
      </c>
    </row>
    <row r="1521" spans="15:16" x14ac:dyDescent="0.45">
      <c r="O1521" t="s">
        <v>8080</v>
      </c>
      <c r="P1521">
        <v>3909</v>
      </c>
    </row>
    <row r="1522" spans="15:16" x14ac:dyDescent="0.45">
      <c r="O1522" t="s">
        <v>8081</v>
      </c>
      <c r="P1522">
        <v>3581</v>
      </c>
    </row>
    <row r="1523" spans="15:16" x14ac:dyDescent="0.45">
      <c r="O1523" t="s">
        <v>8082</v>
      </c>
      <c r="P1523">
        <v>3303</v>
      </c>
    </row>
    <row r="1524" spans="15:16" x14ac:dyDescent="0.45">
      <c r="O1524" t="s">
        <v>8083</v>
      </c>
      <c r="P1524">
        <v>3713</v>
      </c>
    </row>
    <row r="1525" spans="15:16" x14ac:dyDescent="0.45">
      <c r="O1525" t="s">
        <v>8084</v>
      </c>
      <c r="P1525">
        <v>3551</v>
      </c>
    </row>
    <row r="1526" spans="15:16" x14ac:dyDescent="0.45">
      <c r="O1526" t="s">
        <v>8085</v>
      </c>
      <c r="P1526">
        <v>3381</v>
      </c>
    </row>
    <row r="1527" spans="15:16" x14ac:dyDescent="0.45">
      <c r="O1527" t="s">
        <v>8086</v>
      </c>
      <c r="P1527">
        <v>3355</v>
      </c>
    </row>
    <row r="1528" spans="15:16" x14ac:dyDescent="0.45">
      <c r="O1528" t="s">
        <v>8087</v>
      </c>
      <c r="P1528">
        <v>3373</v>
      </c>
    </row>
    <row r="1529" spans="15:16" x14ac:dyDescent="0.45">
      <c r="O1529" t="s">
        <v>8088</v>
      </c>
      <c r="P1529">
        <v>3691</v>
      </c>
    </row>
    <row r="1530" spans="15:16" x14ac:dyDescent="0.45">
      <c r="O1530" t="s">
        <v>8089</v>
      </c>
      <c r="P1530">
        <v>3381</v>
      </c>
    </row>
    <row r="1531" spans="15:16" x14ac:dyDescent="0.45">
      <c r="O1531" t="s">
        <v>8090</v>
      </c>
      <c r="P1531">
        <v>3525</v>
      </c>
    </row>
    <row r="1532" spans="15:16" x14ac:dyDescent="0.45">
      <c r="O1532" t="s">
        <v>8091</v>
      </c>
      <c r="P1532">
        <v>3579</v>
      </c>
    </row>
    <row r="1533" spans="15:16" x14ac:dyDescent="0.45">
      <c r="O1533" t="s">
        <v>8092</v>
      </c>
      <c r="P1533">
        <v>3312</v>
      </c>
    </row>
    <row r="1534" spans="15:16" x14ac:dyDescent="0.45">
      <c r="O1534" t="s">
        <v>8093</v>
      </c>
      <c r="P1534">
        <v>3597</v>
      </c>
    </row>
    <row r="1535" spans="15:16" x14ac:dyDescent="0.45">
      <c r="O1535" t="s">
        <v>8094</v>
      </c>
      <c r="P1535">
        <v>3727</v>
      </c>
    </row>
    <row r="1536" spans="15:16" x14ac:dyDescent="0.45">
      <c r="O1536" t="s">
        <v>8095</v>
      </c>
      <c r="P1536">
        <v>3887</v>
      </c>
    </row>
    <row r="1537" spans="15:16" x14ac:dyDescent="0.45">
      <c r="O1537" t="s">
        <v>8096</v>
      </c>
      <c r="P1537">
        <v>3909</v>
      </c>
    </row>
    <row r="1538" spans="15:16" x14ac:dyDescent="0.45">
      <c r="O1538" t="s">
        <v>8097</v>
      </c>
      <c r="P1538">
        <v>3533</v>
      </c>
    </row>
    <row r="1539" spans="15:16" x14ac:dyDescent="0.45">
      <c r="O1539" t="s">
        <v>8098</v>
      </c>
      <c r="P1539">
        <v>3851</v>
      </c>
    </row>
    <row r="1540" spans="15:16" x14ac:dyDescent="0.45">
      <c r="O1540" t="s">
        <v>8099</v>
      </c>
      <c r="P1540">
        <v>3350</v>
      </c>
    </row>
    <row r="1541" spans="15:16" x14ac:dyDescent="0.45">
      <c r="O1541" t="s">
        <v>8100</v>
      </c>
      <c r="P1541">
        <v>3373</v>
      </c>
    </row>
    <row r="1542" spans="15:16" x14ac:dyDescent="0.45">
      <c r="O1542" t="s">
        <v>8101</v>
      </c>
      <c r="P1542">
        <v>3909</v>
      </c>
    </row>
    <row r="1543" spans="15:16" x14ac:dyDescent="0.45">
      <c r="O1543" t="s">
        <v>8102</v>
      </c>
      <c r="P1543">
        <v>3352</v>
      </c>
    </row>
    <row r="1544" spans="15:16" x14ac:dyDescent="0.45">
      <c r="O1544" t="s">
        <v>8103</v>
      </c>
      <c r="P1544">
        <v>3644</v>
      </c>
    </row>
    <row r="1545" spans="15:16" x14ac:dyDescent="0.45">
      <c r="O1545" t="s">
        <v>8104</v>
      </c>
      <c r="P1545">
        <v>3542</v>
      </c>
    </row>
    <row r="1546" spans="15:16" x14ac:dyDescent="0.45">
      <c r="O1546" t="s">
        <v>8105</v>
      </c>
      <c r="P1546">
        <v>3075</v>
      </c>
    </row>
    <row r="1547" spans="15:16" x14ac:dyDescent="0.45">
      <c r="O1547" t="s">
        <v>8106</v>
      </c>
      <c r="P1547">
        <v>3352</v>
      </c>
    </row>
    <row r="1548" spans="15:16" x14ac:dyDescent="0.45">
      <c r="O1548" t="s">
        <v>8107</v>
      </c>
      <c r="P1548">
        <v>3620</v>
      </c>
    </row>
    <row r="1549" spans="15:16" x14ac:dyDescent="0.45">
      <c r="O1549" t="s">
        <v>8108</v>
      </c>
      <c r="P1549">
        <v>3995</v>
      </c>
    </row>
    <row r="1550" spans="15:16" x14ac:dyDescent="0.45">
      <c r="O1550" t="s">
        <v>8109</v>
      </c>
      <c r="P1550">
        <v>3435</v>
      </c>
    </row>
    <row r="1551" spans="15:16" x14ac:dyDescent="0.45">
      <c r="O1551" t="s">
        <v>8110</v>
      </c>
      <c r="P1551">
        <v>3384</v>
      </c>
    </row>
    <row r="1552" spans="15:16" x14ac:dyDescent="0.45">
      <c r="O1552" t="s">
        <v>8111</v>
      </c>
      <c r="P1552">
        <v>3384</v>
      </c>
    </row>
    <row r="1553" spans="15:16" x14ac:dyDescent="0.45">
      <c r="O1553" t="s">
        <v>8112</v>
      </c>
      <c r="P1553">
        <v>3984</v>
      </c>
    </row>
    <row r="1554" spans="15:16" x14ac:dyDescent="0.45">
      <c r="O1554" t="s">
        <v>8113</v>
      </c>
      <c r="P1554">
        <v>3984</v>
      </c>
    </row>
    <row r="1555" spans="15:16" x14ac:dyDescent="0.45">
      <c r="O1555" t="s">
        <v>8114</v>
      </c>
      <c r="P1555">
        <v>3363</v>
      </c>
    </row>
    <row r="1556" spans="15:16" x14ac:dyDescent="0.45">
      <c r="O1556" t="s">
        <v>8115</v>
      </c>
      <c r="P1556">
        <v>3352</v>
      </c>
    </row>
    <row r="1557" spans="15:16" x14ac:dyDescent="0.45">
      <c r="O1557" t="s">
        <v>8116</v>
      </c>
      <c r="P1557">
        <v>3377</v>
      </c>
    </row>
    <row r="1558" spans="15:16" x14ac:dyDescent="0.45">
      <c r="O1558" t="s">
        <v>8117</v>
      </c>
      <c r="P1558">
        <v>3318</v>
      </c>
    </row>
    <row r="1559" spans="15:16" x14ac:dyDescent="0.45">
      <c r="O1559" t="s">
        <v>8118</v>
      </c>
      <c r="P1559">
        <v>3444</v>
      </c>
    </row>
    <row r="1560" spans="15:16" x14ac:dyDescent="0.45">
      <c r="O1560" t="s">
        <v>8119</v>
      </c>
      <c r="P1560">
        <v>3971</v>
      </c>
    </row>
    <row r="1561" spans="15:16" x14ac:dyDescent="0.45">
      <c r="O1561" t="s">
        <v>8120</v>
      </c>
      <c r="P1561">
        <v>3910</v>
      </c>
    </row>
    <row r="1562" spans="15:16" x14ac:dyDescent="0.45">
      <c r="O1562" t="s">
        <v>8121</v>
      </c>
      <c r="P1562">
        <v>3911</v>
      </c>
    </row>
    <row r="1563" spans="15:16" x14ac:dyDescent="0.45">
      <c r="O1563" t="s">
        <v>8122</v>
      </c>
      <c r="P1563">
        <v>3555</v>
      </c>
    </row>
    <row r="1564" spans="15:16" x14ac:dyDescent="0.45">
      <c r="O1564" t="s">
        <v>8123</v>
      </c>
      <c r="P1564">
        <v>3212</v>
      </c>
    </row>
    <row r="1565" spans="15:16" x14ac:dyDescent="0.45">
      <c r="O1565" t="s">
        <v>8124</v>
      </c>
      <c r="P1565">
        <v>3821</v>
      </c>
    </row>
    <row r="1566" spans="15:16" x14ac:dyDescent="0.45">
      <c r="O1566" t="s">
        <v>8125</v>
      </c>
      <c r="P1566">
        <v>3249</v>
      </c>
    </row>
    <row r="1567" spans="15:16" x14ac:dyDescent="0.45">
      <c r="O1567" t="s">
        <v>8126</v>
      </c>
      <c r="P1567">
        <v>3325</v>
      </c>
    </row>
    <row r="1568" spans="15:16" x14ac:dyDescent="0.45">
      <c r="O1568" t="s">
        <v>8127</v>
      </c>
      <c r="P1568">
        <v>3487</v>
      </c>
    </row>
    <row r="1569" spans="15:16" x14ac:dyDescent="0.45">
      <c r="O1569" t="s">
        <v>8128</v>
      </c>
      <c r="P1569">
        <v>3139</v>
      </c>
    </row>
    <row r="1570" spans="15:16" x14ac:dyDescent="0.45">
      <c r="O1570" t="s">
        <v>8129</v>
      </c>
      <c r="P1570">
        <v>3444</v>
      </c>
    </row>
    <row r="1571" spans="15:16" x14ac:dyDescent="0.45">
      <c r="O1571" t="s">
        <v>8130</v>
      </c>
      <c r="P1571">
        <v>3238</v>
      </c>
    </row>
    <row r="1572" spans="15:16" x14ac:dyDescent="0.45">
      <c r="O1572" t="s">
        <v>8131</v>
      </c>
      <c r="P1572">
        <v>3028</v>
      </c>
    </row>
    <row r="1573" spans="15:16" x14ac:dyDescent="0.45">
      <c r="O1573" t="s">
        <v>8132</v>
      </c>
      <c r="P1573">
        <v>3026</v>
      </c>
    </row>
    <row r="1574" spans="15:16" x14ac:dyDescent="0.45">
      <c r="O1574" t="s">
        <v>8133</v>
      </c>
      <c r="P1574">
        <v>3480</v>
      </c>
    </row>
    <row r="1575" spans="15:16" x14ac:dyDescent="0.45">
      <c r="O1575" t="s">
        <v>8134</v>
      </c>
      <c r="P1575">
        <v>3418</v>
      </c>
    </row>
    <row r="1576" spans="15:16" x14ac:dyDescent="0.45">
      <c r="O1576" t="s">
        <v>8135</v>
      </c>
      <c r="P1576">
        <v>3364</v>
      </c>
    </row>
    <row r="1577" spans="15:16" x14ac:dyDescent="0.45">
      <c r="O1577" t="s">
        <v>8136</v>
      </c>
      <c r="P1577">
        <v>3537</v>
      </c>
    </row>
    <row r="1578" spans="15:16" x14ac:dyDescent="0.45">
      <c r="O1578" t="s">
        <v>8137</v>
      </c>
      <c r="P1578">
        <v>3352</v>
      </c>
    </row>
    <row r="1579" spans="15:16" x14ac:dyDescent="0.45">
      <c r="O1579" t="s">
        <v>8138</v>
      </c>
      <c r="P1579">
        <v>3385</v>
      </c>
    </row>
    <row r="1580" spans="15:16" x14ac:dyDescent="0.45">
      <c r="O1580" t="s">
        <v>8139</v>
      </c>
      <c r="P1580">
        <v>3516</v>
      </c>
    </row>
    <row r="1581" spans="15:16" x14ac:dyDescent="0.45">
      <c r="O1581" t="s">
        <v>8140</v>
      </c>
      <c r="P1581">
        <v>3352</v>
      </c>
    </row>
    <row r="1582" spans="15:16" x14ac:dyDescent="0.45">
      <c r="O1582" t="s">
        <v>8141</v>
      </c>
      <c r="P1582">
        <v>3567</v>
      </c>
    </row>
    <row r="1583" spans="15:16" x14ac:dyDescent="0.45">
      <c r="O1583" t="s">
        <v>8142</v>
      </c>
      <c r="P1583">
        <v>3631</v>
      </c>
    </row>
    <row r="1584" spans="15:16" x14ac:dyDescent="0.45">
      <c r="O1584" t="s">
        <v>8143</v>
      </c>
      <c r="P1584">
        <v>3691</v>
      </c>
    </row>
    <row r="1585" spans="15:16" x14ac:dyDescent="0.45">
      <c r="O1585" t="s">
        <v>8144</v>
      </c>
      <c r="P1585">
        <v>3461</v>
      </c>
    </row>
    <row r="1586" spans="15:16" x14ac:dyDescent="0.45">
      <c r="O1586" t="s">
        <v>8145</v>
      </c>
      <c r="P1586">
        <v>3953</v>
      </c>
    </row>
    <row r="1587" spans="15:16" x14ac:dyDescent="0.45">
      <c r="O1587" t="s">
        <v>8146</v>
      </c>
      <c r="P1587">
        <v>3953</v>
      </c>
    </row>
    <row r="1588" spans="15:16" x14ac:dyDescent="0.45">
      <c r="O1588" t="s">
        <v>8147</v>
      </c>
      <c r="P1588">
        <v>3953</v>
      </c>
    </row>
    <row r="1589" spans="15:16" x14ac:dyDescent="0.45">
      <c r="O1589" t="s">
        <v>8148</v>
      </c>
      <c r="P1589">
        <v>3224</v>
      </c>
    </row>
    <row r="1590" spans="15:16" x14ac:dyDescent="0.45">
      <c r="O1590" t="s">
        <v>8149</v>
      </c>
      <c r="P1590">
        <v>3458</v>
      </c>
    </row>
    <row r="1591" spans="15:16" x14ac:dyDescent="0.45">
      <c r="O1591" t="s">
        <v>8150</v>
      </c>
      <c r="P1591">
        <v>3260</v>
      </c>
    </row>
    <row r="1592" spans="15:16" x14ac:dyDescent="0.45">
      <c r="O1592" t="s">
        <v>8151</v>
      </c>
      <c r="P1592">
        <v>3332</v>
      </c>
    </row>
    <row r="1593" spans="15:16" x14ac:dyDescent="0.45">
      <c r="O1593" t="s">
        <v>8152</v>
      </c>
      <c r="P1593">
        <v>3352</v>
      </c>
    </row>
    <row r="1594" spans="15:16" x14ac:dyDescent="0.45">
      <c r="O1594" t="s">
        <v>8153</v>
      </c>
      <c r="P1594">
        <v>3858</v>
      </c>
    </row>
    <row r="1595" spans="15:16" x14ac:dyDescent="0.45">
      <c r="O1595" t="s">
        <v>8154</v>
      </c>
      <c r="P1595">
        <v>3858</v>
      </c>
    </row>
    <row r="1596" spans="15:16" x14ac:dyDescent="0.45">
      <c r="O1596" t="s">
        <v>8155</v>
      </c>
      <c r="P1596">
        <v>3820</v>
      </c>
    </row>
    <row r="1597" spans="15:16" x14ac:dyDescent="0.45">
      <c r="O1597" t="s">
        <v>8156</v>
      </c>
      <c r="P1597">
        <v>3371</v>
      </c>
    </row>
    <row r="1598" spans="15:16" x14ac:dyDescent="0.45">
      <c r="O1598" t="s">
        <v>8157</v>
      </c>
      <c r="P1598">
        <v>3420</v>
      </c>
    </row>
    <row r="1599" spans="15:16" x14ac:dyDescent="0.45">
      <c r="O1599" t="s">
        <v>8158</v>
      </c>
      <c r="P1599">
        <v>3682</v>
      </c>
    </row>
    <row r="1600" spans="15:16" x14ac:dyDescent="0.45">
      <c r="O1600" t="s">
        <v>8159</v>
      </c>
      <c r="P1600">
        <v>3140</v>
      </c>
    </row>
    <row r="1601" spans="15:16" x14ac:dyDescent="0.45">
      <c r="O1601" t="s">
        <v>8160</v>
      </c>
      <c r="P1601">
        <v>3673</v>
      </c>
    </row>
    <row r="1602" spans="15:16" x14ac:dyDescent="0.45">
      <c r="O1602" t="s">
        <v>8161</v>
      </c>
      <c r="P1602">
        <v>3673</v>
      </c>
    </row>
    <row r="1603" spans="15:16" x14ac:dyDescent="0.45">
      <c r="O1603" t="s">
        <v>8162</v>
      </c>
      <c r="P1603">
        <v>3673</v>
      </c>
    </row>
    <row r="1604" spans="15:16" x14ac:dyDescent="0.45">
      <c r="O1604" t="s">
        <v>8163</v>
      </c>
      <c r="P1604">
        <v>3717</v>
      </c>
    </row>
    <row r="1605" spans="15:16" x14ac:dyDescent="0.45">
      <c r="O1605" t="s">
        <v>8164</v>
      </c>
      <c r="P1605">
        <v>3865</v>
      </c>
    </row>
    <row r="1606" spans="15:16" x14ac:dyDescent="0.45">
      <c r="O1606" t="s">
        <v>8165</v>
      </c>
      <c r="P1606">
        <v>3875</v>
      </c>
    </row>
    <row r="1607" spans="15:16" x14ac:dyDescent="0.45">
      <c r="O1607" t="s">
        <v>8166</v>
      </c>
      <c r="P1607">
        <v>3312</v>
      </c>
    </row>
    <row r="1608" spans="15:16" x14ac:dyDescent="0.45">
      <c r="O1608" t="s">
        <v>8167</v>
      </c>
      <c r="P1608">
        <v>3496</v>
      </c>
    </row>
    <row r="1609" spans="15:16" x14ac:dyDescent="0.45">
      <c r="O1609" t="s">
        <v>8168</v>
      </c>
      <c r="P1609">
        <v>3509</v>
      </c>
    </row>
    <row r="1610" spans="15:16" x14ac:dyDescent="0.45">
      <c r="O1610" t="s">
        <v>8169</v>
      </c>
      <c r="P1610">
        <v>3360</v>
      </c>
    </row>
    <row r="1611" spans="15:16" x14ac:dyDescent="0.45">
      <c r="O1611" t="s">
        <v>8170</v>
      </c>
      <c r="P1611">
        <v>3549</v>
      </c>
    </row>
    <row r="1612" spans="15:16" x14ac:dyDescent="0.45">
      <c r="O1612" t="s">
        <v>8171</v>
      </c>
      <c r="P1612">
        <v>3324</v>
      </c>
    </row>
    <row r="1613" spans="15:16" x14ac:dyDescent="0.45">
      <c r="O1613" t="s">
        <v>8172</v>
      </c>
      <c r="P1613">
        <v>3480</v>
      </c>
    </row>
    <row r="1614" spans="15:16" x14ac:dyDescent="0.45">
      <c r="O1614" t="s">
        <v>8173</v>
      </c>
      <c r="P1614">
        <v>3418</v>
      </c>
    </row>
    <row r="1615" spans="15:16" x14ac:dyDescent="0.45">
      <c r="O1615" t="s">
        <v>8174</v>
      </c>
      <c r="P1615">
        <v>3458</v>
      </c>
    </row>
    <row r="1616" spans="15:16" x14ac:dyDescent="0.45">
      <c r="O1616" t="s">
        <v>8175</v>
      </c>
      <c r="P1616">
        <v>3211</v>
      </c>
    </row>
    <row r="1617" spans="15:16" x14ac:dyDescent="0.45">
      <c r="O1617" t="s">
        <v>8176</v>
      </c>
      <c r="P1617">
        <v>3551</v>
      </c>
    </row>
    <row r="1618" spans="15:16" x14ac:dyDescent="0.45">
      <c r="O1618" t="s">
        <v>8177</v>
      </c>
      <c r="P1618">
        <v>3862</v>
      </c>
    </row>
    <row r="1619" spans="15:16" x14ac:dyDescent="0.45">
      <c r="O1619" t="s">
        <v>8178</v>
      </c>
      <c r="P1619">
        <v>3945</v>
      </c>
    </row>
    <row r="1620" spans="15:16" x14ac:dyDescent="0.45">
      <c r="O1620" t="s">
        <v>8179</v>
      </c>
      <c r="P1620">
        <v>3851</v>
      </c>
    </row>
    <row r="1621" spans="15:16" x14ac:dyDescent="0.45">
      <c r="O1621" t="s">
        <v>8180</v>
      </c>
      <c r="P1621">
        <v>3833</v>
      </c>
    </row>
    <row r="1622" spans="15:16" x14ac:dyDescent="0.45">
      <c r="O1622" t="s">
        <v>8181</v>
      </c>
      <c r="P1622">
        <v>3563</v>
      </c>
    </row>
    <row r="1623" spans="15:16" x14ac:dyDescent="0.45">
      <c r="O1623" t="s">
        <v>8182</v>
      </c>
      <c r="P1623">
        <v>3665</v>
      </c>
    </row>
    <row r="1624" spans="15:16" x14ac:dyDescent="0.45">
      <c r="O1624" t="s">
        <v>8183</v>
      </c>
      <c r="P1624">
        <v>3551</v>
      </c>
    </row>
    <row r="1625" spans="15:16" x14ac:dyDescent="0.45">
      <c r="O1625" t="s">
        <v>8184</v>
      </c>
      <c r="P1625">
        <v>3551</v>
      </c>
    </row>
    <row r="1626" spans="15:16" x14ac:dyDescent="0.45">
      <c r="O1626" t="s">
        <v>8185</v>
      </c>
      <c r="P1626">
        <v>3575</v>
      </c>
    </row>
    <row r="1627" spans="15:16" x14ac:dyDescent="0.45">
      <c r="O1627" t="s">
        <v>8186</v>
      </c>
      <c r="P1627">
        <v>3475</v>
      </c>
    </row>
    <row r="1628" spans="15:16" x14ac:dyDescent="0.45">
      <c r="O1628" t="s">
        <v>8187</v>
      </c>
      <c r="P1628">
        <v>3678</v>
      </c>
    </row>
    <row r="1629" spans="15:16" x14ac:dyDescent="0.45">
      <c r="O1629" t="s">
        <v>8188</v>
      </c>
      <c r="P1629">
        <v>3340</v>
      </c>
    </row>
    <row r="1630" spans="15:16" x14ac:dyDescent="0.45">
      <c r="O1630" t="s">
        <v>8189</v>
      </c>
      <c r="P1630">
        <v>3550</v>
      </c>
    </row>
    <row r="1631" spans="15:16" x14ac:dyDescent="0.45">
      <c r="O1631" t="s">
        <v>8190</v>
      </c>
      <c r="P1631">
        <v>3401</v>
      </c>
    </row>
    <row r="1632" spans="15:16" x14ac:dyDescent="0.45">
      <c r="O1632" t="s">
        <v>8191</v>
      </c>
      <c r="P1632">
        <v>3851</v>
      </c>
    </row>
    <row r="1633" spans="15:16" x14ac:dyDescent="0.45">
      <c r="O1633" t="s">
        <v>8192</v>
      </c>
      <c r="P1633">
        <v>3551</v>
      </c>
    </row>
    <row r="1634" spans="15:16" x14ac:dyDescent="0.45">
      <c r="O1634" t="s">
        <v>8193</v>
      </c>
      <c r="P1634">
        <v>3816</v>
      </c>
    </row>
    <row r="1635" spans="15:16" x14ac:dyDescent="0.45">
      <c r="O1635" t="s">
        <v>8194</v>
      </c>
      <c r="P1635">
        <v>3816</v>
      </c>
    </row>
    <row r="1636" spans="15:16" x14ac:dyDescent="0.45">
      <c r="O1636" t="s">
        <v>8195</v>
      </c>
      <c r="P1636">
        <v>3665</v>
      </c>
    </row>
    <row r="1637" spans="15:16" x14ac:dyDescent="0.45">
      <c r="O1637" t="s">
        <v>8196</v>
      </c>
      <c r="P1637">
        <v>3666</v>
      </c>
    </row>
    <row r="1638" spans="15:16" x14ac:dyDescent="0.45">
      <c r="O1638" t="s">
        <v>8197</v>
      </c>
      <c r="P1638">
        <v>3232</v>
      </c>
    </row>
    <row r="1639" spans="15:16" x14ac:dyDescent="0.45">
      <c r="O1639" t="s">
        <v>8198</v>
      </c>
      <c r="P1639">
        <v>3418</v>
      </c>
    </row>
    <row r="1640" spans="15:16" x14ac:dyDescent="0.45">
      <c r="O1640" t="s">
        <v>8199</v>
      </c>
      <c r="P1640">
        <v>3213</v>
      </c>
    </row>
    <row r="1641" spans="15:16" x14ac:dyDescent="0.45">
      <c r="O1641" t="s">
        <v>8200</v>
      </c>
      <c r="P1641">
        <v>3639</v>
      </c>
    </row>
    <row r="1642" spans="15:16" x14ac:dyDescent="0.45">
      <c r="O1642" t="s">
        <v>8201</v>
      </c>
      <c r="P1642">
        <v>3401</v>
      </c>
    </row>
    <row r="1643" spans="15:16" x14ac:dyDescent="0.45">
      <c r="O1643" t="s">
        <v>8202</v>
      </c>
      <c r="P1643">
        <v>3093</v>
      </c>
    </row>
    <row r="1644" spans="15:16" x14ac:dyDescent="0.45">
      <c r="O1644" t="s">
        <v>8203</v>
      </c>
      <c r="P1644">
        <v>3844</v>
      </c>
    </row>
    <row r="1645" spans="15:16" x14ac:dyDescent="0.45">
      <c r="O1645" t="s">
        <v>8204</v>
      </c>
      <c r="P1645">
        <v>3385</v>
      </c>
    </row>
    <row r="1646" spans="15:16" x14ac:dyDescent="0.45">
      <c r="O1646" t="s">
        <v>8205</v>
      </c>
      <c r="P1646">
        <v>3350</v>
      </c>
    </row>
    <row r="1647" spans="15:16" x14ac:dyDescent="0.45">
      <c r="O1647" t="s">
        <v>8206</v>
      </c>
      <c r="P1647">
        <v>3875</v>
      </c>
    </row>
    <row r="1648" spans="15:16" x14ac:dyDescent="0.45">
      <c r="O1648" t="s">
        <v>8207</v>
      </c>
      <c r="P1648">
        <v>3691</v>
      </c>
    </row>
    <row r="1649" spans="15:16" x14ac:dyDescent="0.45">
      <c r="O1649" t="s">
        <v>8208</v>
      </c>
      <c r="P1649">
        <v>3673</v>
      </c>
    </row>
    <row r="1650" spans="15:16" x14ac:dyDescent="0.45">
      <c r="O1650" t="s">
        <v>8209</v>
      </c>
      <c r="P1650">
        <v>3444</v>
      </c>
    </row>
    <row r="1651" spans="15:16" x14ac:dyDescent="0.45">
      <c r="O1651" t="s">
        <v>8210</v>
      </c>
      <c r="P1651">
        <v>3975</v>
      </c>
    </row>
    <row r="1652" spans="15:16" x14ac:dyDescent="0.45">
      <c r="O1652" t="s">
        <v>8211</v>
      </c>
      <c r="P1652">
        <v>3975</v>
      </c>
    </row>
    <row r="1653" spans="15:16" x14ac:dyDescent="0.45">
      <c r="O1653" t="s">
        <v>8212</v>
      </c>
      <c r="P1653">
        <v>3304</v>
      </c>
    </row>
    <row r="1654" spans="15:16" x14ac:dyDescent="0.45">
      <c r="O1654" t="s">
        <v>8213</v>
      </c>
      <c r="P1654">
        <v>3461</v>
      </c>
    </row>
    <row r="1655" spans="15:16" x14ac:dyDescent="0.45">
      <c r="O1655" t="s">
        <v>8214</v>
      </c>
      <c r="P1655">
        <v>3156</v>
      </c>
    </row>
    <row r="1656" spans="15:16" x14ac:dyDescent="0.45">
      <c r="O1656" t="s">
        <v>8215</v>
      </c>
      <c r="P1656">
        <v>3156</v>
      </c>
    </row>
    <row r="1657" spans="15:16" x14ac:dyDescent="0.45">
      <c r="O1657" t="s">
        <v>8216</v>
      </c>
      <c r="P1657">
        <v>3286</v>
      </c>
    </row>
    <row r="1658" spans="15:16" x14ac:dyDescent="0.45">
      <c r="O1658" t="s">
        <v>8217</v>
      </c>
      <c r="P1658">
        <v>3782</v>
      </c>
    </row>
    <row r="1659" spans="15:16" x14ac:dyDescent="0.45">
      <c r="O1659" t="s">
        <v>8218</v>
      </c>
      <c r="P1659">
        <v>3440</v>
      </c>
    </row>
    <row r="1660" spans="15:16" x14ac:dyDescent="0.45">
      <c r="O1660" t="s">
        <v>8219</v>
      </c>
      <c r="P1660">
        <v>3971</v>
      </c>
    </row>
    <row r="1661" spans="15:16" x14ac:dyDescent="0.45">
      <c r="O1661" t="s">
        <v>8220</v>
      </c>
      <c r="P1661">
        <v>3085</v>
      </c>
    </row>
    <row r="1662" spans="15:16" x14ac:dyDescent="0.45">
      <c r="O1662" t="s">
        <v>8221</v>
      </c>
      <c r="P1662">
        <v>3085</v>
      </c>
    </row>
    <row r="1663" spans="15:16" x14ac:dyDescent="0.45">
      <c r="O1663" t="s">
        <v>8222</v>
      </c>
      <c r="P1663">
        <v>3579</v>
      </c>
    </row>
    <row r="1664" spans="15:16" x14ac:dyDescent="0.45">
      <c r="O1664" t="s">
        <v>8223</v>
      </c>
      <c r="P1664">
        <v>3568</v>
      </c>
    </row>
    <row r="1665" spans="15:16" x14ac:dyDescent="0.45">
      <c r="O1665" t="s">
        <v>8224</v>
      </c>
      <c r="P1665">
        <v>3723</v>
      </c>
    </row>
    <row r="1666" spans="15:16" x14ac:dyDescent="0.45">
      <c r="O1666" t="s">
        <v>8225</v>
      </c>
      <c r="P1666">
        <v>3971</v>
      </c>
    </row>
    <row r="1667" spans="15:16" x14ac:dyDescent="0.45">
      <c r="O1667" t="s">
        <v>8226</v>
      </c>
      <c r="P1667">
        <v>3340</v>
      </c>
    </row>
    <row r="1668" spans="15:16" x14ac:dyDescent="0.45">
      <c r="O1668" t="s">
        <v>8227</v>
      </c>
      <c r="P1668">
        <v>3379</v>
      </c>
    </row>
    <row r="1669" spans="15:16" x14ac:dyDescent="0.45">
      <c r="O1669" t="s">
        <v>8228</v>
      </c>
      <c r="P1669">
        <v>3860</v>
      </c>
    </row>
    <row r="1670" spans="15:16" x14ac:dyDescent="0.45">
      <c r="O1670" t="s">
        <v>8229</v>
      </c>
      <c r="P1670">
        <v>3859</v>
      </c>
    </row>
    <row r="1671" spans="15:16" x14ac:dyDescent="0.45">
      <c r="O1671" t="s">
        <v>8230</v>
      </c>
      <c r="P1671">
        <v>3352</v>
      </c>
    </row>
    <row r="1672" spans="15:16" x14ac:dyDescent="0.45">
      <c r="O1672" t="s">
        <v>8231</v>
      </c>
      <c r="P1672">
        <v>3551</v>
      </c>
    </row>
    <row r="1673" spans="15:16" x14ac:dyDescent="0.45">
      <c r="O1673" t="s">
        <v>8232</v>
      </c>
      <c r="P1673">
        <v>3012</v>
      </c>
    </row>
    <row r="1674" spans="15:16" x14ac:dyDescent="0.45">
      <c r="O1674" t="s">
        <v>8233</v>
      </c>
      <c r="P1674">
        <v>3275</v>
      </c>
    </row>
    <row r="1675" spans="15:16" x14ac:dyDescent="0.45">
      <c r="O1675" t="s">
        <v>8234</v>
      </c>
      <c r="P1675">
        <v>3373</v>
      </c>
    </row>
    <row r="1676" spans="15:16" x14ac:dyDescent="0.45">
      <c r="O1676" t="s">
        <v>8235</v>
      </c>
      <c r="P1676">
        <v>3928</v>
      </c>
    </row>
    <row r="1677" spans="15:16" x14ac:dyDescent="0.45">
      <c r="O1677" t="s">
        <v>8236</v>
      </c>
      <c r="P1677">
        <v>3723</v>
      </c>
    </row>
    <row r="1678" spans="15:16" x14ac:dyDescent="0.45">
      <c r="O1678" t="s">
        <v>8237</v>
      </c>
      <c r="P1678">
        <v>3714</v>
      </c>
    </row>
    <row r="1679" spans="15:16" x14ac:dyDescent="0.45">
      <c r="O1679" t="s">
        <v>8238</v>
      </c>
      <c r="P1679">
        <v>3725</v>
      </c>
    </row>
    <row r="1680" spans="15:16" x14ac:dyDescent="0.45">
      <c r="O1680" t="s">
        <v>8239</v>
      </c>
      <c r="P1680">
        <v>3465</v>
      </c>
    </row>
    <row r="1681" spans="15:16" x14ac:dyDescent="0.45">
      <c r="O1681" t="s">
        <v>8240</v>
      </c>
      <c r="P1681">
        <v>3463</v>
      </c>
    </row>
    <row r="1682" spans="15:16" x14ac:dyDescent="0.45">
      <c r="O1682" t="s">
        <v>8241</v>
      </c>
      <c r="P1682">
        <v>3892</v>
      </c>
    </row>
    <row r="1683" spans="15:16" x14ac:dyDescent="0.45">
      <c r="O1683" t="s">
        <v>8242</v>
      </c>
      <c r="P1683">
        <v>3446</v>
      </c>
    </row>
    <row r="1684" spans="15:16" x14ac:dyDescent="0.45">
      <c r="O1684" t="s">
        <v>8243</v>
      </c>
      <c r="P1684">
        <v>3144</v>
      </c>
    </row>
    <row r="1685" spans="15:16" x14ac:dyDescent="0.45">
      <c r="O1685" t="s">
        <v>8244</v>
      </c>
      <c r="P1685">
        <v>3145</v>
      </c>
    </row>
    <row r="1686" spans="15:16" x14ac:dyDescent="0.45">
      <c r="O1686" t="s">
        <v>8245</v>
      </c>
      <c r="P1686">
        <v>3144</v>
      </c>
    </row>
    <row r="1687" spans="15:16" x14ac:dyDescent="0.45">
      <c r="O1687" t="s">
        <v>8246</v>
      </c>
      <c r="P1687">
        <v>3024</v>
      </c>
    </row>
    <row r="1688" spans="15:16" x14ac:dyDescent="0.45">
      <c r="O1688" t="s">
        <v>8247</v>
      </c>
      <c r="P1688">
        <v>3546</v>
      </c>
    </row>
    <row r="1689" spans="15:16" x14ac:dyDescent="0.45">
      <c r="O1689" t="s">
        <v>8248</v>
      </c>
      <c r="P1689">
        <v>3551</v>
      </c>
    </row>
    <row r="1690" spans="15:16" x14ac:dyDescent="0.45">
      <c r="O1690" t="s">
        <v>8249</v>
      </c>
      <c r="P1690">
        <v>3551</v>
      </c>
    </row>
    <row r="1691" spans="15:16" x14ac:dyDescent="0.45">
      <c r="O1691" t="s">
        <v>8250</v>
      </c>
      <c r="P1691">
        <v>3663</v>
      </c>
    </row>
    <row r="1692" spans="15:16" x14ac:dyDescent="0.45">
      <c r="O1692" t="s">
        <v>8251</v>
      </c>
      <c r="P1692">
        <v>3218</v>
      </c>
    </row>
    <row r="1693" spans="15:16" x14ac:dyDescent="0.45">
      <c r="O1693" t="s">
        <v>8252</v>
      </c>
      <c r="P1693">
        <v>3222</v>
      </c>
    </row>
    <row r="1694" spans="15:16" x14ac:dyDescent="0.45">
      <c r="O1694" t="s">
        <v>8253</v>
      </c>
      <c r="P1694">
        <v>3360</v>
      </c>
    </row>
    <row r="1695" spans="15:16" x14ac:dyDescent="0.45">
      <c r="O1695" t="s">
        <v>8254</v>
      </c>
      <c r="P1695">
        <v>3971</v>
      </c>
    </row>
    <row r="1696" spans="15:16" x14ac:dyDescent="0.45">
      <c r="O1696" t="s">
        <v>8255</v>
      </c>
      <c r="P1696">
        <v>3024</v>
      </c>
    </row>
    <row r="1697" spans="15:16" x14ac:dyDescent="0.45">
      <c r="O1697" t="s">
        <v>8256</v>
      </c>
      <c r="P1697">
        <v>3889</v>
      </c>
    </row>
    <row r="1698" spans="15:16" x14ac:dyDescent="0.45">
      <c r="O1698" t="s">
        <v>8257</v>
      </c>
      <c r="P1698">
        <v>3722</v>
      </c>
    </row>
    <row r="1699" spans="15:16" x14ac:dyDescent="0.45">
      <c r="O1699" t="s">
        <v>8258</v>
      </c>
      <c r="P1699">
        <v>3891</v>
      </c>
    </row>
    <row r="1700" spans="15:16" x14ac:dyDescent="0.45">
      <c r="O1700" t="s">
        <v>8259</v>
      </c>
      <c r="P1700">
        <v>3222</v>
      </c>
    </row>
    <row r="1701" spans="15:16" x14ac:dyDescent="0.45">
      <c r="O1701" t="s">
        <v>8260</v>
      </c>
      <c r="P1701">
        <v>3953</v>
      </c>
    </row>
    <row r="1702" spans="15:16" x14ac:dyDescent="0.45">
      <c r="O1702" t="s">
        <v>8261</v>
      </c>
      <c r="P1702">
        <v>3233</v>
      </c>
    </row>
    <row r="1703" spans="15:16" x14ac:dyDescent="0.45">
      <c r="O1703" t="s">
        <v>8262</v>
      </c>
      <c r="P1703">
        <v>3032</v>
      </c>
    </row>
    <row r="1704" spans="15:16" x14ac:dyDescent="0.45">
      <c r="O1704" t="s">
        <v>8263</v>
      </c>
      <c r="P1704">
        <v>3634</v>
      </c>
    </row>
    <row r="1705" spans="15:16" x14ac:dyDescent="0.45">
      <c r="O1705" t="s">
        <v>8264</v>
      </c>
      <c r="P1705">
        <v>3678</v>
      </c>
    </row>
    <row r="1706" spans="15:16" x14ac:dyDescent="0.45">
      <c r="O1706" t="s">
        <v>8265</v>
      </c>
      <c r="P1706">
        <v>3483</v>
      </c>
    </row>
    <row r="1707" spans="15:16" x14ac:dyDescent="0.45">
      <c r="O1707" t="s">
        <v>8266</v>
      </c>
      <c r="P1707">
        <v>3888</v>
      </c>
    </row>
    <row r="1708" spans="15:16" x14ac:dyDescent="0.45">
      <c r="O1708" t="s">
        <v>8267</v>
      </c>
      <c r="P1708">
        <v>3387</v>
      </c>
    </row>
    <row r="1709" spans="15:16" x14ac:dyDescent="0.45">
      <c r="O1709" t="s">
        <v>8268</v>
      </c>
      <c r="P1709">
        <v>3477</v>
      </c>
    </row>
    <row r="1710" spans="15:16" x14ac:dyDescent="0.45">
      <c r="O1710" t="s">
        <v>8269</v>
      </c>
      <c r="P1710">
        <v>3387</v>
      </c>
    </row>
    <row r="1711" spans="15:16" x14ac:dyDescent="0.45">
      <c r="O1711" t="s">
        <v>8270</v>
      </c>
      <c r="P1711">
        <v>3515</v>
      </c>
    </row>
    <row r="1712" spans="15:16" x14ac:dyDescent="0.45">
      <c r="O1712" t="s">
        <v>8271</v>
      </c>
      <c r="P1712">
        <v>3377</v>
      </c>
    </row>
    <row r="1713" spans="15:16" x14ac:dyDescent="0.45">
      <c r="O1713" t="s">
        <v>8272</v>
      </c>
      <c r="P1713">
        <v>3669</v>
      </c>
    </row>
    <row r="1714" spans="15:16" x14ac:dyDescent="0.45">
      <c r="O1714" t="s">
        <v>8273</v>
      </c>
      <c r="P1714">
        <v>3216</v>
      </c>
    </row>
    <row r="1715" spans="15:16" x14ac:dyDescent="0.45">
      <c r="O1715" t="s">
        <v>8274</v>
      </c>
      <c r="P1715">
        <v>3875</v>
      </c>
    </row>
    <row r="1716" spans="15:16" x14ac:dyDescent="0.45">
      <c r="O1716" t="s">
        <v>8275</v>
      </c>
      <c r="P1716">
        <v>3634</v>
      </c>
    </row>
    <row r="1717" spans="15:16" x14ac:dyDescent="0.45">
      <c r="O1717" t="s">
        <v>8276</v>
      </c>
      <c r="P1717">
        <v>3465</v>
      </c>
    </row>
    <row r="1718" spans="15:16" x14ac:dyDescent="0.45">
      <c r="O1718" t="s">
        <v>8277</v>
      </c>
      <c r="P1718">
        <v>3812</v>
      </c>
    </row>
    <row r="1719" spans="15:16" x14ac:dyDescent="0.45">
      <c r="O1719" t="s">
        <v>8278</v>
      </c>
      <c r="P1719">
        <v>3779</v>
      </c>
    </row>
    <row r="1720" spans="15:16" x14ac:dyDescent="0.45">
      <c r="O1720" t="s">
        <v>8279</v>
      </c>
      <c r="P1720">
        <v>3840</v>
      </c>
    </row>
    <row r="1721" spans="15:16" x14ac:dyDescent="0.45">
      <c r="O1721" t="s">
        <v>8280</v>
      </c>
      <c r="P1721">
        <v>3482</v>
      </c>
    </row>
    <row r="1722" spans="15:16" x14ac:dyDescent="0.45">
      <c r="O1722" t="s">
        <v>8281</v>
      </c>
      <c r="P1722">
        <v>3723</v>
      </c>
    </row>
    <row r="1723" spans="15:16" x14ac:dyDescent="0.45">
      <c r="O1723" t="s">
        <v>8282</v>
      </c>
      <c r="P1723">
        <v>3331</v>
      </c>
    </row>
    <row r="1724" spans="15:16" x14ac:dyDescent="0.45">
      <c r="O1724" t="s">
        <v>8283</v>
      </c>
      <c r="P1724">
        <v>3938</v>
      </c>
    </row>
    <row r="1725" spans="15:16" x14ac:dyDescent="0.45">
      <c r="O1725" t="s">
        <v>8284</v>
      </c>
      <c r="P1725">
        <v>3472</v>
      </c>
    </row>
    <row r="1726" spans="15:16" x14ac:dyDescent="0.45">
      <c r="O1726" t="s">
        <v>8285</v>
      </c>
      <c r="P1726">
        <v>3401</v>
      </c>
    </row>
    <row r="1727" spans="15:16" x14ac:dyDescent="0.45">
      <c r="O1727" t="s">
        <v>8286</v>
      </c>
      <c r="P1727">
        <v>3451</v>
      </c>
    </row>
    <row r="1728" spans="15:16" x14ac:dyDescent="0.45">
      <c r="O1728" t="s">
        <v>8287</v>
      </c>
      <c r="P1728">
        <v>3204</v>
      </c>
    </row>
    <row r="1729" spans="15:16" x14ac:dyDescent="0.45">
      <c r="O1729" t="s">
        <v>8288</v>
      </c>
      <c r="P1729">
        <v>3874</v>
      </c>
    </row>
    <row r="1730" spans="15:16" x14ac:dyDescent="0.45">
      <c r="O1730" t="s">
        <v>8289</v>
      </c>
      <c r="P1730">
        <v>3799</v>
      </c>
    </row>
    <row r="1731" spans="15:16" x14ac:dyDescent="0.45">
      <c r="O1731" t="s">
        <v>8290</v>
      </c>
      <c r="P1731">
        <v>3568</v>
      </c>
    </row>
    <row r="1732" spans="15:16" x14ac:dyDescent="0.45">
      <c r="O1732" t="s">
        <v>8291</v>
      </c>
      <c r="P1732">
        <v>3568</v>
      </c>
    </row>
    <row r="1733" spans="15:16" x14ac:dyDescent="0.45">
      <c r="O1733" t="s">
        <v>8292</v>
      </c>
      <c r="P1733">
        <v>3678</v>
      </c>
    </row>
    <row r="1734" spans="15:16" x14ac:dyDescent="0.45">
      <c r="O1734" t="s">
        <v>8293</v>
      </c>
      <c r="P1734">
        <v>3048</v>
      </c>
    </row>
    <row r="1735" spans="15:16" x14ac:dyDescent="0.45">
      <c r="O1735" t="s">
        <v>8294</v>
      </c>
      <c r="P1735">
        <v>3585</v>
      </c>
    </row>
    <row r="1736" spans="15:16" x14ac:dyDescent="0.45">
      <c r="O1736" t="s">
        <v>8295</v>
      </c>
      <c r="P1736">
        <v>3478</v>
      </c>
    </row>
    <row r="1737" spans="15:16" x14ac:dyDescent="0.45">
      <c r="O1737" t="s">
        <v>8296</v>
      </c>
      <c r="P1737">
        <v>3956</v>
      </c>
    </row>
    <row r="1738" spans="15:16" x14ac:dyDescent="0.45">
      <c r="O1738" t="s">
        <v>8297</v>
      </c>
      <c r="P1738">
        <v>3579</v>
      </c>
    </row>
    <row r="1739" spans="15:16" x14ac:dyDescent="0.45">
      <c r="O1739" t="s">
        <v>8298</v>
      </c>
      <c r="P1739">
        <v>3862</v>
      </c>
    </row>
    <row r="1740" spans="15:16" x14ac:dyDescent="0.45">
      <c r="O1740" t="s">
        <v>8299</v>
      </c>
      <c r="P1740">
        <v>3000</v>
      </c>
    </row>
    <row r="1741" spans="15:16" x14ac:dyDescent="0.45">
      <c r="O1741" t="s">
        <v>8300</v>
      </c>
      <c r="P1741">
        <v>3045</v>
      </c>
    </row>
    <row r="1742" spans="15:16" x14ac:dyDescent="0.45">
      <c r="O1742" t="s">
        <v>8301</v>
      </c>
      <c r="P1742">
        <v>3052</v>
      </c>
    </row>
    <row r="1743" spans="15:16" x14ac:dyDescent="0.45">
      <c r="O1743" t="s">
        <v>8302</v>
      </c>
      <c r="P1743">
        <v>3337</v>
      </c>
    </row>
    <row r="1744" spans="15:16" x14ac:dyDescent="0.45">
      <c r="O1744" t="s">
        <v>8303</v>
      </c>
      <c r="P1744">
        <v>3338</v>
      </c>
    </row>
    <row r="1745" spans="15:16" x14ac:dyDescent="0.45">
      <c r="O1745" t="s">
        <v>8304</v>
      </c>
      <c r="P1745">
        <v>3337</v>
      </c>
    </row>
    <row r="1746" spans="15:16" x14ac:dyDescent="0.45">
      <c r="O1746" t="s">
        <v>8305</v>
      </c>
      <c r="P1746">
        <v>3315</v>
      </c>
    </row>
    <row r="1747" spans="15:16" x14ac:dyDescent="0.45">
      <c r="O1747" t="s">
        <v>8306</v>
      </c>
      <c r="P1747">
        <v>3875</v>
      </c>
    </row>
    <row r="1748" spans="15:16" x14ac:dyDescent="0.45">
      <c r="O1748" t="s">
        <v>8307</v>
      </c>
      <c r="P1748">
        <v>3373</v>
      </c>
    </row>
    <row r="1749" spans="15:16" x14ac:dyDescent="0.45">
      <c r="O1749" t="s">
        <v>8308</v>
      </c>
      <c r="P1749">
        <v>3194</v>
      </c>
    </row>
    <row r="1750" spans="15:16" x14ac:dyDescent="0.45">
      <c r="O1750" t="s">
        <v>8309</v>
      </c>
      <c r="P1750">
        <v>3194</v>
      </c>
    </row>
    <row r="1751" spans="15:16" x14ac:dyDescent="0.45">
      <c r="O1751" t="s">
        <v>8310</v>
      </c>
      <c r="P1751">
        <v>3159</v>
      </c>
    </row>
    <row r="1752" spans="15:16" x14ac:dyDescent="0.45">
      <c r="O1752" t="s">
        <v>8311</v>
      </c>
      <c r="P1752">
        <v>3277</v>
      </c>
    </row>
    <row r="1753" spans="15:16" x14ac:dyDescent="0.45">
      <c r="O1753" t="s">
        <v>8312</v>
      </c>
      <c r="P1753">
        <v>3277</v>
      </c>
    </row>
    <row r="1754" spans="15:16" x14ac:dyDescent="0.45">
      <c r="O1754" t="s">
        <v>8313</v>
      </c>
      <c r="P1754">
        <v>3277</v>
      </c>
    </row>
    <row r="1755" spans="15:16" x14ac:dyDescent="0.45">
      <c r="O1755" t="s">
        <v>8314</v>
      </c>
      <c r="P1755">
        <v>3505</v>
      </c>
    </row>
    <row r="1756" spans="15:16" x14ac:dyDescent="0.45">
      <c r="O1756" t="s">
        <v>8315</v>
      </c>
      <c r="P1756">
        <v>3505</v>
      </c>
    </row>
    <row r="1757" spans="15:16" x14ac:dyDescent="0.45">
      <c r="O1757" t="s">
        <v>8316</v>
      </c>
      <c r="P1757">
        <v>3505</v>
      </c>
    </row>
    <row r="1758" spans="15:16" x14ac:dyDescent="0.45">
      <c r="O1758" t="s">
        <v>8317</v>
      </c>
      <c r="P1758">
        <v>3333</v>
      </c>
    </row>
    <row r="1759" spans="15:16" x14ac:dyDescent="0.45">
      <c r="O1759" t="s">
        <v>8318</v>
      </c>
      <c r="P1759">
        <v>3496</v>
      </c>
    </row>
    <row r="1760" spans="15:16" x14ac:dyDescent="0.45">
      <c r="O1760" t="s">
        <v>8319</v>
      </c>
      <c r="P1760">
        <v>3310</v>
      </c>
    </row>
    <row r="1761" spans="15:16" x14ac:dyDescent="0.45">
      <c r="O1761" t="s">
        <v>8320</v>
      </c>
      <c r="P1761">
        <v>3058</v>
      </c>
    </row>
    <row r="1762" spans="15:16" x14ac:dyDescent="0.45">
      <c r="O1762" t="s">
        <v>8321</v>
      </c>
      <c r="P1762">
        <v>3754</v>
      </c>
    </row>
    <row r="1763" spans="15:16" x14ac:dyDescent="0.45">
      <c r="O1763" t="s">
        <v>8322</v>
      </c>
      <c r="P1763">
        <v>3737</v>
      </c>
    </row>
    <row r="1764" spans="15:16" x14ac:dyDescent="0.45">
      <c r="O1764" t="s">
        <v>8323</v>
      </c>
      <c r="P1764">
        <v>3737</v>
      </c>
    </row>
    <row r="1765" spans="15:16" x14ac:dyDescent="0.45">
      <c r="O1765" t="s">
        <v>8324</v>
      </c>
      <c r="P1765">
        <v>3916</v>
      </c>
    </row>
    <row r="1766" spans="15:16" x14ac:dyDescent="0.45">
      <c r="O1766" t="s">
        <v>8325</v>
      </c>
      <c r="P1766">
        <v>3926</v>
      </c>
    </row>
    <row r="1767" spans="15:16" x14ac:dyDescent="0.45">
      <c r="O1767" t="s">
        <v>8326</v>
      </c>
      <c r="P1767">
        <v>3926</v>
      </c>
    </row>
    <row r="1768" spans="15:16" x14ac:dyDescent="0.45">
      <c r="O1768" t="s">
        <v>8327</v>
      </c>
      <c r="P1768">
        <v>3618</v>
      </c>
    </row>
    <row r="1769" spans="15:16" x14ac:dyDescent="0.45">
      <c r="O1769" t="s">
        <v>8328</v>
      </c>
      <c r="P1769">
        <v>3723</v>
      </c>
    </row>
    <row r="1770" spans="15:16" x14ac:dyDescent="0.45">
      <c r="O1770" t="s">
        <v>8329</v>
      </c>
      <c r="P1770">
        <v>3340</v>
      </c>
    </row>
    <row r="1771" spans="15:16" x14ac:dyDescent="0.45">
      <c r="O1771" t="s">
        <v>8330</v>
      </c>
      <c r="P1771">
        <v>3496</v>
      </c>
    </row>
    <row r="1772" spans="15:16" x14ac:dyDescent="0.45">
      <c r="O1772" t="s">
        <v>8331</v>
      </c>
      <c r="P1772">
        <v>3715</v>
      </c>
    </row>
    <row r="1773" spans="15:16" x14ac:dyDescent="0.45">
      <c r="O1773" t="s">
        <v>8332</v>
      </c>
      <c r="P1773">
        <v>3448</v>
      </c>
    </row>
    <row r="1774" spans="15:16" x14ac:dyDescent="0.45">
      <c r="O1774" t="s">
        <v>8333</v>
      </c>
      <c r="P1774">
        <v>3444</v>
      </c>
    </row>
    <row r="1775" spans="15:16" x14ac:dyDescent="0.45">
      <c r="O1775" t="s">
        <v>8334</v>
      </c>
      <c r="P1775">
        <v>3904</v>
      </c>
    </row>
    <row r="1776" spans="15:16" x14ac:dyDescent="0.45">
      <c r="O1776" t="s">
        <v>8335</v>
      </c>
      <c r="P1776">
        <v>3444</v>
      </c>
    </row>
    <row r="1777" spans="15:16" x14ac:dyDescent="0.45">
      <c r="O1777" t="s">
        <v>8336</v>
      </c>
      <c r="P1777">
        <v>3064</v>
      </c>
    </row>
    <row r="1778" spans="15:16" x14ac:dyDescent="0.45">
      <c r="O1778" t="s">
        <v>8337</v>
      </c>
      <c r="P1778">
        <v>3124</v>
      </c>
    </row>
    <row r="1779" spans="15:16" x14ac:dyDescent="0.45">
      <c r="O1779" t="s">
        <v>8338</v>
      </c>
      <c r="P1779">
        <v>3375</v>
      </c>
    </row>
    <row r="1780" spans="15:16" x14ac:dyDescent="0.45">
      <c r="O1780" t="s">
        <v>8339</v>
      </c>
      <c r="P1780">
        <v>3206</v>
      </c>
    </row>
    <row r="1781" spans="15:16" x14ac:dyDescent="0.45">
      <c r="O1781" t="s">
        <v>8340</v>
      </c>
      <c r="P1781">
        <v>3956</v>
      </c>
    </row>
    <row r="1782" spans="15:16" x14ac:dyDescent="0.45">
      <c r="O1782" t="s">
        <v>8341</v>
      </c>
      <c r="P1782">
        <v>3666</v>
      </c>
    </row>
    <row r="1783" spans="15:16" x14ac:dyDescent="0.45">
      <c r="O1783" t="s">
        <v>8342</v>
      </c>
      <c r="P1783">
        <v>3409</v>
      </c>
    </row>
    <row r="1784" spans="15:16" x14ac:dyDescent="0.45">
      <c r="O1784" t="s">
        <v>8343</v>
      </c>
      <c r="P1784">
        <v>3678</v>
      </c>
    </row>
    <row r="1785" spans="15:16" x14ac:dyDescent="0.45">
      <c r="O1785" t="s">
        <v>8344</v>
      </c>
      <c r="P1785">
        <v>3500</v>
      </c>
    </row>
    <row r="1786" spans="15:16" x14ac:dyDescent="0.45">
      <c r="O1786" t="s">
        <v>8345</v>
      </c>
      <c r="P1786">
        <v>3501</v>
      </c>
    </row>
    <row r="1787" spans="15:16" x14ac:dyDescent="0.45">
      <c r="O1787" t="s">
        <v>8346</v>
      </c>
      <c r="P1787">
        <v>3501</v>
      </c>
    </row>
    <row r="1788" spans="15:16" x14ac:dyDescent="0.45">
      <c r="O1788" t="s">
        <v>8347</v>
      </c>
      <c r="P1788">
        <v>3500</v>
      </c>
    </row>
    <row r="1789" spans="15:16" x14ac:dyDescent="0.45">
      <c r="O1789" t="s">
        <v>8348</v>
      </c>
      <c r="P1789">
        <v>3082</v>
      </c>
    </row>
    <row r="1790" spans="15:16" x14ac:dyDescent="0.45">
      <c r="O1790" t="s">
        <v>8349</v>
      </c>
      <c r="P1790">
        <v>3352</v>
      </c>
    </row>
    <row r="1791" spans="15:16" x14ac:dyDescent="0.45">
      <c r="O1791" t="s">
        <v>8350</v>
      </c>
      <c r="P1791">
        <v>3799</v>
      </c>
    </row>
    <row r="1792" spans="15:16" x14ac:dyDescent="0.45">
      <c r="O1792" t="s">
        <v>8351</v>
      </c>
      <c r="P1792">
        <v>3572</v>
      </c>
    </row>
    <row r="1793" spans="15:16" x14ac:dyDescent="0.45">
      <c r="O1793" t="s">
        <v>8352</v>
      </c>
      <c r="P1793">
        <v>3304</v>
      </c>
    </row>
    <row r="1794" spans="15:16" x14ac:dyDescent="0.45">
      <c r="O1794" t="s">
        <v>8353</v>
      </c>
      <c r="P1794">
        <v>3579</v>
      </c>
    </row>
    <row r="1795" spans="15:16" x14ac:dyDescent="0.45">
      <c r="O1795" t="s">
        <v>8354</v>
      </c>
      <c r="P1795">
        <v>3575</v>
      </c>
    </row>
    <row r="1796" spans="15:16" x14ac:dyDescent="0.45">
      <c r="O1796" t="s">
        <v>8355</v>
      </c>
      <c r="P1796">
        <v>3568</v>
      </c>
    </row>
    <row r="1797" spans="15:16" x14ac:dyDescent="0.45">
      <c r="O1797" t="s">
        <v>8356</v>
      </c>
      <c r="P1797">
        <v>3352</v>
      </c>
    </row>
    <row r="1798" spans="15:16" x14ac:dyDescent="0.45">
      <c r="O1798" t="s">
        <v>8357</v>
      </c>
      <c r="P1798">
        <v>3324</v>
      </c>
    </row>
    <row r="1799" spans="15:16" x14ac:dyDescent="0.45">
      <c r="O1799" t="s">
        <v>8358</v>
      </c>
      <c r="P1799">
        <v>3287</v>
      </c>
    </row>
    <row r="1800" spans="15:16" x14ac:dyDescent="0.45">
      <c r="O1800" t="s">
        <v>8359</v>
      </c>
      <c r="P1800">
        <v>3413</v>
      </c>
    </row>
    <row r="1801" spans="15:16" x14ac:dyDescent="0.45">
      <c r="O1801" t="s">
        <v>8360</v>
      </c>
      <c r="P1801">
        <v>3351</v>
      </c>
    </row>
    <row r="1802" spans="15:16" x14ac:dyDescent="0.45">
      <c r="O1802" t="s">
        <v>8361</v>
      </c>
      <c r="P1802">
        <v>3276</v>
      </c>
    </row>
    <row r="1803" spans="15:16" x14ac:dyDescent="0.45">
      <c r="O1803" t="s">
        <v>8362</v>
      </c>
      <c r="P1803">
        <v>3537</v>
      </c>
    </row>
    <row r="1804" spans="15:16" x14ac:dyDescent="0.45">
      <c r="O1804" t="s">
        <v>8363</v>
      </c>
      <c r="P1804">
        <v>3392</v>
      </c>
    </row>
    <row r="1805" spans="15:16" x14ac:dyDescent="0.45">
      <c r="O1805" t="s">
        <v>8364</v>
      </c>
      <c r="P1805">
        <v>3862</v>
      </c>
    </row>
    <row r="1806" spans="15:16" x14ac:dyDescent="0.45">
      <c r="O1806" t="s">
        <v>8365</v>
      </c>
      <c r="P1806">
        <v>3596</v>
      </c>
    </row>
    <row r="1807" spans="15:16" x14ac:dyDescent="0.45">
      <c r="O1807" t="s">
        <v>8366</v>
      </c>
      <c r="P1807">
        <v>3415</v>
      </c>
    </row>
    <row r="1808" spans="15:16" x14ac:dyDescent="0.45">
      <c r="O1808" t="s">
        <v>8367</v>
      </c>
      <c r="P1808">
        <v>3871</v>
      </c>
    </row>
    <row r="1809" spans="15:16" x14ac:dyDescent="0.45">
      <c r="O1809" t="s">
        <v>8368</v>
      </c>
      <c r="P1809">
        <v>3871</v>
      </c>
    </row>
    <row r="1810" spans="15:16" x14ac:dyDescent="0.45">
      <c r="O1810" t="s">
        <v>8369</v>
      </c>
      <c r="P1810">
        <v>3722</v>
      </c>
    </row>
    <row r="1811" spans="15:16" x14ac:dyDescent="0.45">
      <c r="O1811" t="s">
        <v>8370</v>
      </c>
      <c r="P1811">
        <v>3294</v>
      </c>
    </row>
    <row r="1812" spans="15:16" x14ac:dyDescent="0.45">
      <c r="O1812" t="s">
        <v>8371</v>
      </c>
      <c r="P1812">
        <v>3132</v>
      </c>
    </row>
    <row r="1813" spans="15:16" x14ac:dyDescent="0.45">
      <c r="O1813" t="s">
        <v>8372</v>
      </c>
      <c r="P1813">
        <v>3132</v>
      </c>
    </row>
    <row r="1814" spans="15:16" x14ac:dyDescent="0.45">
      <c r="O1814" t="s">
        <v>8373</v>
      </c>
      <c r="P1814">
        <v>3355</v>
      </c>
    </row>
    <row r="1815" spans="15:16" x14ac:dyDescent="0.45">
      <c r="O1815" t="s">
        <v>8374</v>
      </c>
      <c r="P1815">
        <v>3608</v>
      </c>
    </row>
    <row r="1816" spans="15:16" x14ac:dyDescent="0.45">
      <c r="O1816" t="s">
        <v>8375</v>
      </c>
      <c r="P1816">
        <v>3573</v>
      </c>
    </row>
    <row r="1817" spans="15:16" x14ac:dyDescent="0.45">
      <c r="O1817" t="s">
        <v>8376</v>
      </c>
      <c r="P1817">
        <v>3409</v>
      </c>
    </row>
    <row r="1818" spans="15:16" x14ac:dyDescent="0.45">
      <c r="O1818" t="s">
        <v>8377</v>
      </c>
      <c r="P1818">
        <v>3701</v>
      </c>
    </row>
    <row r="1819" spans="15:16" x14ac:dyDescent="0.45">
      <c r="O1819" t="s">
        <v>8378</v>
      </c>
      <c r="P1819">
        <v>3490</v>
      </c>
    </row>
    <row r="1820" spans="15:16" x14ac:dyDescent="0.45">
      <c r="O1820" t="s">
        <v>8379</v>
      </c>
      <c r="P1820">
        <v>3401</v>
      </c>
    </row>
    <row r="1821" spans="15:16" x14ac:dyDescent="0.45">
      <c r="O1821" t="s">
        <v>8380</v>
      </c>
      <c r="P1821">
        <v>3816</v>
      </c>
    </row>
    <row r="1822" spans="15:16" x14ac:dyDescent="0.45">
      <c r="O1822" t="s">
        <v>8381</v>
      </c>
      <c r="P1822">
        <v>3240</v>
      </c>
    </row>
    <row r="1823" spans="15:16" x14ac:dyDescent="0.45">
      <c r="O1823" t="s">
        <v>8382</v>
      </c>
      <c r="P1823">
        <v>3825</v>
      </c>
    </row>
    <row r="1824" spans="15:16" x14ac:dyDescent="0.45">
      <c r="O1824" t="s">
        <v>8383</v>
      </c>
      <c r="P1824">
        <v>3825</v>
      </c>
    </row>
    <row r="1825" spans="15:16" x14ac:dyDescent="0.45">
      <c r="O1825" t="s">
        <v>8384</v>
      </c>
      <c r="P1825">
        <v>3231</v>
      </c>
    </row>
    <row r="1826" spans="15:16" x14ac:dyDescent="0.45">
      <c r="O1826" t="s">
        <v>8385</v>
      </c>
      <c r="P1826">
        <v>3666</v>
      </c>
    </row>
    <row r="1827" spans="15:16" x14ac:dyDescent="0.45">
      <c r="O1827" t="s">
        <v>8386</v>
      </c>
      <c r="P1827">
        <v>3381</v>
      </c>
    </row>
    <row r="1828" spans="15:16" x14ac:dyDescent="0.45">
      <c r="O1828" t="s">
        <v>8387</v>
      </c>
      <c r="P1828">
        <v>3718</v>
      </c>
    </row>
    <row r="1829" spans="15:16" x14ac:dyDescent="0.45">
      <c r="O1829" t="s">
        <v>8388</v>
      </c>
      <c r="P1829">
        <v>3472</v>
      </c>
    </row>
    <row r="1830" spans="15:16" x14ac:dyDescent="0.45">
      <c r="O1830" t="s">
        <v>8389</v>
      </c>
      <c r="P1830">
        <v>3666</v>
      </c>
    </row>
    <row r="1831" spans="15:16" x14ac:dyDescent="0.45">
      <c r="O1831" t="s">
        <v>8390</v>
      </c>
      <c r="P1831">
        <v>3352</v>
      </c>
    </row>
    <row r="1832" spans="15:16" x14ac:dyDescent="0.45">
      <c r="O1832" t="s">
        <v>8391</v>
      </c>
      <c r="P1832">
        <v>3575</v>
      </c>
    </row>
    <row r="1833" spans="15:16" x14ac:dyDescent="0.45">
      <c r="O1833" t="s">
        <v>8392</v>
      </c>
      <c r="P1833">
        <v>3673</v>
      </c>
    </row>
    <row r="1834" spans="15:16" x14ac:dyDescent="0.45">
      <c r="O1834" t="s">
        <v>8393</v>
      </c>
      <c r="P1834">
        <v>3793</v>
      </c>
    </row>
    <row r="1835" spans="15:16" x14ac:dyDescent="0.45">
      <c r="O1835" t="s">
        <v>8394</v>
      </c>
      <c r="P1835">
        <v>3433</v>
      </c>
    </row>
    <row r="1836" spans="15:16" x14ac:dyDescent="0.45">
      <c r="O1836" t="s">
        <v>8395</v>
      </c>
      <c r="P1836">
        <v>3691</v>
      </c>
    </row>
    <row r="1837" spans="15:16" x14ac:dyDescent="0.45">
      <c r="O1837" t="s">
        <v>8396</v>
      </c>
      <c r="P1837">
        <v>3860</v>
      </c>
    </row>
    <row r="1838" spans="15:16" x14ac:dyDescent="0.45">
      <c r="O1838" t="s">
        <v>8397</v>
      </c>
      <c r="P1838">
        <v>3984</v>
      </c>
    </row>
    <row r="1839" spans="15:16" x14ac:dyDescent="0.45">
      <c r="O1839" t="s">
        <v>8398</v>
      </c>
      <c r="P1839">
        <v>3127</v>
      </c>
    </row>
    <row r="1840" spans="15:16" x14ac:dyDescent="0.45">
      <c r="O1840" t="s">
        <v>8399</v>
      </c>
      <c r="P1840">
        <v>3129</v>
      </c>
    </row>
    <row r="1841" spans="15:16" x14ac:dyDescent="0.45">
      <c r="O1841" t="s">
        <v>8400</v>
      </c>
      <c r="P1841">
        <v>3851</v>
      </c>
    </row>
    <row r="1842" spans="15:16" x14ac:dyDescent="0.45">
      <c r="O1842" t="s">
        <v>8401</v>
      </c>
      <c r="P1842">
        <v>3094</v>
      </c>
    </row>
    <row r="1843" spans="15:16" x14ac:dyDescent="0.45">
      <c r="O1843" t="s">
        <v>8402</v>
      </c>
      <c r="P1843">
        <v>3765</v>
      </c>
    </row>
    <row r="1844" spans="15:16" x14ac:dyDescent="0.45">
      <c r="O1844" t="s">
        <v>8403</v>
      </c>
      <c r="P1844">
        <v>3224</v>
      </c>
    </row>
    <row r="1845" spans="15:16" x14ac:dyDescent="0.45">
      <c r="O1845" t="s">
        <v>8404</v>
      </c>
      <c r="P1845">
        <v>3477</v>
      </c>
    </row>
    <row r="1846" spans="15:16" x14ac:dyDescent="0.45">
      <c r="O1846" t="s">
        <v>8405</v>
      </c>
      <c r="P1846">
        <v>3465</v>
      </c>
    </row>
    <row r="1847" spans="15:16" x14ac:dyDescent="0.45">
      <c r="O1847" t="s">
        <v>8406</v>
      </c>
      <c r="P1847">
        <v>3478</v>
      </c>
    </row>
    <row r="1848" spans="15:16" x14ac:dyDescent="0.45">
      <c r="O1848" t="s">
        <v>8407</v>
      </c>
      <c r="P1848">
        <v>3825</v>
      </c>
    </row>
    <row r="1849" spans="15:16" x14ac:dyDescent="0.45">
      <c r="O1849" t="s">
        <v>8408</v>
      </c>
      <c r="P1849">
        <v>3039</v>
      </c>
    </row>
    <row r="1850" spans="15:16" x14ac:dyDescent="0.45">
      <c r="O1850" t="s">
        <v>8409</v>
      </c>
      <c r="P1850">
        <v>3055</v>
      </c>
    </row>
    <row r="1851" spans="15:16" x14ac:dyDescent="0.45">
      <c r="O1851" t="s">
        <v>8410</v>
      </c>
      <c r="P1851">
        <v>3450</v>
      </c>
    </row>
    <row r="1852" spans="15:16" x14ac:dyDescent="0.45">
      <c r="O1852" t="s">
        <v>8411</v>
      </c>
      <c r="P1852">
        <v>3612</v>
      </c>
    </row>
    <row r="1853" spans="15:16" x14ac:dyDescent="0.45">
      <c r="O1853" t="s">
        <v>8412</v>
      </c>
      <c r="P1853">
        <v>3189</v>
      </c>
    </row>
    <row r="1854" spans="15:16" x14ac:dyDescent="0.45">
      <c r="O1854" t="s">
        <v>8413</v>
      </c>
      <c r="P1854">
        <v>3194</v>
      </c>
    </row>
    <row r="1855" spans="15:16" x14ac:dyDescent="0.45">
      <c r="O1855" t="s">
        <v>8414</v>
      </c>
      <c r="P1855">
        <v>3189</v>
      </c>
    </row>
    <row r="1856" spans="15:16" x14ac:dyDescent="0.45">
      <c r="O1856" t="s">
        <v>8415</v>
      </c>
      <c r="P1856">
        <v>3213</v>
      </c>
    </row>
    <row r="1857" spans="15:16" x14ac:dyDescent="0.45">
      <c r="O1857" t="s">
        <v>8416</v>
      </c>
      <c r="P1857">
        <v>3314</v>
      </c>
    </row>
    <row r="1858" spans="15:16" x14ac:dyDescent="0.45">
      <c r="O1858" t="s">
        <v>8417</v>
      </c>
      <c r="P1858">
        <v>3610</v>
      </c>
    </row>
    <row r="1859" spans="15:16" x14ac:dyDescent="0.45">
      <c r="O1859" t="s">
        <v>8418</v>
      </c>
      <c r="P1859">
        <v>3523</v>
      </c>
    </row>
    <row r="1860" spans="15:16" x14ac:dyDescent="0.45">
      <c r="O1860" t="s">
        <v>8419</v>
      </c>
      <c r="P1860">
        <v>3862</v>
      </c>
    </row>
    <row r="1861" spans="15:16" x14ac:dyDescent="0.45">
      <c r="O1861" t="s">
        <v>8420</v>
      </c>
      <c r="P1861">
        <v>3673</v>
      </c>
    </row>
    <row r="1862" spans="15:16" x14ac:dyDescent="0.45">
      <c r="O1862" t="s">
        <v>8421</v>
      </c>
      <c r="P1862">
        <v>3933</v>
      </c>
    </row>
    <row r="1863" spans="15:16" x14ac:dyDescent="0.45">
      <c r="O1863" t="s">
        <v>8422</v>
      </c>
      <c r="P1863">
        <v>3138</v>
      </c>
    </row>
    <row r="1864" spans="15:16" x14ac:dyDescent="0.45">
      <c r="O1864" t="s">
        <v>8423</v>
      </c>
      <c r="P1864">
        <v>3629</v>
      </c>
    </row>
    <row r="1865" spans="15:16" x14ac:dyDescent="0.45">
      <c r="O1865" t="s">
        <v>8424</v>
      </c>
      <c r="P1865">
        <v>3629</v>
      </c>
    </row>
    <row r="1866" spans="15:16" x14ac:dyDescent="0.45">
      <c r="O1866" t="s">
        <v>8425</v>
      </c>
      <c r="P1866">
        <v>3616</v>
      </c>
    </row>
    <row r="1867" spans="15:16" x14ac:dyDescent="0.45">
      <c r="O1867" t="s">
        <v>8426</v>
      </c>
      <c r="P1867">
        <v>3764</v>
      </c>
    </row>
    <row r="1868" spans="15:16" x14ac:dyDescent="0.45">
      <c r="O1868" t="s">
        <v>8427</v>
      </c>
      <c r="P1868">
        <v>3195</v>
      </c>
    </row>
    <row r="1869" spans="15:16" x14ac:dyDescent="0.45">
      <c r="O1869" t="s">
        <v>8428</v>
      </c>
      <c r="P1869">
        <v>3058</v>
      </c>
    </row>
    <row r="1870" spans="15:16" x14ac:dyDescent="0.45">
      <c r="O1870" t="s">
        <v>8429</v>
      </c>
      <c r="P1870">
        <v>3055</v>
      </c>
    </row>
    <row r="1871" spans="15:16" x14ac:dyDescent="0.45">
      <c r="O1871" t="s">
        <v>8430</v>
      </c>
      <c r="P1871">
        <v>3301</v>
      </c>
    </row>
    <row r="1872" spans="15:16" x14ac:dyDescent="0.45">
      <c r="O1872" t="s">
        <v>8431</v>
      </c>
      <c r="P1872">
        <v>3240</v>
      </c>
    </row>
    <row r="1873" spans="15:16" x14ac:dyDescent="0.45">
      <c r="O1873" t="s">
        <v>8432</v>
      </c>
      <c r="P1873">
        <v>3931</v>
      </c>
    </row>
    <row r="1874" spans="15:16" x14ac:dyDescent="0.45">
      <c r="O1874" t="s">
        <v>8433</v>
      </c>
      <c r="P1874">
        <v>3860</v>
      </c>
    </row>
    <row r="1875" spans="15:16" x14ac:dyDescent="0.45">
      <c r="O1875" t="s">
        <v>8434</v>
      </c>
      <c r="P1875">
        <v>3334</v>
      </c>
    </row>
    <row r="1876" spans="15:16" x14ac:dyDescent="0.45">
      <c r="O1876" t="s">
        <v>8435</v>
      </c>
      <c r="P1876">
        <v>3387</v>
      </c>
    </row>
    <row r="1877" spans="15:16" x14ac:dyDescent="0.45">
      <c r="O1877" t="s">
        <v>8436</v>
      </c>
      <c r="P1877">
        <v>3272</v>
      </c>
    </row>
    <row r="1878" spans="15:16" x14ac:dyDescent="0.45">
      <c r="O1878" t="s">
        <v>8437</v>
      </c>
      <c r="P1878">
        <v>3482</v>
      </c>
    </row>
    <row r="1879" spans="15:16" x14ac:dyDescent="0.45">
      <c r="O1879" t="s">
        <v>8438</v>
      </c>
      <c r="P1879">
        <v>3840</v>
      </c>
    </row>
    <row r="1880" spans="15:16" x14ac:dyDescent="0.45">
      <c r="O1880" t="s">
        <v>8439</v>
      </c>
      <c r="P1880">
        <v>3885</v>
      </c>
    </row>
    <row r="1881" spans="15:16" x14ac:dyDescent="0.45">
      <c r="O1881" t="s">
        <v>8440</v>
      </c>
      <c r="P1881">
        <v>3709</v>
      </c>
    </row>
    <row r="1882" spans="15:16" x14ac:dyDescent="0.45">
      <c r="O1882" t="s">
        <v>8441</v>
      </c>
      <c r="P1882">
        <v>3699</v>
      </c>
    </row>
    <row r="1883" spans="15:16" x14ac:dyDescent="0.45">
      <c r="O1883" t="s">
        <v>8442</v>
      </c>
      <c r="P1883">
        <v>3363</v>
      </c>
    </row>
    <row r="1884" spans="15:16" x14ac:dyDescent="0.45">
      <c r="O1884" t="s">
        <v>8443</v>
      </c>
      <c r="P1884">
        <v>3960</v>
      </c>
    </row>
    <row r="1885" spans="15:16" x14ac:dyDescent="0.45">
      <c r="O1885" t="s">
        <v>8444</v>
      </c>
      <c r="P1885">
        <v>3352</v>
      </c>
    </row>
    <row r="1886" spans="15:16" x14ac:dyDescent="0.45">
      <c r="O1886" t="s">
        <v>8445</v>
      </c>
      <c r="P1886">
        <v>3675</v>
      </c>
    </row>
    <row r="1887" spans="15:16" x14ac:dyDescent="0.45">
      <c r="O1887" t="s">
        <v>8446</v>
      </c>
      <c r="P1887">
        <v>3740</v>
      </c>
    </row>
    <row r="1888" spans="15:16" x14ac:dyDescent="0.45">
      <c r="O1888" t="s">
        <v>8447</v>
      </c>
      <c r="P1888">
        <v>3723</v>
      </c>
    </row>
    <row r="1889" spans="15:16" x14ac:dyDescent="0.45">
      <c r="O1889" t="s">
        <v>8448</v>
      </c>
      <c r="P1889">
        <v>3781</v>
      </c>
    </row>
    <row r="1890" spans="15:16" x14ac:dyDescent="0.45">
      <c r="O1890" t="s">
        <v>8449</v>
      </c>
      <c r="P1890">
        <v>3324</v>
      </c>
    </row>
    <row r="1891" spans="15:16" x14ac:dyDescent="0.45">
      <c r="O1891" t="s">
        <v>8450</v>
      </c>
      <c r="P1891">
        <v>3523</v>
      </c>
    </row>
    <row r="1892" spans="15:16" x14ac:dyDescent="0.45">
      <c r="O1892" t="s">
        <v>8451</v>
      </c>
      <c r="P1892">
        <v>3370</v>
      </c>
    </row>
    <row r="1893" spans="15:16" x14ac:dyDescent="0.45">
      <c r="O1893" t="s">
        <v>8452</v>
      </c>
      <c r="P1893">
        <v>3350</v>
      </c>
    </row>
    <row r="1894" spans="15:16" x14ac:dyDescent="0.45">
      <c r="O1894" t="s">
        <v>8453</v>
      </c>
      <c r="P1894">
        <v>3377</v>
      </c>
    </row>
    <row r="1895" spans="15:16" x14ac:dyDescent="0.45">
      <c r="O1895" t="s">
        <v>8454</v>
      </c>
      <c r="P1895">
        <v>3377</v>
      </c>
    </row>
    <row r="1896" spans="15:16" x14ac:dyDescent="0.45">
      <c r="O1896" t="s">
        <v>8455</v>
      </c>
      <c r="P1896">
        <v>3024</v>
      </c>
    </row>
    <row r="1897" spans="15:16" x14ac:dyDescent="0.45">
      <c r="O1897" t="s">
        <v>8456</v>
      </c>
      <c r="P1897">
        <v>3767</v>
      </c>
    </row>
    <row r="1898" spans="15:16" x14ac:dyDescent="0.45">
      <c r="O1898" t="s">
        <v>8457</v>
      </c>
      <c r="P1898">
        <v>3334</v>
      </c>
    </row>
    <row r="1899" spans="15:16" x14ac:dyDescent="0.45">
      <c r="O1899" t="s">
        <v>8458</v>
      </c>
      <c r="P1899">
        <v>3381</v>
      </c>
    </row>
    <row r="1900" spans="15:16" x14ac:dyDescent="0.45">
      <c r="O1900" t="s">
        <v>8459</v>
      </c>
      <c r="P1900">
        <v>3217</v>
      </c>
    </row>
    <row r="1901" spans="15:16" x14ac:dyDescent="0.45">
      <c r="O1901" t="s">
        <v>8460</v>
      </c>
      <c r="P1901">
        <v>3953</v>
      </c>
    </row>
    <row r="1902" spans="15:16" x14ac:dyDescent="0.45">
      <c r="O1902" t="s">
        <v>8461</v>
      </c>
      <c r="P1902">
        <v>3953</v>
      </c>
    </row>
    <row r="1903" spans="15:16" x14ac:dyDescent="0.45">
      <c r="O1903" t="s">
        <v>8462</v>
      </c>
      <c r="P1903">
        <v>3352</v>
      </c>
    </row>
    <row r="1904" spans="15:16" x14ac:dyDescent="0.45">
      <c r="O1904" t="s">
        <v>8463</v>
      </c>
      <c r="P1904">
        <v>3930</v>
      </c>
    </row>
    <row r="1905" spans="15:16" x14ac:dyDescent="0.45">
      <c r="O1905" t="s">
        <v>8464</v>
      </c>
      <c r="P1905">
        <v>3351</v>
      </c>
    </row>
    <row r="1906" spans="15:16" x14ac:dyDescent="0.45">
      <c r="O1906" t="s">
        <v>8465</v>
      </c>
      <c r="P1906">
        <v>3796</v>
      </c>
    </row>
    <row r="1907" spans="15:16" x14ac:dyDescent="0.45">
      <c r="O1907" t="s">
        <v>8466</v>
      </c>
      <c r="P1907">
        <v>3461</v>
      </c>
    </row>
    <row r="1908" spans="15:16" x14ac:dyDescent="0.45">
      <c r="O1908" t="s">
        <v>8467</v>
      </c>
      <c r="P1908">
        <v>3371</v>
      </c>
    </row>
    <row r="1909" spans="15:16" x14ac:dyDescent="0.45">
      <c r="O1909" t="s">
        <v>8468</v>
      </c>
      <c r="P1909">
        <v>3350</v>
      </c>
    </row>
    <row r="1910" spans="15:16" x14ac:dyDescent="0.45">
      <c r="O1910" t="s">
        <v>8469</v>
      </c>
      <c r="P1910">
        <v>3472</v>
      </c>
    </row>
    <row r="1911" spans="15:16" x14ac:dyDescent="0.45">
      <c r="O1911" t="s">
        <v>8470</v>
      </c>
      <c r="P1911">
        <v>3471</v>
      </c>
    </row>
    <row r="1912" spans="15:16" x14ac:dyDescent="0.45">
      <c r="O1912" t="s">
        <v>8471</v>
      </c>
      <c r="P1912">
        <v>3468</v>
      </c>
    </row>
    <row r="1913" spans="15:16" x14ac:dyDescent="0.45">
      <c r="O1913" t="s">
        <v>8472</v>
      </c>
      <c r="P1913">
        <v>3441</v>
      </c>
    </row>
    <row r="1914" spans="15:16" x14ac:dyDescent="0.45">
      <c r="O1914" t="s">
        <v>8473</v>
      </c>
      <c r="P1914">
        <v>3646</v>
      </c>
    </row>
    <row r="1915" spans="15:16" x14ac:dyDescent="0.45">
      <c r="O1915" t="s">
        <v>8474</v>
      </c>
      <c r="P1915">
        <v>3934</v>
      </c>
    </row>
    <row r="1916" spans="15:16" x14ac:dyDescent="0.45">
      <c r="O1916" t="s">
        <v>8475</v>
      </c>
      <c r="P1916">
        <v>3352</v>
      </c>
    </row>
    <row r="1917" spans="15:16" x14ac:dyDescent="0.45">
      <c r="O1917" t="s">
        <v>8476</v>
      </c>
      <c r="P1917">
        <v>3240</v>
      </c>
    </row>
    <row r="1918" spans="15:16" x14ac:dyDescent="0.45">
      <c r="O1918" t="s">
        <v>8477</v>
      </c>
      <c r="P1918">
        <v>3301</v>
      </c>
    </row>
    <row r="1919" spans="15:16" x14ac:dyDescent="0.45">
      <c r="O1919" t="s">
        <v>8478</v>
      </c>
      <c r="P1919">
        <v>3350</v>
      </c>
    </row>
    <row r="1920" spans="15:16" x14ac:dyDescent="0.45">
      <c r="O1920" t="s">
        <v>8479</v>
      </c>
      <c r="P1920">
        <v>3364</v>
      </c>
    </row>
    <row r="1921" spans="15:16" x14ac:dyDescent="0.45">
      <c r="O1921" t="s">
        <v>8480</v>
      </c>
      <c r="P1921">
        <v>3305</v>
      </c>
    </row>
    <row r="1922" spans="15:16" x14ac:dyDescent="0.45">
      <c r="O1922" t="s">
        <v>8481</v>
      </c>
      <c r="P1922">
        <v>3352</v>
      </c>
    </row>
    <row r="1923" spans="15:16" x14ac:dyDescent="0.45">
      <c r="O1923" t="s">
        <v>8482</v>
      </c>
      <c r="P1923">
        <v>3236</v>
      </c>
    </row>
    <row r="1924" spans="15:16" x14ac:dyDescent="0.45">
      <c r="O1924" t="s">
        <v>8483</v>
      </c>
      <c r="P1924">
        <v>3844</v>
      </c>
    </row>
    <row r="1925" spans="15:16" x14ac:dyDescent="0.45">
      <c r="O1925" t="s">
        <v>8484</v>
      </c>
      <c r="P1925">
        <v>3875</v>
      </c>
    </row>
    <row r="1926" spans="15:16" x14ac:dyDescent="0.45">
      <c r="O1926" t="s">
        <v>8485</v>
      </c>
      <c r="P1926">
        <v>3777</v>
      </c>
    </row>
    <row r="1927" spans="15:16" x14ac:dyDescent="0.45">
      <c r="O1927" t="s">
        <v>8486</v>
      </c>
      <c r="P1927">
        <v>3342</v>
      </c>
    </row>
    <row r="1928" spans="15:16" x14ac:dyDescent="0.45">
      <c r="O1928" t="s">
        <v>8487</v>
      </c>
      <c r="P1928">
        <v>3149</v>
      </c>
    </row>
    <row r="1929" spans="15:16" x14ac:dyDescent="0.45">
      <c r="O1929" t="s">
        <v>8488</v>
      </c>
      <c r="P1929">
        <v>3723</v>
      </c>
    </row>
    <row r="1930" spans="15:16" x14ac:dyDescent="0.45">
      <c r="O1930" t="s">
        <v>8489</v>
      </c>
      <c r="P1930">
        <v>3156</v>
      </c>
    </row>
    <row r="1931" spans="15:16" x14ac:dyDescent="0.45">
      <c r="O1931" t="s">
        <v>8490</v>
      </c>
      <c r="P1931">
        <v>3988</v>
      </c>
    </row>
    <row r="1932" spans="15:16" x14ac:dyDescent="0.45">
      <c r="O1932" t="s">
        <v>8491</v>
      </c>
      <c r="P1932">
        <v>3294</v>
      </c>
    </row>
    <row r="1933" spans="15:16" x14ac:dyDescent="0.45">
      <c r="O1933" t="s">
        <v>8492</v>
      </c>
      <c r="P1933">
        <v>3951</v>
      </c>
    </row>
    <row r="1934" spans="15:16" x14ac:dyDescent="0.45">
      <c r="O1934" t="s">
        <v>8493</v>
      </c>
      <c r="P1934">
        <v>3732</v>
      </c>
    </row>
    <row r="1935" spans="15:16" x14ac:dyDescent="0.45">
      <c r="O1935" t="s">
        <v>8494</v>
      </c>
      <c r="P1935">
        <v>3477</v>
      </c>
    </row>
    <row r="1936" spans="15:16" x14ac:dyDescent="0.45">
      <c r="O1936" t="s">
        <v>8495</v>
      </c>
      <c r="P1936">
        <v>3377</v>
      </c>
    </row>
    <row r="1937" spans="15:16" x14ac:dyDescent="0.45">
      <c r="O1937" t="s">
        <v>8496</v>
      </c>
      <c r="P1937">
        <v>3644</v>
      </c>
    </row>
    <row r="1938" spans="15:16" x14ac:dyDescent="0.45">
      <c r="O1938" t="s">
        <v>8497</v>
      </c>
      <c r="P1938">
        <v>3451</v>
      </c>
    </row>
    <row r="1939" spans="15:16" x14ac:dyDescent="0.45">
      <c r="O1939" t="s">
        <v>8498</v>
      </c>
      <c r="P1939">
        <v>3462</v>
      </c>
    </row>
    <row r="1940" spans="15:16" x14ac:dyDescent="0.45">
      <c r="O1940" t="s">
        <v>8499</v>
      </c>
      <c r="P1940">
        <v>3737</v>
      </c>
    </row>
    <row r="1941" spans="15:16" x14ac:dyDescent="0.45">
      <c r="O1941" t="s">
        <v>8500</v>
      </c>
      <c r="P1941">
        <v>3170</v>
      </c>
    </row>
    <row r="1942" spans="15:16" x14ac:dyDescent="0.45">
      <c r="O1942" t="s">
        <v>8501</v>
      </c>
      <c r="P1942">
        <v>3304</v>
      </c>
    </row>
    <row r="1943" spans="15:16" x14ac:dyDescent="0.45">
      <c r="O1943" t="s">
        <v>8502</v>
      </c>
      <c r="P1943">
        <v>3635</v>
      </c>
    </row>
    <row r="1944" spans="15:16" x14ac:dyDescent="0.45">
      <c r="O1944" t="s">
        <v>8503</v>
      </c>
      <c r="P1944">
        <v>3862</v>
      </c>
    </row>
    <row r="1945" spans="15:16" x14ac:dyDescent="0.45">
      <c r="O1945" t="s">
        <v>8504</v>
      </c>
      <c r="P1945">
        <v>3315</v>
      </c>
    </row>
    <row r="1946" spans="15:16" x14ac:dyDescent="0.45">
      <c r="O1946" t="s">
        <v>3960</v>
      </c>
      <c r="P1946">
        <v>3610</v>
      </c>
    </row>
    <row r="1947" spans="15:16" x14ac:dyDescent="0.45">
      <c r="O1947" t="s">
        <v>8505</v>
      </c>
      <c r="P1947">
        <v>3610</v>
      </c>
    </row>
    <row r="1948" spans="15:16" x14ac:dyDescent="0.45">
      <c r="O1948" t="s">
        <v>8506</v>
      </c>
      <c r="P1948">
        <v>3610</v>
      </c>
    </row>
    <row r="1949" spans="15:16" x14ac:dyDescent="0.45">
      <c r="O1949" t="s">
        <v>8507</v>
      </c>
      <c r="P1949">
        <v>3218</v>
      </c>
    </row>
    <row r="1950" spans="15:16" x14ac:dyDescent="0.45">
      <c r="O1950" t="s">
        <v>8508</v>
      </c>
      <c r="P1950">
        <v>3747</v>
      </c>
    </row>
    <row r="1951" spans="15:16" x14ac:dyDescent="0.45">
      <c r="O1951" t="s">
        <v>8509</v>
      </c>
      <c r="P1951">
        <v>3544</v>
      </c>
    </row>
    <row r="1952" spans="15:16" x14ac:dyDescent="0.45">
      <c r="O1952" t="s">
        <v>8510</v>
      </c>
      <c r="P1952">
        <v>3551</v>
      </c>
    </row>
    <row r="1953" spans="15:16" x14ac:dyDescent="0.45">
      <c r="O1953" t="s">
        <v>8511</v>
      </c>
      <c r="P1953">
        <v>3401</v>
      </c>
    </row>
    <row r="1954" spans="15:16" x14ac:dyDescent="0.45">
      <c r="O1954" t="s">
        <v>8512</v>
      </c>
      <c r="P1954">
        <v>3579</v>
      </c>
    </row>
    <row r="1955" spans="15:16" x14ac:dyDescent="0.45">
      <c r="O1955" t="s">
        <v>8513</v>
      </c>
      <c r="P1955">
        <v>3579</v>
      </c>
    </row>
    <row r="1956" spans="15:16" x14ac:dyDescent="0.45">
      <c r="O1956" t="s">
        <v>8514</v>
      </c>
      <c r="P1956">
        <v>3586</v>
      </c>
    </row>
    <row r="1957" spans="15:16" x14ac:dyDescent="0.45">
      <c r="O1957" t="s">
        <v>8515</v>
      </c>
      <c r="P1957">
        <v>3490</v>
      </c>
    </row>
    <row r="1958" spans="15:16" x14ac:dyDescent="0.45">
      <c r="O1958" t="s">
        <v>8516</v>
      </c>
      <c r="P1958">
        <v>3586</v>
      </c>
    </row>
    <row r="1959" spans="15:16" x14ac:dyDescent="0.45">
      <c r="O1959" t="s">
        <v>8517</v>
      </c>
      <c r="P1959">
        <v>3512</v>
      </c>
    </row>
    <row r="1960" spans="15:16" x14ac:dyDescent="0.45">
      <c r="O1960" t="s">
        <v>8518</v>
      </c>
      <c r="P1960">
        <v>3885</v>
      </c>
    </row>
    <row r="1961" spans="15:16" x14ac:dyDescent="0.45">
      <c r="O1961" t="s">
        <v>8519</v>
      </c>
      <c r="P1961">
        <v>3717</v>
      </c>
    </row>
    <row r="1962" spans="15:16" x14ac:dyDescent="0.45">
      <c r="O1962" t="s">
        <v>8520</v>
      </c>
      <c r="P1962">
        <v>3243</v>
      </c>
    </row>
    <row r="1963" spans="15:16" x14ac:dyDescent="0.45">
      <c r="O1963" t="s">
        <v>8521</v>
      </c>
      <c r="P1963">
        <v>3163</v>
      </c>
    </row>
    <row r="1964" spans="15:16" x14ac:dyDescent="0.45">
      <c r="O1964" t="s">
        <v>8522</v>
      </c>
      <c r="P1964">
        <v>3390</v>
      </c>
    </row>
    <row r="1965" spans="15:16" x14ac:dyDescent="0.45">
      <c r="O1965" t="s">
        <v>8523</v>
      </c>
      <c r="P1965">
        <v>3461</v>
      </c>
    </row>
    <row r="1966" spans="15:16" x14ac:dyDescent="0.45">
      <c r="O1966" t="s">
        <v>8524</v>
      </c>
      <c r="P1966">
        <v>3461</v>
      </c>
    </row>
    <row r="1967" spans="15:16" x14ac:dyDescent="0.45">
      <c r="O1967" t="s">
        <v>8525</v>
      </c>
      <c r="P1967">
        <v>3557</v>
      </c>
    </row>
    <row r="1968" spans="15:16" x14ac:dyDescent="0.45">
      <c r="O1968" t="s">
        <v>8526</v>
      </c>
      <c r="P1968">
        <v>3533</v>
      </c>
    </row>
    <row r="1969" spans="15:16" x14ac:dyDescent="0.45">
      <c r="O1969" t="s">
        <v>8527</v>
      </c>
      <c r="P1969">
        <v>3304</v>
      </c>
    </row>
    <row r="1970" spans="15:16" x14ac:dyDescent="0.45">
      <c r="O1970" t="s">
        <v>8528</v>
      </c>
      <c r="P1970">
        <v>3556</v>
      </c>
    </row>
    <row r="1971" spans="15:16" x14ac:dyDescent="0.45">
      <c r="O1971" t="s">
        <v>8529</v>
      </c>
      <c r="P1971">
        <v>3551</v>
      </c>
    </row>
    <row r="1972" spans="15:16" x14ac:dyDescent="0.45">
      <c r="O1972" t="s">
        <v>8530</v>
      </c>
      <c r="P1972">
        <v>3341</v>
      </c>
    </row>
    <row r="1973" spans="15:16" x14ac:dyDescent="0.45">
      <c r="O1973" t="s">
        <v>8531</v>
      </c>
      <c r="P1973">
        <v>3732</v>
      </c>
    </row>
    <row r="1974" spans="15:16" x14ac:dyDescent="0.45">
      <c r="O1974" t="s">
        <v>8532</v>
      </c>
      <c r="P1974">
        <v>3551</v>
      </c>
    </row>
    <row r="1975" spans="15:16" x14ac:dyDescent="0.45">
      <c r="O1975" t="s">
        <v>8533</v>
      </c>
      <c r="P1975">
        <v>3851</v>
      </c>
    </row>
    <row r="1976" spans="15:16" x14ac:dyDescent="0.45">
      <c r="O1976" t="s">
        <v>8534</v>
      </c>
      <c r="P1976">
        <v>3737</v>
      </c>
    </row>
    <row r="1977" spans="15:16" x14ac:dyDescent="0.45">
      <c r="O1977" t="s">
        <v>8535</v>
      </c>
      <c r="P1977">
        <v>3518</v>
      </c>
    </row>
    <row r="1978" spans="15:16" x14ac:dyDescent="0.45">
      <c r="O1978" t="s">
        <v>8536</v>
      </c>
      <c r="P1978">
        <v>3579</v>
      </c>
    </row>
    <row r="1979" spans="15:16" x14ac:dyDescent="0.45">
      <c r="O1979" t="s">
        <v>8537</v>
      </c>
      <c r="P1979">
        <v>3641</v>
      </c>
    </row>
    <row r="1980" spans="15:16" x14ac:dyDescent="0.45">
      <c r="O1980" t="s">
        <v>8538</v>
      </c>
      <c r="P1980">
        <v>3608</v>
      </c>
    </row>
    <row r="1981" spans="15:16" x14ac:dyDescent="0.45">
      <c r="O1981" t="s">
        <v>8539</v>
      </c>
      <c r="P1981">
        <v>3249</v>
      </c>
    </row>
    <row r="1982" spans="15:16" x14ac:dyDescent="0.45">
      <c r="O1982" t="s">
        <v>8540</v>
      </c>
      <c r="P1982">
        <v>3646</v>
      </c>
    </row>
    <row r="1983" spans="15:16" x14ac:dyDescent="0.45">
      <c r="O1983" t="s">
        <v>8541</v>
      </c>
      <c r="P1983">
        <v>3847</v>
      </c>
    </row>
    <row r="1984" spans="15:16" x14ac:dyDescent="0.45">
      <c r="O1984" t="s">
        <v>8542</v>
      </c>
      <c r="P1984">
        <v>3533</v>
      </c>
    </row>
    <row r="1985" spans="15:16" x14ac:dyDescent="0.45">
      <c r="O1985" t="s">
        <v>8543</v>
      </c>
      <c r="P1985">
        <v>3781</v>
      </c>
    </row>
    <row r="1986" spans="15:16" x14ac:dyDescent="0.45">
      <c r="O1986" t="s">
        <v>8544</v>
      </c>
      <c r="P1986">
        <v>3312</v>
      </c>
    </row>
    <row r="1987" spans="15:16" x14ac:dyDescent="0.45">
      <c r="O1987" t="s">
        <v>8545</v>
      </c>
      <c r="P1987">
        <v>3494</v>
      </c>
    </row>
    <row r="1988" spans="15:16" x14ac:dyDescent="0.45">
      <c r="O1988" t="s">
        <v>8546</v>
      </c>
      <c r="P1988">
        <v>3561</v>
      </c>
    </row>
    <row r="1989" spans="15:16" x14ac:dyDescent="0.45">
      <c r="O1989" t="s">
        <v>8547</v>
      </c>
      <c r="P1989">
        <v>3860</v>
      </c>
    </row>
    <row r="1990" spans="15:16" x14ac:dyDescent="0.45">
      <c r="O1990" t="s">
        <v>8548</v>
      </c>
      <c r="P1990">
        <v>3352</v>
      </c>
    </row>
    <row r="1991" spans="15:16" x14ac:dyDescent="0.45">
      <c r="O1991" t="s">
        <v>8549</v>
      </c>
      <c r="P1991">
        <v>3812</v>
      </c>
    </row>
    <row r="1992" spans="15:16" x14ac:dyDescent="0.45">
      <c r="O1992" t="s">
        <v>8550</v>
      </c>
      <c r="P1992">
        <v>3812</v>
      </c>
    </row>
    <row r="1993" spans="15:16" x14ac:dyDescent="0.45">
      <c r="O1993" t="s">
        <v>8551</v>
      </c>
      <c r="P1993">
        <v>3778</v>
      </c>
    </row>
    <row r="1994" spans="15:16" x14ac:dyDescent="0.45">
      <c r="O1994" t="s">
        <v>8552</v>
      </c>
      <c r="P1994">
        <v>3293</v>
      </c>
    </row>
    <row r="1995" spans="15:16" x14ac:dyDescent="0.45">
      <c r="O1995" t="s">
        <v>8553</v>
      </c>
      <c r="P1995">
        <v>3315</v>
      </c>
    </row>
    <row r="1996" spans="15:16" x14ac:dyDescent="0.45">
      <c r="O1996" t="s">
        <v>8554</v>
      </c>
      <c r="P1996">
        <v>3525</v>
      </c>
    </row>
    <row r="1997" spans="15:16" x14ac:dyDescent="0.45">
      <c r="O1997" t="s">
        <v>8555</v>
      </c>
      <c r="P1997">
        <v>3707</v>
      </c>
    </row>
    <row r="1998" spans="15:16" x14ac:dyDescent="0.45">
      <c r="O1998" t="s">
        <v>8556</v>
      </c>
      <c r="P1998">
        <v>3636</v>
      </c>
    </row>
    <row r="1999" spans="15:16" x14ac:dyDescent="0.45">
      <c r="O1999" t="s">
        <v>8557</v>
      </c>
      <c r="P1999">
        <v>3277</v>
      </c>
    </row>
    <row r="2000" spans="15:16" x14ac:dyDescent="0.45">
      <c r="O2000" t="s">
        <v>8558</v>
      </c>
      <c r="P2000">
        <v>3277</v>
      </c>
    </row>
    <row r="2001" spans="15:16" x14ac:dyDescent="0.45">
      <c r="O2001" t="s">
        <v>8559</v>
      </c>
      <c r="P2001">
        <v>3266</v>
      </c>
    </row>
    <row r="2002" spans="15:16" x14ac:dyDescent="0.45">
      <c r="O2002" t="s">
        <v>8560</v>
      </c>
      <c r="P2002">
        <v>3824</v>
      </c>
    </row>
    <row r="2003" spans="15:16" x14ac:dyDescent="0.45">
      <c r="O2003" t="s">
        <v>8561</v>
      </c>
      <c r="P2003">
        <v>3483</v>
      </c>
    </row>
    <row r="2004" spans="15:16" x14ac:dyDescent="0.45">
      <c r="O2004" t="s">
        <v>8562</v>
      </c>
      <c r="P2004">
        <v>3293</v>
      </c>
    </row>
    <row r="2005" spans="15:16" x14ac:dyDescent="0.45">
      <c r="O2005" t="s">
        <v>8563</v>
      </c>
      <c r="P2005">
        <v>3285</v>
      </c>
    </row>
    <row r="2006" spans="15:16" x14ac:dyDescent="0.45">
      <c r="O2006" t="s">
        <v>8564</v>
      </c>
      <c r="P2006">
        <v>3805</v>
      </c>
    </row>
    <row r="2007" spans="15:16" x14ac:dyDescent="0.45">
      <c r="O2007" t="s">
        <v>8565</v>
      </c>
      <c r="P2007">
        <v>3804</v>
      </c>
    </row>
    <row r="2008" spans="15:16" x14ac:dyDescent="0.45">
      <c r="O2008" t="s">
        <v>8566</v>
      </c>
      <c r="P2008">
        <v>3804</v>
      </c>
    </row>
    <row r="2009" spans="15:16" x14ac:dyDescent="0.45">
      <c r="O2009" t="s">
        <v>8567</v>
      </c>
      <c r="P2009">
        <v>3805</v>
      </c>
    </row>
    <row r="2010" spans="15:16" x14ac:dyDescent="0.45">
      <c r="O2010" t="s">
        <v>8568</v>
      </c>
      <c r="P2010">
        <v>3597</v>
      </c>
    </row>
    <row r="2011" spans="15:16" x14ac:dyDescent="0.45">
      <c r="O2011" t="s">
        <v>8569</v>
      </c>
      <c r="P2011">
        <v>3638</v>
      </c>
    </row>
    <row r="2012" spans="15:16" x14ac:dyDescent="0.45">
      <c r="O2012" t="s">
        <v>8570</v>
      </c>
      <c r="P2012">
        <v>3409</v>
      </c>
    </row>
    <row r="2013" spans="15:16" x14ac:dyDescent="0.45">
      <c r="O2013" t="s">
        <v>8571</v>
      </c>
      <c r="P2013">
        <v>3465</v>
      </c>
    </row>
    <row r="2014" spans="15:16" x14ac:dyDescent="0.45">
      <c r="O2014" t="s">
        <v>8572</v>
      </c>
      <c r="P2014">
        <v>3597</v>
      </c>
    </row>
    <row r="2015" spans="15:16" x14ac:dyDescent="0.45">
      <c r="O2015" t="s">
        <v>8573</v>
      </c>
      <c r="P2015">
        <v>3384</v>
      </c>
    </row>
    <row r="2016" spans="15:16" x14ac:dyDescent="0.45">
      <c r="O2016" t="s">
        <v>8574</v>
      </c>
      <c r="P2016">
        <v>3352</v>
      </c>
    </row>
    <row r="2017" spans="15:16" x14ac:dyDescent="0.45">
      <c r="O2017" t="s">
        <v>8575</v>
      </c>
      <c r="P2017">
        <v>3832</v>
      </c>
    </row>
    <row r="2018" spans="15:16" x14ac:dyDescent="0.45">
      <c r="O2018" t="s">
        <v>8576</v>
      </c>
      <c r="P2018">
        <v>3496</v>
      </c>
    </row>
    <row r="2019" spans="15:16" x14ac:dyDescent="0.45">
      <c r="O2019" t="s">
        <v>8577</v>
      </c>
      <c r="P2019">
        <v>3463</v>
      </c>
    </row>
    <row r="2020" spans="15:16" x14ac:dyDescent="0.45">
      <c r="O2020" t="s">
        <v>8578</v>
      </c>
      <c r="P2020">
        <v>3831</v>
      </c>
    </row>
    <row r="2021" spans="15:16" x14ac:dyDescent="0.45">
      <c r="O2021" t="s">
        <v>8579</v>
      </c>
      <c r="P2021">
        <v>3831</v>
      </c>
    </row>
    <row r="2022" spans="15:16" x14ac:dyDescent="0.45">
      <c r="O2022" t="s">
        <v>8580</v>
      </c>
      <c r="P2022">
        <v>3832</v>
      </c>
    </row>
    <row r="2023" spans="15:16" x14ac:dyDescent="0.45">
      <c r="O2023" t="s">
        <v>8581</v>
      </c>
      <c r="P2023">
        <v>3832</v>
      </c>
    </row>
    <row r="2024" spans="15:16" x14ac:dyDescent="0.45">
      <c r="O2024" t="s">
        <v>8582</v>
      </c>
      <c r="P2024">
        <v>3831</v>
      </c>
    </row>
    <row r="2025" spans="15:16" x14ac:dyDescent="0.45">
      <c r="O2025" t="s">
        <v>8583</v>
      </c>
      <c r="P2025">
        <v>3570</v>
      </c>
    </row>
    <row r="2026" spans="15:16" x14ac:dyDescent="0.45">
      <c r="O2026" t="s">
        <v>8584</v>
      </c>
      <c r="P2026">
        <v>3699</v>
      </c>
    </row>
    <row r="2027" spans="15:16" x14ac:dyDescent="0.45">
      <c r="O2027" t="s">
        <v>8585</v>
      </c>
      <c r="P2027">
        <v>3292</v>
      </c>
    </row>
    <row r="2028" spans="15:16" x14ac:dyDescent="0.45">
      <c r="O2028" t="s">
        <v>8586</v>
      </c>
      <c r="P2028">
        <v>3953</v>
      </c>
    </row>
    <row r="2029" spans="15:16" x14ac:dyDescent="0.45">
      <c r="O2029" t="s">
        <v>8587</v>
      </c>
      <c r="P2029">
        <v>3351</v>
      </c>
    </row>
    <row r="2030" spans="15:16" x14ac:dyDescent="0.45">
      <c r="O2030" t="s">
        <v>8588</v>
      </c>
      <c r="P2030">
        <v>3350</v>
      </c>
    </row>
    <row r="2031" spans="15:16" x14ac:dyDescent="0.45">
      <c r="O2031" t="s">
        <v>8589</v>
      </c>
      <c r="P2031">
        <v>3373</v>
      </c>
    </row>
    <row r="2032" spans="15:16" x14ac:dyDescent="0.45">
      <c r="O2032" t="s">
        <v>8590</v>
      </c>
      <c r="P2032">
        <v>3418</v>
      </c>
    </row>
    <row r="2033" spans="15:16" x14ac:dyDescent="0.45">
      <c r="O2033" t="s">
        <v>8591</v>
      </c>
      <c r="P2033">
        <v>3413</v>
      </c>
    </row>
    <row r="2034" spans="15:16" x14ac:dyDescent="0.45">
      <c r="O2034" t="s">
        <v>8592</v>
      </c>
      <c r="P2034">
        <v>3438</v>
      </c>
    </row>
    <row r="2035" spans="15:16" x14ac:dyDescent="0.45">
      <c r="O2035" t="s">
        <v>8593</v>
      </c>
      <c r="P2035">
        <v>3825</v>
      </c>
    </row>
    <row r="2036" spans="15:16" x14ac:dyDescent="0.45">
      <c r="O2036" t="s">
        <v>8594</v>
      </c>
      <c r="P2036">
        <v>3551</v>
      </c>
    </row>
    <row r="2037" spans="15:16" x14ac:dyDescent="0.45">
      <c r="O2037" t="s">
        <v>8595</v>
      </c>
      <c r="P2037">
        <v>3458</v>
      </c>
    </row>
    <row r="2038" spans="15:16" x14ac:dyDescent="0.45">
      <c r="O2038" t="s">
        <v>8596</v>
      </c>
      <c r="P2038">
        <v>3219</v>
      </c>
    </row>
    <row r="2039" spans="15:16" x14ac:dyDescent="0.45">
      <c r="O2039" t="s">
        <v>8597</v>
      </c>
      <c r="P2039">
        <v>3268</v>
      </c>
    </row>
    <row r="2040" spans="15:16" x14ac:dyDescent="0.45">
      <c r="O2040" t="s">
        <v>8598</v>
      </c>
      <c r="P2040">
        <v>3442</v>
      </c>
    </row>
    <row r="2041" spans="15:16" x14ac:dyDescent="0.45">
      <c r="O2041" t="s">
        <v>8599</v>
      </c>
      <c r="P2041">
        <v>3925</v>
      </c>
    </row>
    <row r="2042" spans="15:16" x14ac:dyDescent="0.45">
      <c r="O2042" t="s">
        <v>8600</v>
      </c>
      <c r="P2042">
        <v>3350</v>
      </c>
    </row>
    <row r="2043" spans="15:16" x14ac:dyDescent="0.45">
      <c r="O2043" t="s">
        <v>8601</v>
      </c>
      <c r="P2043">
        <v>3875</v>
      </c>
    </row>
    <row r="2044" spans="15:16" x14ac:dyDescent="0.45">
      <c r="O2044" t="s">
        <v>8602</v>
      </c>
      <c r="P2044">
        <v>3364</v>
      </c>
    </row>
    <row r="2045" spans="15:16" x14ac:dyDescent="0.45">
      <c r="O2045" t="s">
        <v>8603</v>
      </c>
      <c r="P2045">
        <v>3364</v>
      </c>
    </row>
    <row r="2046" spans="15:16" x14ac:dyDescent="0.45">
      <c r="O2046" t="s">
        <v>8604</v>
      </c>
      <c r="P2046">
        <v>3886</v>
      </c>
    </row>
    <row r="2047" spans="15:16" x14ac:dyDescent="0.45">
      <c r="O2047" t="s">
        <v>8605</v>
      </c>
      <c r="P2047">
        <v>3015</v>
      </c>
    </row>
    <row r="2048" spans="15:16" x14ac:dyDescent="0.45">
      <c r="O2048" t="s">
        <v>8606</v>
      </c>
      <c r="P2048">
        <v>3859</v>
      </c>
    </row>
    <row r="2049" spans="15:16" x14ac:dyDescent="0.45">
      <c r="O2049" t="s">
        <v>8607</v>
      </c>
      <c r="P2049">
        <v>3462</v>
      </c>
    </row>
    <row r="2050" spans="15:16" x14ac:dyDescent="0.45">
      <c r="O2050" t="s">
        <v>8608</v>
      </c>
      <c r="P2050">
        <v>3220</v>
      </c>
    </row>
    <row r="2051" spans="15:16" x14ac:dyDescent="0.45">
      <c r="O2051" t="s">
        <v>8609</v>
      </c>
      <c r="P2051">
        <v>3418</v>
      </c>
    </row>
    <row r="2052" spans="15:16" x14ac:dyDescent="0.45">
      <c r="O2052" t="s">
        <v>8610</v>
      </c>
      <c r="P2052">
        <v>3501</v>
      </c>
    </row>
    <row r="2053" spans="15:16" x14ac:dyDescent="0.45">
      <c r="O2053" t="s">
        <v>8611</v>
      </c>
      <c r="P2053">
        <v>3882</v>
      </c>
    </row>
    <row r="2054" spans="15:16" x14ac:dyDescent="0.45">
      <c r="O2054" t="s">
        <v>8612</v>
      </c>
      <c r="P2054">
        <v>3042</v>
      </c>
    </row>
    <row r="2055" spans="15:16" x14ac:dyDescent="0.45">
      <c r="O2055" t="s">
        <v>8613</v>
      </c>
      <c r="P2055">
        <v>3042</v>
      </c>
    </row>
    <row r="2056" spans="15:16" x14ac:dyDescent="0.45">
      <c r="O2056" t="s">
        <v>8614</v>
      </c>
      <c r="P2056">
        <v>3821</v>
      </c>
    </row>
    <row r="2057" spans="15:16" x14ac:dyDescent="0.45">
      <c r="O2057" t="s">
        <v>8615</v>
      </c>
      <c r="P2057">
        <v>3821</v>
      </c>
    </row>
    <row r="2058" spans="15:16" x14ac:dyDescent="0.45">
      <c r="O2058" t="s">
        <v>8616</v>
      </c>
      <c r="P2058">
        <v>3533</v>
      </c>
    </row>
    <row r="2059" spans="15:16" x14ac:dyDescent="0.45">
      <c r="O2059" t="s">
        <v>8617</v>
      </c>
      <c r="P2059">
        <v>3518</v>
      </c>
    </row>
    <row r="2060" spans="15:16" x14ac:dyDescent="0.45">
      <c r="O2060" t="s">
        <v>8618</v>
      </c>
      <c r="P2060">
        <v>3351</v>
      </c>
    </row>
    <row r="2061" spans="15:16" x14ac:dyDescent="0.45">
      <c r="O2061" t="s">
        <v>8619</v>
      </c>
      <c r="P2061">
        <v>3527</v>
      </c>
    </row>
    <row r="2062" spans="15:16" x14ac:dyDescent="0.45">
      <c r="O2062" t="s">
        <v>8620</v>
      </c>
      <c r="P2062">
        <v>3268</v>
      </c>
    </row>
    <row r="2063" spans="15:16" x14ac:dyDescent="0.45">
      <c r="O2063" t="s">
        <v>8621</v>
      </c>
      <c r="P2063">
        <v>3268</v>
      </c>
    </row>
    <row r="2064" spans="15:16" x14ac:dyDescent="0.45">
      <c r="O2064" t="s">
        <v>8622</v>
      </c>
      <c r="P2064">
        <v>3268</v>
      </c>
    </row>
    <row r="2065" spans="15:16" x14ac:dyDescent="0.45">
      <c r="O2065" t="s">
        <v>8623</v>
      </c>
      <c r="P2065">
        <v>3174</v>
      </c>
    </row>
    <row r="2066" spans="15:16" x14ac:dyDescent="0.45">
      <c r="O2066" t="s">
        <v>8624</v>
      </c>
      <c r="P2066">
        <v>3174</v>
      </c>
    </row>
    <row r="2067" spans="15:16" x14ac:dyDescent="0.45">
      <c r="O2067" t="s">
        <v>8625</v>
      </c>
      <c r="P2067">
        <v>3833</v>
      </c>
    </row>
    <row r="2068" spans="15:16" x14ac:dyDescent="0.45">
      <c r="O2068" t="s">
        <v>8626</v>
      </c>
      <c r="P2068">
        <v>3265</v>
      </c>
    </row>
    <row r="2069" spans="15:16" x14ac:dyDescent="0.45">
      <c r="O2069" t="s">
        <v>8627</v>
      </c>
      <c r="P2069">
        <v>3265</v>
      </c>
    </row>
    <row r="2070" spans="15:16" x14ac:dyDescent="0.45">
      <c r="O2070" t="s">
        <v>8628</v>
      </c>
      <c r="P2070">
        <v>3890</v>
      </c>
    </row>
    <row r="2071" spans="15:16" x14ac:dyDescent="0.45">
      <c r="O2071" t="s">
        <v>8629</v>
      </c>
      <c r="P2071">
        <v>3890</v>
      </c>
    </row>
    <row r="2072" spans="15:16" x14ac:dyDescent="0.45">
      <c r="O2072" t="s">
        <v>8630</v>
      </c>
      <c r="P2072">
        <v>3409</v>
      </c>
    </row>
    <row r="2073" spans="15:16" x14ac:dyDescent="0.45">
      <c r="O2073" t="s">
        <v>8631</v>
      </c>
      <c r="P2073">
        <v>3214</v>
      </c>
    </row>
    <row r="2074" spans="15:16" x14ac:dyDescent="0.45">
      <c r="O2074" t="s">
        <v>8632</v>
      </c>
      <c r="P2074">
        <v>3579</v>
      </c>
    </row>
    <row r="2075" spans="15:16" x14ac:dyDescent="0.45">
      <c r="O2075" t="s">
        <v>8633</v>
      </c>
      <c r="P2075">
        <v>3682</v>
      </c>
    </row>
    <row r="2076" spans="15:16" x14ac:dyDescent="0.45">
      <c r="O2076" t="s">
        <v>8634</v>
      </c>
      <c r="P2076">
        <v>3550</v>
      </c>
    </row>
    <row r="2077" spans="15:16" x14ac:dyDescent="0.45">
      <c r="O2077" t="s">
        <v>8635</v>
      </c>
      <c r="P2077">
        <v>3458</v>
      </c>
    </row>
    <row r="2078" spans="15:16" x14ac:dyDescent="0.45">
      <c r="O2078" t="s">
        <v>8636</v>
      </c>
      <c r="P2078">
        <v>3215</v>
      </c>
    </row>
    <row r="2079" spans="15:16" x14ac:dyDescent="0.45">
      <c r="O2079" t="s">
        <v>5507</v>
      </c>
      <c r="P2079">
        <v>3051</v>
      </c>
    </row>
    <row r="2080" spans="15:16" x14ac:dyDescent="0.45">
      <c r="O2080" t="s">
        <v>8637</v>
      </c>
      <c r="P2080">
        <v>3187</v>
      </c>
    </row>
    <row r="2081" spans="15:16" x14ac:dyDescent="0.45">
      <c r="O2081" t="s">
        <v>8638</v>
      </c>
      <c r="P2081">
        <v>3214</v>
      </c>
    </row>
    <row r="2082" spans="15:16" x14ac:dyDescent="0.45">
      <c r="O2082" t="s">
        <v>8639</v>
      </c>
      <c r="P2082">
        <v>3678</v>
      </c>
    </row>
    <row r="2083" spans="15:16" x14ac:dyDescent="0.45">
      <c r="O2083" t="s">
        <v>8640</v>
      </c>
      <c r="P2083">
        <v>3113</v>
      </c>
    </row>
    <row r="2084" spans="15:16" x14ac:dyDescent="0.45">
      <c r="O2084" t="s">
        <v>8641</v>
      </c>
      <c r="P2084">
        <v>3995</v>
      </c>
    </row>
    <row r="2085" spans="15:16" x14ac:dyDescent="0.45">
      <c r="O2085" t="s">
        <v>8642</v>
      </c>
      <c r="P2085">
        <v>3070</v>
      </c>
    </row>
    <row r="2086" spans="15:16" x14ac:dyDescent="0.45">
      <c r="O2086" t="s">
        <v>8643</v>
      </c>
      <c r="P2086">
        <v>3070</v>
      </c>
    </row>
    <row r="2087" spans="15:16" x14ac:dyDescent="0.45">
      <c r="O2087" t="s">
        <v>8644</v>
      </c>
      <c r="P2087">
        <v>3072</v>
      </c>
    </row>
    <row r="2088" spans="15:16" x14ac:dyDescent="0.45">
      <c r="O2088" t="s">
        <v>8645</v>
      </c>
      <c r="P2088">
        <v>3660</v>
      </c>
    </row>
    <row r="2089" spans="15:16" x14ac:dyDescent="0.45">
      <c r="O2089" t="s">
        <v>8646</v>
      </c>
      <c r="P2089">
        <v>3377</v>
      </c>
    </row>
    <row r="2090" spans="15:16" x14ac:dyDescent="0.45">
      <c r="O2090" t="s">
        <v>8647</v>
      </c>
      <c r="P2090">
        <v>3168</v>
      </c>
    </row>
    <row r="2091" spans="15:16" x14ac:dyDescent="0.45">
      <c r="O2091" t="s">
        <v>8648</v>
      </c>
      <c r="P2091">
        <v>3887</v>
      </c>
    </row>
    <row r="2092" spans="15:16" x14ac:dyDescent="0.45">
      <c r="O2092" t="s">
        <v>8649</v>
      </c>
      <c r="P2092">
        <v>3469</v>
      </c>
    </row>
    <row r="2093" spans="15:16" x14ac:dyDescent="0.45">
      <c r="O2093" t="s">
        <v>8650</v>
      </c>
      <c r="P2093">
        <v>3585</v>
      </c>
    </row>
    <row r="2094" spans="15:16" x14ac:dyDescent="0.45">
      <c r="O2094" t="s">
        <v>8651</v>
      </c>
      <c r="P2094">
        <v>3737</v>
      </c>
    </row>
    <row r="2095" spans="15:16" x14ac:dyDescent="0.45">
      <c r="O2095" t="s">
        <v>8652</v>
      </c>
      <c r="P2095">
        <v>3463</v>
      </c>
    </row>
    <row r="2096" spans="15:16" x14ac:dyDescent="0.45">
      <c r="O2096" t="s">
        <v>8653</v>
      </c>
      <c r="P2096">
        <v>3435</v>
      </c>
    </row>
    <row r="2097" spans="15:16" x14ac:dyDescent="0.45">
      <c r="O2097" t="s">
        <v>8654</v>
      </c>
      <c r="P2097">
        <v>3268</v>
      </c>
    </row>
    <row r="2098" spans="15:16" x14ac:dyDescent="0.45">
      <c r="O2098" t="s">
        <v>8655</v>
      </c>
      <c r="P2098">
        <v>3268</v>
      </c>
    </row>
    <row r="2099" spans="15:16" x14ac:dyDescent="0.45">
      <c r="O2099" t="s">
        <v>8656</v>
      </c>
      <c r="P2099">
        <v>3529</v>
      </c>
    </row>
    <row r="2100" spans="15:16" x14ac:dyDescent="0.45">
      <c r="O2100" t="s">
        <v>8657</v>
      </c>
      <c r="P2100">
        <v>3636</v>
      </c>
    </row>
    <row r="2101" spans="15:16" x14ac:dyDescent="0.45">
      <c r="O2101" t="s">
        <v>8658</v>
      </c>
      <c r="P2101">
        <v>3131</v>
      </c>
    </row>
    <row r="2102" spans="15:16" x14ac:dyDescent="0.45">
      <c r="O2102" t="s">
        <v>8659</v>
      </c>
      <c r="P2102">
        <v>3909</v>
      </c>
    </row>
    <row r="2103" spans="15:16" x14ac:dyDescent="0.45">
      <c r="O2103" t="s">
        <v>8660</v>
      </c>
      <c r="P2103">
        <v>3896</v>
      </c>
    </row>
    <row r="2104" spans="15:16" x14ac:dyDescent="0.45">
      <c r="O2104" t="s">
        <v>8661</v>
      </c>
      <c r="P2104">
        <v>3401</v>
      </c>
    </row>
    <row r="2105" spans="15:16" x14ac:dyDescent="0.45">
      <c r="O2105" t="s">
        <v>8662</v>
      </c>
      <c r="P2105">
        <v>3401</v>
      </c>
    </row>
    <row r="2106" spans="15:16" x14ac:dyDescent="0.45">
      <c r="O2106" t="s">
        <v>8663</v>
      </c>
      <c r="P2106">
        <v>3888</v>
      </c>
    </row>
    <row r="2107" spans="15:16" x14ac:dyDescent="0.45">
      <c r="O2107" t="s">
        <v>8664</v>
      </c>
      <c r="P2107">
        <v>3099</v>
      </c>
    </row>
    <row r="2108" spans="15:16" x14ac:dyDescent="0.45">
      <c r="O2108" t="s">
        <v>8665</v>
      </c>
      <c r="P2108">
        <v>3594</v>
      </c>
    </row>
    <row r="2109" spans="15:16" x14ac:dyDescent="0.45">
      <c r="O2109" t="s">
        <v>8666</v>
      </c>
      <c r="P2109">
        <v>3595</v>
      </c>
    </row>
    <row r="2110" spans="15:16" x14ac:dyDescent="0.45">
      <c r="O2110" t="s">
        <v>8667</v>
      </c>
      <c r="P2110">
        <v>3533</v>
      </c>
    </row>
    <row r="2111" spans="15:16" x14ac:dyDescent="0.45">
      <c r="O2111" t="s">
        <v>8668</v>
      </c>
      <c r="P2111">
        <v>3909</v>
      </c>
    </row>
    <row r="2112" spans="15:16" x14ac:dyDescent="0.45">
      <c r="O2112" t="s">
        <v>8669</v>
      </c>
      <c r="P2112">
        <v>3987</v>
      </c>
    </row>
    <row r="2113" spans="15:16" x14ac:dyDescent="0.45">
      <c r="O2113" t="s">
        <v>8670</v>
      </c>
      <c r="P2113">
        <v>3585</v>
      </c>
    </row>
    <row r="2114" spans="15:16" x14ac:dyDescent="0.45">
      <c r="O2114" t="s">
        <v>8671</v>
      </c>
      <c r="P2114">
        <v>3046</v>
      </c>
    </row>
    <row r="2115" spans="15:16" x14ac:dyDescent="0.45">
      <c r="O2115" t="s">
        <v>8672</v>
      </c>
      <c r="P2115">
        <v>3063</v>
      </c>
    </row>
    <row r="2116" spans="15:16" x14ac:dyDescent="0.45">
      <c r="O2116" t="s">
        <v>8673</v>
      </c>
      <c r="P2116">
        <v>3166</v>
      </c>
    </row>
    <row r="2117" spans="15:16" x14ac:dyDescent="0.45">
      <c r="O2117" t="s">
        <v>8674</v>
      </c>
      <c r="P2117">
        <v>3166</v>
      </c>
    </row>
    <row r="2118" spans="15:16" x14ac:dyDescent="0.45">
      <c r="O2118" t="s">
        <v>8675</v>
      </c>
      <c r="P2118">
        <v>3167</v>
      </c>
    </row>
    <row r="2119" spans="15:16" x14ac:dyDescent="0.45">
      <c r="O2119" t="s">
        <v>8676</v>
      </c>
      <c r="P2119">
        <v>3540</v>
      </c>
    </row>
    <row r="2120" spans="15:16" x14ac:dyDescent="0.45">
      <c r="O2120" t="s">
        <v>8677</v>
      </c>
      <c r="P2120">
        <v>3880</v>
      </c>
    </row>
    <row r="2121" spans="15:16" x14ac:dyDescent="0.45">
      <c r="O2121" t="s">
        <v>8678</v>
      </c>
      <c r="P2121">
        <v>3226</v>
      </c>
    </row>
    <row r="2122" spans="15:16" x14ac:dyDescent="0.45">
      <c r="O2122" t="s">
        <v>8679</v>
      </c>
      <c r="P2122">
        <v>3809</v>
      </c>
    </row>
    <row r="2123" spans="15:16" x14ac:dyDescent="0.45">
      <c r="O2123" t="s">
        <v>8680</v>
      </c>
      <c r="P2123">
        <v>3809</v>
      </c>
    </row>
    <row r="2124" spans="15:16" x14ac:dyDescent="0.45">
      <c r="O2124" t="s">
        <v>8681</v>
      </c>
      <c r="P2124">
        <v>3701</v>
      </c>
    </row>
    <row r="2125" spans="15:16" x14ac:dyDescent="0.45">
      <c r="O2125" t="s">
        <v>8682</v>
      </c>
      <c r="P2125">
        <v>3788</v>
      </c>
    </row>
    <row r="2126" spans="15:16" x14ac:dyDescent="0.45">
      <c r="O2126" t="s">
        <v>8683</v>
      </c>
      <c r="P2126">
        <v>3241</v>
      </c>
    </row>
    <row r="2127" spans="15:16" x14ac:dyDescent="0.45">
      <c r="O2127" t="s">
        <v>8684</v>
      </c>
      <c r="P2127">
        <v>3898</v>
      </c>
    </row>
    <row r="2128" spans="15:16" x14ac:dyDescent="0.45">
      <c r="O2128" t="s">
        <v>8685</v>
      </c>
      <c r="P2128">
        <v>3898</v>
      </c>
    </row>
    <row r="2129" spans="15:16" x14ac:dyDescent="0.45">
      <c r="O2129" t="s">
        <v>8686</v>
      </c>
      <c r="P2129">
        <v>3249</v>
      </c>
    </row>
    <row r="2130" spans="15:16" x14ac:dyDescent="0.45">
      <c r="O2130" t="s">
        <v>8687</v>
      </c>
      <c r="P2130">
        <v>3888</v>
      </c>
    </row>
    <row r="2131" spans="15:16" x14ac:dyDescent="0.45">
      <c r="O2131" t="s">
        <v>8688</v>
      </c>
      <c r="P2131">
        <v>3284</v>
      </c>
    </row>
    <row r="2132" spans="15:16" x14ac:dyDescent="0.45">
      <c r="O2132" t="s">
        <v>8689</v>
      </c>
      <c r="P2132">
        <v>3204</v>
      </c>
    </row>
    <row r="2133" spans="15:16" x14ac:dyDescent="0.45">
      <c r="O2133" t="s">
        <v>8690</v>
      </c>
      <c r="P2133">
        <v>3631</v>
      </c>
    </row>
    <row r="2134" spans="15:16" x14ac:dyDescent="0.45">
      <c r="O2134" t="s">
        <v>8691</v>
      </c>
      <c r="P2134">
        <v>3691</v>
      </c>
    </row>
    <row r="2135" spans="15:16" x14ac:dyDescent="0.45">
      <c r="O2135" t="s">
        <v>8692</v>
      </c>
      <c r="P2135">
        <v>3951</v>
      </c>
    </row>
    <row r="2136" spans="15:16" x14ac:dyDescent="0.45">
      <c r="O2136" t="s">
        <v>8693</v>
      </c>
      <c r="P2136">
        <v>3490</v>
      </c>
    </row>
    <row r="2137" spans="15:16" x14ac:dyDescent="0.45">
      <c r="O2137" t="s">
        <v>8694</v>
      </c>
      <c r="P2137">
        <v>3738</v>
      </c>
    </row>
    <row r="2138" spans="15:16" x14ac:dyDescent="0.45">
      <c r="O2138" t="s">
        <v>8695</v>
      </c>
      <c r="P2138">
        <v>3678</v>
      </c>
    </row>
    <row r="2139" spans="15:16" x14ac:dyDescent="0.45">
      <c r="O2139" t="s">
        <v>8696</v>
      </c>
      <c r="P2139">
        <v>3678</v>
      </c>
    </row>
    <row r="2140" spans="15:16" x14ac:dyDescent="0.45">
      <c r="O2140" t="s">
        <v>8697</v>
      </c>
      <c r="P2140">
        <v>3413</v>
      </c>
    </row>
    <row r="2141" spans="15:16" x14ac:dyDescent="0.45">
      <c r="O2141" t="s">
        <v>8698</v>
      </c>
      <c r="P2141">
        <v>3268</v>
      </c>
    </row>
    <row r="2142" spans="15:16" x14ac:dyDescent="0.45">
      <c r="O2142" t="s">
        <v>8699</v>
      </c>
      <c r="P2142">
        <v>3551</v>
      </c>
    </row>
    <row r="2143" spans="15:16" x14ac:dyDescent="0.45">
      <c r="O2143" t="s">
        <v>8700</v>
      </c>
      <c r="P2143">
        <v>3810</v>
      </c>
    </row>
    <row r="2144" spans="15:16" x14ac:dyDescent="0.45">
      <c r="O2144" t="s">
        <v>8701</v>
      </c>
      <c r="P2144">
        <v>3810</v>
      </c>
    </row>
    <row r="2145" spans="15:16" x14ac:dyDescent="0.45">
      <c r="O2145" t="s">
        <v>8702</v>
      </c>
      <c r="P2145">
        <v>3810</v>
      </c>
    </row>
    <row r="2146" spans="15:16" x14ac:dyDescent="0.45">
      <c r="O2146" t="s">
        <v>8703</v>
      </c>
      <c r="P2146">
        <v>3512</v>
      </c>
    </row>
    <row r="2147" spans="15:16" x14ac:dyDescent="0.45">
      <c r="O2147" t="s">
        <v>8704</v>
      </c>
      <c r="P2147">
        <v>3265</v>
      </c>
    </row>
    <row r="2148" spans="15:16" x14ac:dyDescent="0.45">
      <c r="O2148" t="s">
        <v>8705</v>
      </c>
      <c r="P2148">
        <v>3759</v>
      </c>
    </row>
    <row r="2149" spans="15:16" x14ac:dyDescent="0.45">
      <c r="O2149" t="s">
        <v>8706</v>
      </c>
      <c r="P2149">
        <v>3477</v>
      </c>
    </row>
    <row r="2150" spans="15:16" x14ac:dyDescent="0.45">
      <c r="O2150" t="s">
        <v>8707</v>
      </c>
      <c r="P2150">
        <v>3851</v>
      </c>
    </row>
    <row r="2151" spans="15:16" x14ac:dyDescent="0.45">
      <c r="O2151" t="s">
        <v>8708</v>
      </c>
      <c r="P2151">
        <v>3240</v>
      </c>
    </row>
    <row r="2152" spans="15:16" x14ac:dyDescent="0.45">
      <c r="O2152" t="s">
        <v>8709</v>
      </c>
      <c r="P2152">
        <v>3114</v>
      </c>
    </row>
    <row r="2153" spans="15:16" x14ac:dyDescent="0.45">
      <c r="O2153" t="s">
        <v>8710</v>
      </c>
      <c r="P2153">
        <v>3195</v>
      </c>
    </row>
    <row r="2154" spans="15:16" x14ac:dyDescent="0.45">
      <c r="O2154" t="s">
        <v>8711</v>
      </c>
      <c r="P2154">
        <v>3052</v>
      </c>
    </row>
    <row r="2155" spans="15:16" x14ac:dyDescent="0.45">
      <c r="O2155" t="s">
        <v>8712</v>
      </c>
      <c r="P2155">
        <v>3340</v>
      </c>
    </row>
    <row r="2156" spans="15:16" x14ac:dyDescent="0.45">
      <c r="O2156" t="s">
        <v>8713</v>
      </c>
      <c r="P2156">
        <v>3315</v>
      </c>
    </row>
    <row r="2157" spans="15:16" x14ac:dyDescent="0.45">
      <c r="O2157" t="s">
        <v>8714</v>
      </c>
      <c r="P2157">
        <v>3044</v>
      </c>
    </row>
    <row r="2158" spans="15:16" x14ac:dyDescent="0.45">
      <c r="O2158" t="s">
        <v>8715</v>
      </c>
      <c r="P2158">
        <v>3044</v>
      </c>
    </row>
    <row r="2159" spans="15:16" x14ac:dyDescent="0.45">
      <c r="O2159" t="s">
        <v>8716</v>
      </c>
      <c r="P2159">
        <v>3444</v>
      </c>
    </row>
    <row r="2160" spans="15:16" x14ac:dyDescent="0.45">
      <c r="O2160" t="s">
        <v>8717</v>
      </c>
      <c r="P2160">
        <v>3444</v>
      </c>
    </row>
    <row r="2161" spans="15:16" x14ac:dyDescent="0.45">
      <c r="O2161" t="s">
        <v>8718</v>
      </c>
      <c r="P2161">
        <v>3491</v>
      </c>
    </row>
    <row r="2162" spans="15:16" x14ac:dyDescent="0.45">
      <c r="O2162" t="s">
        <v>8719</v>
      </c>
      <c r="P2162">
        <v>3564</v>
      </c>
    </row>
    <row r="2163" spans="15:16" x14ac:dyDescent="0.45">
      <c r="O2163" t="s">
        <v>8720</v>
      </c>
      <c r="P2163">
        <v>3204</v>
      </c>
    </row>
    <row r="2164" spans="15:16" x14ac:dyDescent="0.45">
      <c r="O2164" t="s">
        <v>8721</v>
      </c>
      <c r="P2164">
        <v>3197</v>
      </c>
    </row>
    <row r="2165" spans="15:16" x14ac:dyDescent="0.45">
      <c r="O2165" t="s">
        <v>8722</v>
      </c>
      <c r="P2165">
        <v>3318</v>
      </c>
    </row>
    <row r="2166" spans="15:16" x14ac:dyDescent="0.45">
      <c r="O2166" t="s">
        <v>8723</v>
      </c>
      <c r="P2166">
        <v>3880</v>
      </c>
    </row>
    <row r="2167" spans="15:16" x14ac:dyDescent="0.45">
      <c r="O2167" t="s">
        <v>8724</v>
      </c>
      <c r="P2167">
        <v>3912</v>
      </c>
    </row>
    <row r="2168" spans="15:16" x14ac:dyDescent="0.45">
      <c r="O2168" t="s">
        <v>8725</v>
      </c>
      <c r="P2168">
        <v>3851</v>
      </c>
    </row>
    <row r="2169" spans="15:16" x14ac:dyDescent="0.45">
      <c r="O2169" t="s">
        <v>8726</v>
      </c>
      <c r="P2169">
        <v>3678</v>
      </c>
    </row>
    <row r="2170" spans="15:16" x14ac:dyDescent="0.45">
      <c r="O2170" t="s">
        <v>8727</v>
      </c>
      <c r="P2170">
        <v>3678</v>
      </c>
    </row>
    <row r="2171" spans="15:16" x14ac:dyDescent="0.45">
      <c r="O2171" t="s">
        <v>8728</v>
      </c>
      <c r="P2171">
        <v>3727</v>
      </c>
    </row>
    <row r="2172" spans="15:16" x14ac:dyDescent="0.45">
      <c r="O2172" t="s">
        <v>8729</v>
      </c>
      <c r="P2172">
        <v>3235</v>
      </c>
    </row>
    <row r="2173" spans="15:16" x14ac:dyDescent="0.45">
      <c r="O2173" t="s">
        <v>8730</v>
      </c>
      <c r="P2173">
        <v>3289</v>
      </c>
    </row>
    <row r="2174" spans="15:16" x14ac:dyDescent="0.45">
      <c r="O2174" t="s">
        <v>8731</v>
      </c>
      <c r="P2174">
        <v>3586</v>
      </c>
    </row>
    <row r="2175" spans="15:16" x14ac:dyDescent="0.45">
      <c r="O2175" t="s">
        <v>8732</v>
      </c>
      <c r="P2175">
        <v>3341</v>
      </c>
    </row>
    <row r="2176" spans="15:16" x14ac:dyDescent="0.45">
      <c r="O2176" t="s">
        <v>8733</v>
      </c>
      <c r="P2176">
        <v>3478</v>
      </c>
    </row>
    <row r="2177" spans="15:16" x14ac:dyDescent="0.45">
      <c r="O2177" t="s">
        <v>8734</v>
      </c>
      <c r="P2177">
        <v>3413</v>
      </c>
    </row>
    <row r="2178" spans="15:16" x14ac:dyDescent="0.45">
      <c r="O2178" t="s">
        <v>8735</v>
      </c>
      <c r="P2178">
        <v>3862</v>
      </c>
    </row>
    <row r="2179" spans="15:16" x14ac:dyDescent="0.45">
      <c r="O2179" t="s">
        <v>8736</v>
      </c>
      <c r="P2179">
        <v>3270</v>
      </c>
    </row>
    <row r="2180" spans="15:16" x14ac:dyDescent="0.45">
      <c r="O2180" t="s">
        <v>8737</v>
      </c>
      <c r="P2180">
        <v>3233</v>
      </c>
    </row>
    <row r="2181" spans="15:16" x14ac:dyDescent="0.45">
      <c r="O2181" t="s">
        <v>8738</v>
      </c>
      <c r="P2181">
        <v>3757</v>
      </c>
    </row>
    <row r="2182" spans="15:16" x14ac:dyDescent="0.45">
      <c r="O2182" t="s">
        <v>8739</v>
      </c>
      <c r="P2182">
        <v>3597</v>
      </c>
    </row>
    <row r="2183" spans="15:16" x14ac:dyDescent="0.45">
      <c r="O2183" t="s">
        <v>8740</v>
      </c>
      <c r="P2183">
        <v>3572</v>
      </c>
    </row>
    <row r="2184" spans="15:16" x14ac:dyDescent="0.45">
      <c r="O2184" t="s">
        <v>8741</v>
      </c>
      <c r="P2184">
        <v>3639</v>
      </c>
    </row>
    <row r="2185" spans="15:16" x14ac:dyDescent="0.45">
      <c r="O2185" t="s">
        <v>8742</v>
      </c>
      <c r="P2185">
        <v>3639</v>
      </c>
    </row>
    <row r="2186" spans="15:16" x14ac:dyDescent="0.45">
      <c r="O2186" t="s">
        <v>8743</v>
      </c>
      <c r="P2186">
        <v>3833</v>
      </c>
    </row>
    <row r="2187" spans="15:16" x14ac:dyDescent="0.45">
      <c r="O2187" t="s">
        <v>8744</v>
      </c>
      <c r="P2187">
        <v>3533</v>
      </c>
    </row>
    <row r="2188" spans="15:16" x14ac:dyDescent="0.45">
      <c r="O2188" t="s">
        <v>8745</v>
      </c>
      <c r="P2188">
        <v>3407</v>
      </c>
    </row>
    <row r="2189" spans="15:16" x14ac:dyDescent="0.45">
      <c r="O2189" t="s">
        <v>8746</v>
      </c>
      <c r="P2189">
        <v>3351</v>
      </c>
    </row>
    <row r="2190" spans="15:16" x14ac:dyDescent="0.45">
      <c r="O2190" t="s">
        <v>8747</v>
      </c>
      <c r="P2190">
        <v>3401</v>
      </c>
    </row>
    <row r="2191" spans="15:16" x14ac:dyDescent="0.45">
      <c r="O2191" t="s">
        <v>8748</v>
      </c>
      <c r="P2191">
        <v>3573</v>
      </c>
    </row>
    <row r="2192" spans="15:16" x14ac:dyDescent="0.45">
      <c r="O2192" t="s">
        <v>8749</v>
      </c>
      <c r="P2192">
        <v>3631</v>
      </c>
    </row>
    <row r="2193" spans="15:16" x14ac:dyDescent="0.45">
      <c r="O2193" t="s">
        <v>8750</v>
      </c>
      <c r="P2193">
        <v>3709</v>
      </c>
    </row>
    <row r="2194" spans="15:16" x14ac:dyDescent="0.45">
      <c r="O2194" t="s">
        <v>8751</v>
      </c>
      <c r="P2194">
        <v>3579</v>
      </c>
    </row>
    <row r="2195" spans="15:16" x14ac:dyDescent="0.45">
      <c r="O2195" t="s">
        <v>8752</v>
      </c>
      <c r="P2195">
        <v>3200</v>
      </c>
    </row>
    <row r="2196" spans="15:16" x14ac:dyDescent="0.45">
      <c r="O2196" t="s">
        <v>8753</v>
      </c>
      <c r="P2196">
        <v>3149</v>
      </c>
    </row>
    <row r="2197" spans="15:16" x14ac:dyDescent="0.45">
      <c r="O2197" t="s">
        <v>8754</v>
      </c>
      <c r="P2197">
        <v>3984</v>
      </c>
    </row>
    <row r="2198" spans="15:16" x14ac:dyDescent="0.45">
      <c r="O2198" t="s">
        <v>8755</v>
      </c>
      <c r="P2198">
        <v>3444</v>
      </c>
    </row>
    <row r="2199" spans="15:16" x14ac:dyDescent="0.45">
      <c r="O2199" t="s">
        <v>8756</v>
      </c>
      <c r="P2199">
        <v>3585</v>
      </c>
    </row>
    <row r="2200" spans="15:16" x14ac:dyDescent="0.45">
      <c r="O2200" t="s">
        <v>8757</v>
      </c>
      <c r="P2200">
        <v>3723</v>
      </c>
    </row>
    <row r="2201" spans="15:16" x14ac:dyDescent="0.45">
      <c r="O2201" t="s">
        <v>8758</v>
      </c>
      <c r="P2201">
        <v>3249</v>
      </c>
    </row>
    <row r="2202" spans="15:16" x14ac:dyDescent="0.45">
      <c r="O2202" t="s">
        <v>8759</v>
      </c>
      <c r="P2202">
        <v>3351</v>
      </c>
    </row>
    <row r="2203" spans="15:16" x14ac:dyDescent="0.45">
      <c r="O2203" t="s">
        <v>8760</v>
      </c>
      <c r="P2203">
        <v>3360</v>
      </c>
    </row>
    <row r="2204" spans="15:16" x14ac:dyDescent="0.45">
      <c r="O2204" t="s">
        <v>8761</v>
      </c>
      <c r="P2204">
        <v>3090</v>
      </c>
    </row>
    <row r="2205" spans="15:16" x14ac:dyDescent="0.45">
      <c r="O2205" t="s">
        <v>8762</v>
      </c>
      <c r="P2205">
        <v>3335</v>
      </c>
    </row>
    <row r="2206" spans="15:16" x14ac:dyDescent="0.45">
      <c r="O2206" t="s">
        <v>8763</v>
      </c>
      <c r="P2206">
        <v>3030</v>
      </c>
    </row>
    <row r="2207" spans="15:16" x14ac:dyDescent="0.45">
      <c r="O2207" t="s">
        <v>8764</v>
      </c>
      <c r="P2207">
        <v>3916</v>
      </c>
    </row>
    <row r="2208" spans="15:16" x14ac:dyDescent="0.45">
      <c r="O2208" t="s">
        <v>8765</v>
      </c>
      <c r="P2208">
        <v>3225</v>
      </c>
    </row>
    <row r="2209" spans="15:16" x14ac:dyDescent="0.45">
      <c r="O2209" t="s">
        <v>8766</v>
      </c>
      <c r="P2209">
        <v>3212</v>
      </c>
    </row>
    <row r="2210" spans="15:16" x14ac:dyDescent="0.45">
      <c r="O2210" t="s">
        <v>8767</v>
      </c>
      <c r="P2210">
        <v>3585</v>
      </c>
    </row>
    <row r="2211" spans="15:16" x14ac:dyDescent="0.45">
      <c r="O2211" t="s">
        <v>8768</v>
      </c>
      <c r="P2211">
        <v>3260</v>
      </c>
    </row>
    <row r="2212" spans="15:16" x14ac:dyDescent="0.45">
      <c r="O2212" t="s">
        <v>8769</v>
      </c>
      <c r="P2212">
        <v>3249</v>
      </c>
    </row>
    <row r="2213" spans="15:16" x14ac:dyDescent="0.45">
      <c r="O2213" t="s">
        <v>8770</v>
      </c>
      <c r="P2213">
        <v>3260</v>
      </c>
    </row>
    <row r="2214" spans="15:16" x14ac:dyDescent="0.45">
      <c r="O2214" t="s">
        <v>8771</v>
      </c>
      <c r="P2214">
        <v>3381</v>
      </c>
    </row>
    <row r="2215" spans="15:16" x14ac:dyDescent="0.45">
      <c r="O2215" t="s">
        <v>8772</v>
      </c>
      <c r="P2215">
        <v>3571</v>
      </c>
    </row>
    <row r="2216" spans="15:16" x14ac:dyDescent="0.45">
      <c r="O2216" t="s">
        <v>8773</v>
      </c>
      <c r="P2216">
        <v>3312</v>
      </c>
    </row>
    <row r="2217" spans="15:16" x14ac:dyDescent="0.45">
      <c r="O2217" t="s">
        <v>8774</v>
      </c>
      <c r="P2217">
        <v>3352</v>
      </c>
    </row>
    <row r="2218" spans="15:16" x14ac:dyDescent="0.45">
      <c r="O2218" t="s">
        <v>8775</v>
      </c>
      <c r="P2218">
        <v>3988</v>
      </c>
    </row>
    <row r="2219" spans="15:16" x14ac:dyDescent="0.45">
      <c r="O2219" t="s">
        <v>8776</v>
      </c>
      <c r="P2219">
        <v>3988</v>
      </c>
    </row>
    <row r="2220" spans="15:16" x14ac:dyDescent="0.45">
      <c r="O2220" t="s">
        <v>8777</v>
      </c>
      <c r="P2220">
        <v>3988</v>
      </c>
    </row>
    <row r="2221" spans="15:16" x14ac:dyDescent="0.45">
      <c r="O2221" t="s">
        <v>8778</v>
      </c>
      <c r="P2221">
        <v>3461</v>
      </c>
    </row>
    <row r="2222" spans="15:16" x14ac:dyDescent="0.45">
      <c r="O2222" t="s">
        <v>8779</v>
      </c>
      <c r="P2222">
        <v>3740</v>
      </c>
    </row>
    <row r="2223" spans="15:16" x14ac:dyDescent="0.45">
      <c r="O2223" t="s">
        <v>8780</v>
      </c>
      <c r="P2223">
        <v>3971</v>
      </c>
    </row>
    <row r="2224" spans="15:16" x14ac:dyDescent="0.45">
      <c r="O2224" t="s">
        <v>8781</v>
      </c>
      <c r="P2224">
        <v>3269</v>
      </c>
    </row>
    <row r="2225" spans="15:16" x14ac:dyDescent="0.45">
      <c r="O2225" t="s">
        <v>8782</v>
      </c>
      <c r="P2225">
        <v>3284</v>
      </c>
    </row>
    <row r="2226" spans="15:16" x14ac:dyDescent="0.45">
      <c r="O2226" t="s">
        <v>8783</v>
      </c>
      <c r="P2226">
        <v>3964</v>
      </c>
    </row>
    <row r="2227" spans="15:16" x14ac:dyDescent="0.45">
      <c r="O2227" t="s">
        <v>8784</v>
      </c>
      <c r="P2227">
        <v>3207</v>
      </c>
    </row>
    <row r="2228" spans="15:16" x14ac:dyDescent="0.45">
      <c r="O2228" t="s">
        <v>8785</v>
      </c>
      <c r="P2228">
        <v>3965</v>
      </c>
    </row>
    <row r="2229" spans="15:16" x14ac:dyDescent="0.45">
      <c r="O2229" t="s">
        <v>8786</v>
      </c>
      <c r="P2229">
        <v>3223</v>
      </c>
    </row>
    <row r="2230" spans="15:16" x14ac:dyDescent="0.45">
      <c r="O2230" t="s">
        <v>8787</v>
      </c>
      <c r="P2230">
        <v>3305</v>
      </c>
    </row>
    <row r="2231" spans="15:16" x14ac:dyDescent="0.45">
      <c r="O2231" t="s">
        <v>8788</v>
      </c>
      <c r="P2231">
        <v>3305</v>
      </c>
    </row>
    <row r="2232" spans="15:16" x14ac:dyDescent="0.45">
      <c r="O2232" t="s">
        <v>8789</v>
      </c>
      <c r="P2232">
        <v>3305</v>
      </c>
    </row>
    <row r="2233" spans="15:16" x14ac:dyDescent="0.45">
      <c r="O2233" t="s">
        <v>8790</v>
      </c>
      <c r="P2233">
        <v>3944</v>
      </c>
    </row>
    <row r="2234" spans="15:16" x14ac:dyDescent="0.45">
      <c r="O2234" t="s">
        <v>8791</v>
      </c>
      <c r="P2234">
        <v>3996</v>
      </c>
    </row>
    <row r="2235" spans="15:16" x14ac:dyDescent="0.45">
      <c r="O2235" t="s">
        <v>8792</v>
      </c>
      <c r="P2235">
        <v>3797</v>
      </c>
    </row>
    <row r="2236" spans="15:16" x14ac:dyDescent="0.45">
      <c r="O2236" t="s">
        <v>8793</v>
      </c>
      <c r="P2236">
        <v>3312</v>
      </c>
    </row>
    <row r="2237" spans="15:16" x14ac:dyDescent="0.45">
      <c r="O2237" t="s">
        <v>8794</v>
      </c>
      <c r="P2237">
        <v>3517</v>
      </c>
    </row>
    <row r="2238" spans="15:16" x14ac:dyDescent="0.45">
      <c r="O2238" t="s">
        <v>8795</v>
      </c>
      <c r="P2238">
        <v>3181</v>
      </c>
    </row>
    <row r="2239" spans="15:16" x14ac:dyDescent="0.45">
      <c r="O2239" t="s">
        <v>8796</v>
      </c>
      <c r="P2239">
        <v>3181</v>
      </c>
    </row>
    <row r="2240" spans="15:16" x14ac:dyDescent="0.45">
      <c r="O2240" t="s">
        <v>8797</v>
      </c>
      <c r="P2240">
        <v>3572</v>
      </c>
    </row>
    <row r="2241" spans="15:16" x14ac:dyDescent="0.45">
      <c r="O2241" t="s">
        <v>8798</v>
      </c>
      <c r="P2241">
        <v>3666</v>
      </c>
    </row>
    <row r="2242" spans="15:16" x14ac:dyDescent="0.45">
      <c r="O2242" t="s">
        <v>8799</v>
      </c>
      <c r="P2242">
        <v>3685</v>
      </c>
    </row>
    <row r="2243" spans="15:16" x14ac:dyDescent="0.45">
      <c r="O2243" t="s">
        <v>8800</v>
      </c>
      <c r="P2243">
        <v>3072</v>
      </c>
    </row>
    <row r="2244" spans="15:16" x14ac:dyDescent="0.45">
      <c r="O2244" t="s">
        <v>8801</v>
      </c>
      <c r="P2244">
        <v>3072</v>
      </c>
    </row>
    <row r="2245" spans="15:16" x14ac:dyDescent="0.45">
      <c r="O2245" t="s">
        <v>8802</v>
      </c>
      <c r="P2245">
        <v>3072</v>
      </c>
    </row>
    <row r="2246" spans="15:16" x14ac:dyDescent="0.45">
      <c r="O2246" t="s">
        <v>8803</v>
      </c>
      <c r="P2246">
        <v>3072</v>
      </c>
    </row>
    <row r="2247" spans="15:16" x14ac:dyDescent="0.45">
      <c r="O2247" t="s">
        <v>8804</v>
      </c>
      <c r="P2247">
        <v>3054</v>
      </c>
    </row>
    <row r="2248" spans="15:16" x14ac:dyDescent="0.45">
      <c r="O2248" t="s">
        <v>8805</v>
      </c>
      <c r="P2248">
        <v>3269</v>
      </c>
    </row>
    <row r="2249" spans="15:16" x14ac:dyDescent="0.45">
      <c r="O2249" t="s">
        <v>8806</v>
      </c>
      <c r="P2249">
        <v>3662</v>
      </c>
    </row>
    <row r="2250" spans="15:16" x14ac:dyDescent="0.45">
      <c r="O2250" t="s">
        <v>8807</v>
      </c>
      <c r="P2250">
        <v>3271</v>
      </c>
    </row>
    <row r="2251" spans="15:16" x14ac:dyDescent="0.45">
      <c r="O2251" t="s">
        <v>8808</v>
      </c>
      <c r="P2251">
        <v>3289</v>
      </c>
    </row>
    <row r="2252" spans="15:16" x14ac:dyDescent="0.45">
      <c r="O2252" t="s">
        <v>8809</v>
      </c>
      <c r="P2252">
        <v>3278</v>
      </c>
    </row>
    <row r="2253" spans="15:16" x14ac:dyDescent="0.45">
      <c r="O2253" t="s">
        <v>8810</v>
      </c>
      <c r="P2253">
        <v>3278</v>
      </c>
    </row>
    <row r="2254" spans="15:16" x14ac:dyDescent="0.45">
      <c r="O2254" t="s">
        <v>8811</v>
      </c>
      <c r="P2254">
        <v>3521</v>
      </c>
    </row>
    <row r="2255" spans="15:16" x14ac:dyDescent="0.45">
      <c r="O2255" t="s">
        <v>8812</v>
      </c>
      <c r="P2255">
        <v>3575</v>
      </c>
    </row>
    <row r="2256" spans="15:16" x14ac:dyDescent="0.45">
      <c r="O2256" t="s">
        <v>8813</v>
      </c>
      <c r="P2256">
        <v>3540</v>
      </c>
    </row>
    <row r="2257" spans="15:16" x14ac:dyDescent="0.45">
      <c r="O2257" t="s">
        <v>8814</v>
      </c>
      <c r="P2257">
        <v>3030</v>
      </c>
    </row>
    <row r="2258" spans="15:16" x14ac:dyDescent="0.45">
      <c r="O2258" t="s">
        <v>8815</v>
      </c>
      <c r="P2258">
        <v>3401</v>
      </c>
    </row>
    <row r="2259" spans="15:16" x14ac:dyDescent="0.45">
      <c r="O2259" t="s">
        <v>8816</v>
      </c>
      <c r="P2259">
        <v>3550</v>
      </c>
    </row>
    <row r="2260" spans="15:16" x14ac:dyDescent="0.45">
      <c r="O2260" t="s">
        <v>8817</v>
      </c>
      <c r="P2260">
        <v>3225</v>
      </c>
    </row>
    <row r="2261" spans="15:16" x14ac:dyDescent="0.45">
      <c r="O2261" t="s">
        <v>8818</v>
      </c>
      <c r="P2261">
        <v>3984</v>
      </c>
    </row>
    <row r="2262" spans="15:16" x14ac:dyDescent="0.45">
      <c r="O2262" t="s">
        <v>8819</v>
      </c>
      <c r="P2262">
        <v>3373</v>
      </c>
    </row>
    <row r="2263" spans="15:16" x14ac:dyDescent="0.45">
      <c r="O2263" t="s">
        <v>8820</v>
      </c>
      <c r="P2263">
        <v>3424</v>
      </c>
    </row>
    <row r="2264" spans="15:16" x14ac:dyDescent="0.45">
      <c r="O2264" t="s">
        <v>8821</v>
      </c>
      <c r="P2264">
        <v>3951</v>
      </c>
    </row>
    <row r="2265" spans="15:16" x14ac:dyDescent="0.45">
      <c r="O2265" t="s">
        <v>8822</v>
      </c>
      <c r="P2265">
        <v>3132</v>
      </c>
    </row>
    <row r="2266" spans="15:16" x14ac:dyDescent="0.45">
      <c r="O2266" t="s">
        <v>8823</v>
      </c>
      <c r="P2266">
        <v>3465</v>
      </c>
    </row>
    <row r="2267" spans="15:16" x14ac:dyDescent="0.45">
      <c r="O2267" t="s">
        <v>8824</v>
      </c>
      <c r="P2267">
        <v>3465</v>
      </c>
    </row>
    <row r="2268" spans="15:16" x14ac:dyDescent="0.45">
      <c r="O2268" t="s">
        <v>8825</v>
      </c>
      <c r="P2268">
        <v>3023</v>
      </c>
    </row>
    <row r="2269" spans="15:16" x14ac:dyDescent="0.45">
      <c r="O2269" t="s">
        <v>8826</v>
      </c>
      <c r="P2269">
        <v>3453</v>
      </c>
    </row>
    <row r="2270" spans="15:16" x14ac:dyDescent="0.45">
      <c r="O2270" t="s">
        <v>8827</v>
      </c>
      <c r="P2270">
        <v>3453</v>
      </c>
    </row>
    <row r="2271" spans="15:16" x14ac:dyDescent="0.45">
      <c r="O2271" t="s">
        <v>8828</v>
      </c>
      <c r="P2271">
        <v>3825</v>
      </c>
    </row>
    <row r="2272" spans="15:16" x14ac:dyDescent="0.45">
      <c r="O2272" t="s">
        <v>8829</v>
      </c>
      <c r="P2272">
        <v>3880</v>
      </c>
    </row>
    <row r="2273" spans="15:16" x14ac:dyDescent="0.45">
      <c r="O2273" t="s">
        <v>8830</v>
      </c>
      <c r="P2273">
        <v>3570</v>
      </c>
    </row>
    <row r="2274" spans="15:16" x14ac:dyDescent="0.45">
      <c r="O2274" t="s">
        <v>8831</v>
      </c>
      <c r="P2274">
        <v>3496</v>
      </c>
    </row>
    <row r="2275" spans="15:16" x14ac:dyDescent="0.45">
      <c r="O2275" t="s">
        <v>8832</v>
      </c>
      <c r="P2275">
        <v>3937</v>
      </c>
    </row>
    <row r="2276" spans="15:16" x14ac:dyDescent="0.45">
      <c r="O2276" t="s">
        <v>8833</v>
      </c>
      <c r="P2276">
        <v>3937</v>
      </c>
    </row>
    <row r="2277" spans="15:16" x14ac:dyDescent="0.45">
      <c r="O2277" t="s">
        <v>8834</v>
      </c>
      <c r="P2277">
        <v>3371</v>
      </c>
    </row>
    <row r="2278" spans="15:16" x14ac:dyDescent="0.45">
      <c r="O2278" t="s">
        <v>8835</v>
      </c>
      <c r="P2278">
        <v>3350</v>
      </c>
    </row>
    <row r="2279" spans="15:16" x14ac:dyDescent="0.45">
      <c r="O2279" t="s">
        <v>8836</v>
      </c>
      <c r="P2279">
        <v>3477</v>
      </c>
    </row>
    <row r="2280" spans="15:16" x14ac:dyDescent="0.45">
      <c r="O2280" t="s">
        <v>8837</v>
      </c>
      <c r="P2280">
        <v>3523</v>
      </c>
    </row>
    <row r="2281" spans="15:16" x14ac:dyDescent="0.45">
      <c r="O2281" t="s">
        <v>8838</v>
      </c>
      <c r="P2281">
        <v>3444</v>
      </c>
    </row>
    <row r="2282" spans="15:16" x14ac:dyDescent="0.45">
      <c r="O2282" t="s">
        <v>8839</v>
      </c>
      <c r="P2282">
        <v>3658</v>
      </c>
    </row>
    <row r="2283" spans="15:16" x14ac:dyDescent="0.45">
      <c r="O2283" t="s">
        <v>8840</v>
      </c>
      <c r="P2283">
        <v>3395</v>
      </c>
    </row>
    <row r="2284" spans="15:16" x14ac:dyDescent="0.45">
      <c r="O2284" t="s">
        <v>8841</v>
      </c>
      <c r="P2284">
        <v>3895</v>
      </c>
    </row>
    <row r="2285" spans="15:16" x14ac:dyDescent="0.45">
      <c r="O2285" t="s">
        <v>8842</v>
      </c>
      <c r="P2285">
        <v>3579</v>
      </c>
    </row>
    <row r="2286" spans="15:16" x14ac:dyDescent="0.45">
      <c r="O2286" t="s">
        <v>8843</v>
      </c>
      <c r="P2286">
        <v>3799</v>
      </c>
    </row>
    <row r="2287" spans="15:16" x14ac:dyDescent="0.45">
      <c r="O2287" t="s">
        <v>8844</v>
      </c>
      <c r="P2287">
        <v>3072</v>
      </c>
    </row>
    <row r="2288" spans="15:16" x14ac:dyDescent="0.45">
      <c r="O2288" t="s">
        <v>8845</v>
      </c>
      <c r="P2288">
        <v>3095</v>
      </c>
    </row>
    <row r="2289" spans="15:16" x14ac:dyDescent="0.45">
      <c r="O2289" t="s">
        <v>8846</v>
      </c>
      <c r="P2289">
        <v>3073</v>
      </c>
    </row>
    <row r="2290" spans="15:16" x14ac:dyDescent="0.45">
      <c r="O2290" t="s">
        <v>8847</v>
      </c>
      <c r="P2290">
        <v>3858</v>
      </c>
    </row>
    <row r="2291" spans="15:16" x14ac:dyDescent="0.45">
      <c r="O2291" t="s">
        <v>8848</v>
      </c>
      <c r="P2291">
        <v>3517</v>
      </c>
    </row>
    <row r="2292" spans="15:16" x14ac:dyDescent="0.45">
      <c r="O2292" t="s">
        <v>8849</v>
      </c>
      <c r="P2292">
        <v>3923</v>
      </c>
    </row>
    <row r="2293" spans="15:16" x14ac:dyDescent="0.45">
      <c r="O2293" t="s">
        <v>8850</v>
      </c>
      <c r="P2293">
        <v>3377</v>
      </c>
    </row>
    <row r="2294" spans="15:16" x14ac:dyDescent="0.45">
      <c r="O2294" t="s">
        <v>8851</v>
      </c>
      <c r="P2294">
        <v>3385</v>
      </c>
    </row>
    <row r="2295" spans="15:16" x14ac:dyDescent="0.45">
      <c r="O2295" t="s">
        <v>8852</v>
      </c>
      <c r="P2295">
        <v>3480</v>
      </c>
    </row>
    <row r="2296" spans="15:16" x14ac:dyDescent="0.45">
      <c r="O2296" t="s">
        <v>8853</v>
      </c>
      <c r="P2296">
        <v>3480</v>
      </c>
    </row>
    <row r="2297" spans="15:16" x14ac:dyDescent="0.45">
      <c r="O2297" t="s">
        <v>8854</v>
      </c>
      <c r="P2297">
        <v>3480</v>
      </c>
    </row>
    <row r="2298" spans="15:16" x14ac:dyDescent="0.45">
      <c r="O2298" t="s">
        <v>8855</v>
      </c>
      <c r="P2298">
        <v>3121</v>
      </c>
    </row>
    <row r="2299" spans="15:16" x14ac:dyDescent="0.45">
      <c r="O2299" t="s">
        <v>8856</v>
      </c>
      <c r="P2299">
        <v>3121</v>
      </c>
    </row>
    <row r="2300" spans="15:16" x14ac:dyDescent="0.45">
      <c r="O2300" t="s">
        <v>8857</v>
      </c>
      <c r="P2300">
        <v>3121</v>
      </c>
    </row>
    <row r="2301" spans="15:16" x14ac:dyDescent="0.45">
      <c r="O2301" t="s">
        <v>8858</v>
      </c>
      <c r="P2301">
        <v>3518</v>
      </c>
    </row>
    <row r="2302" spans="15:16" x14ac:dyDescent="0.45">
      <c r="O2302" t="s">
        <v>8859</v>
      </c>
      <c r="P2302">
        <v>3121</v>
      </c>
    </row>
    <row r="2303" spans="15:16" x14ac:dyDescent="0.45">
      <c r="O2303" t="s">
        <v>8860</v>
      </c>
      <c r="P2303">
        <v>3431</v>
      </c>
    </row>
    <row r="2304" spans="15:16" x14ac:dyDescent="0.45">
      <c r="O2304" t="s">
        <v>8861</v>
      </c>
      <c r="P2304">
        <v>3666</v>
      </c>
    </row>
    <row r="2305" spans="15:16" x14ac:dyDescent="0.45">
      <c r="O2305" t="s">
        <v>8862</v>
      </c>
      <c r="P2305">
        <v>3134</v>
      </c>
    </row>
    <row r="2306" spans="15:16" x14ac:dyDescent="0.45">
      <c r="O2306" t="s">
        <v>8863</v>
      </c>
      <c r="P2306">
        <v>3135</v>
      </c>
    </row>
    <row r="2307" spans="15:16" x14ac:dyDescent="0.45">
      <c r="O2307" t="s">
        <v>8864</v>
      </c>
      <c r="P2307">
        <v>3134</v>
      </c>
    </row>
    <row r="2308" spans="15:16" x14ac:dyDescent="0.45">
      <c r="O2308" t="s">
        <v>8865</v>
      </c>
      <c r="P2308">
        <v>3818</v>
      </c>
    </row>
    <row r="2309" spans="15:16" x14ac:dyDescent="0.45">
      <c r="O2309" t="s">
        <v>8866</v>
      </c>
      <c r="P2309">
        <v>3215</v>
      </c>
    </row>
    <row r="2310" spans="15:16" x14ac:dyDescent="0.45">
      <c r="O2310" t="s">
        <v>8867</v>
      </c>
      <c r="P2310">
        <v>3185</v>
      </c>
    </row>
    <row r="2311" spans="15:16" x14ac:dyDescent="0.45">
      <c r="O2311" t="s">
        <v>8868</v>
      </c>
      <c r="P2311">
        <v>3401</v>
      </c>
    </row>
    <row r="2312" spans="15:16" x14ac:dyDescent="0.45">
      <c r="O2312" t="s">
        <v>8869</v>
      </c>
      <c r="P2312">
        <v>3860</v>
      </c>
    </row>
    <row r="2313" spans="15:16" x14ac:dyDescent="0.45">
      <c r="O2313" t="s">
        <v>8870</v>
      </c>
      <c r="P2313">
        <v>3971</v>
      </c>
    </row>
    <row r="2314" spans="15:16" x14ac:dyDescent="0.45">
      <c r="O2314" t="s">
        <v>8871</v>
      </c>
      <c r="P2314">
        <v>3019</v>
      </c>
    </row>
    <row r="2315" spans="15:16" x14ac:dyDescent="0.45">
      <c r="O2315" t="s">
        <v>8872</v>
      </c>
      <c r="P2315">
        <v>3549</v>
      </c>
    </row>
    <row r="2316" spans="15:16" x14ac:dyDescent="0.45">
      <c r="O2316" t="s">
        <v>8873</v>
      </c>
      <c r="P2316">
        <v>3549</v>
      </c>
    </row>
    <row r="2317" spans="15:16" x14ac:dyDescent="0.45">
      <c r="O2317" t="s">
        <v>8874</v>
      </c>
      <c r="P2317">
        <v>3549</v>
      </c>
    </row>
    <row r="2318" spans="15:16" x14ac:dyDescent="0.45">
      <c r="O2318" t="s">
        <v>8875</v>
      </c>
      <c r="P2318">
        <v>3549</v>
      </c>
    </row>
    <row r="2319" spans="15:16" x14ac:dyDescent="0.45">
      <c r="O2319" t="s">
        <v>8876</v>
      </c>
      <c r="P2319">
        <v>3549</v>
      </c>
    </row>
    <row r="2320" spans="15:16" x14ac:dyDescent="0.45">
      <c r="O2320" t="s">
        <v>8877</v>
      </c>
      <c r="P2320">
        <v>3561</v>
      </c>
    </row>
    <row r="2321" spans="15:16" x14ac:dyDescent="0.45">
      <c r="O2321" t="s">
        <v>8878</v>
      </c>
      <c r="P2321">
        <v>3442</v>
      </c>
    </row>
    <row r="2322" spans="15:16" x14ac:dyDescent="0.45">
      <c r="O2322" t="s">
        <v>8879</v>
      </c>
      <c r="P2322">
        <v>3335</v>
      </c>
    </row>
    <row r="2323" spans="15:16" x14ac:dyDescent="0.45">
      <c r="O2323" t="s">
        <v>8880</v>
      </c>
      <c r="P2323">
        <v>3401</v>
      </c>
    </row>
    <row r="2324" spans="15:16" x14ac:dyDescent="0.45">
      <c r="O2324" t="s">
        <v>8881</v>
      </c>
      <c r="P2324">
        <v>3364</v>
      </c>
    </row>
    <row r="2325" spans="15:16" x14ac:dyDescent="0.45">
      <c r="O2325" t="s">
        <v>8882</v>
      </c>
      <c r="P2325">
        <v>3377</v>
      </c>
    </row>
    <row r="2326" spans="15:16" x14ac:dyDescent="0.45">
      <c r="O2326" t="s">
        <v>8883</v>
      </c>
      <c r="P2326">
        <v>3821</v>
      </c>
    </row>
    <row r="2327" spans="15:16" x14ac:dyDescent="0.45">
      <c r="O2327" t="s">
        <v>8884</v>
      </c>
      <c r="P2327">
        <v>3330</v>
      </c>
    </row>
    <row r="2328" spans="15:16" x14ac:dyDescent="0.45">
      <c r="O2328" t="s">
        <v>8885</v>
      </c>
      <c r="P2328">
        <v>3351</v>
      </c>
    </row>
    <row r="2329" spans="15:16" x14ac:dyDescent="0.45">
      <c r="O2329" t="s">
        <v>8886</v>
      </c>
      <c r="P2329">
        <v>3434</v>
      </c>
    </row>
    <row r="2330" spans="15:16" x14ac:dyDescent="0.45">
      <c r="O2330" t="s">
        <v>8887</v>
      </c>
      <c r="P2330">
        <v>3084</v>
      </c>
    </row>
    <row r="2331" spans="15:16" x14ac:dyDescent="0.45">
      <c r="O2331" t="s">
        <v>8888</v>
      </c>
      <c r="P2331">
        <v>3678</v>
      </c>
    </row>
    <row r="2332" spans="15:16" x14ac:dyDescent="0.45">
      <c r="O2332" t="s">
        <v>8889</v>
      </c>
      <c r="P2332">
        <v>3395</v>
      </c>
    </row>
    <row r="2333" spans="15:16" x14ac:dyDescent="0.45">
      <c r="O2333" t="s">
        <v>8890</v>
      </c>
      <c r="P2333">
        <v>3285</v>
      </c>
    </row>
    <row r="2334" spans="15:16" x14ac:dyDescent="0.45">
      <c r="O2334" t="s">
        <v>8891</v>
      </c>
      <c r="P2334">
        <v>3939</v>
      </c>
    </row>
    <row r="2335" spans="15:16" x14ac:dyDescent="0.45">
      <c r="O2335" t="s">
        <v>8892</v>
      </c>
      <c r="P2335">
        <v>3939</v>
      </c>
    </row>
    <row r="2336" spans="15:16" x14ac:dyDescent="0.45">
      <c r="O2336" t="s">
        <v>8893</v>
      </c>
      <c r="P2336">
        <v>3940</v>
      </c>
    </row>
    <row r="2337" spans="15:16" x14ac:dyDescent="0.45">
      <c r="O2337" t="s">
        <v>8894</v>
      </c>
      <c r="P2337">
        <v>3847</v>
      </c>
    </row>
    <row r="2338" spans="15:16" x14ac:dyDescent="0.45">
      <c r="O2338" t="s">
        <v>8895</v>
      </c>
      <c r="P2338">
        <v>3385</v>
      </c>
    </row>
    <row r="2339" spans="15:16" x14ac:dyDescent="0.45">
      <c r="O2339" t="s">
        <v>8896</v>
      </c>
      <c r="P2339">
        <v>3737</v>
      </c>
    </row>
    <row r="2340" spans="15:16" x14ac:dyDescent="0.45">
      <c r="O2340" t="s">
        <v>8897</v>
      </c>
      <c r="P2340">
        <v>3564</v>
      </c>
    </row>
    <row r="2341" spans="15:16" x14ac:dyDescent="0.45">
      <c r="O2341" t="s">
        <v>8898</v>
      </c>
      <c r="P2341">
        <v>3351</v>
      </c>
    </row>
    <row r="2342" spans="15:16" x14ac:dyDescent="0.45">
      <c r="O2342" t="s">
        <v>8899</v>
      </c>
      <c r="P2342">
        <v>3377</v>
      </c>
    </row>
    <row r="2343" spans="15:16" x14ac:dyDescent="0.45">
      <c r="O2343" t="s">
        <v>8900</v>
      </c>
      <c r="P2343">
        <v>3477</v>
      </c>
    </row>
    <row r="2344" spans="15:16" x14ac:dyDescent="0.45">
      <c r="O2344" t="s">
        <v>8901</v>
      </c>
      <c r="P2344">
        <v>3340</v>
      </c>
    </row>
    <row r="2345" spans="15:16" x14ac:dyDescent="0.45">
      <c r="O2345" t="s">
        <v>8902</v>
      </c>
      <c r="P2345">
        <v>3178</v>
      </c>
    </row>
    <row r="2346" spans="15:16" x14ac:dyDescent="0.45">
      <c r="O2346" t="s">
        <v>8903</v>
      </c>
      <c r="P2346">
        <v>3064</v>
      </c>
    </row>
    <row r="2347" spans="15:16" x14ac:dyDescent="0.45">
      <c r="O2347" t="s">
        <v>8904</v>
      </c>
      <c r="P2347">
        <v>3712</v>
      </c>
    </row>
    <row r="2348" spans="15:16" x14ac:dyDescent="0.45">
      <c r="O2348" t="s">
        <v>8905</v>
      </c>
      <c r="P2348">
        <v>3953</v>
      </c>
    </row>
    <row r="2349" spans="15:16" x14ac:dyDescent="0.45">
      <c r="O2349" t="s">
        <v>8906</v>
      </c>
      <c r="P2349">
        <v>3666</v>
      </c>
    </row>
    <row r="2350" spans="15:16" x14ac:dyDescent="0.45">
      <c r="O2350" t="s">
        <v>8907</v>
      </c>
      <c r="P2350">
        <v>3691</v>
      </c>
    </row>
    <row r="2351" spans="15:16" x14ac:dyDescent="0.45">
      <c r="O2351" t="s">
        <v>8908</v>
      </c>
      <c r="P2351">
        <v>3558</v>
      </c>
    </row>
    <row r="2352" spans="15:16" x14ac:dyDescent="0.45">
      <c r="O2352" t="s">
        <v>8909</v>
      </c>
      <c r="P2352">
        <v>3388</v>
      </c>
    </row>
    <row r="2353" spans="15:16" x14ac:dyDescent="0.45">
      <c r="O2353" t="s">
        <v>8910</v>
      </c>
      <c r="P2353">
        <v>3612</v>
      </c>
    </row>
    <row r="2354" spans="15:16" x14ac:dyDescent="0.45">
      <c r="O2354" t="s">
        <v>8911</v>
      </c>
      <c r="P2354">
        <v>3331</v>
      </c>
    </row>
    <row r="2355" spans="15:16" x14ac:dyDescent="0.45">
      <c r="O2355" t="s">
        <v>8912</v>
      </c>
      <c r="P2355">
        <v>3685</v>
      </c>
    </row>
    <row r="2356" spans="15:16" x14ac:dyDescent="0.45">
      <c r="O2356" t="s">
        <v>8913</v>
      </c>
      <c r="P2356">
        <v>3875</v>
      </c>
    </row>
    <row r="2357" spans="15:16" x14ac:dyDescent="0.45">
      <c r="O2357" t="s">
        <v>8914</v>
      </c>
      <c r="P2357">
        <v>3992</v>
      </c>
    </row>
    <row r="2358" spans="15:16" x14ac:dyDescent="0.45">
      <c r="O2358" t="s">
        <v>8915</v>
      </c>
      <c r="P2358">
        <v>3941</v>
      </c>
    </row>
    <row r="2359" spans="15:16" x14ac:dyDescent="0.45">
      <c r="O2359" t="s">
        <v>8916</v>
      </c>
      <c r="P2359">
        <v>3810</v>
      </c>
    </row>
    <row r="2360" spans="15:16" x14ac:dyDescent="0.45">
      <c r="O2360" t="s">
        <v>8917</v>
      </c>
      <c r="P2360">
        <v>3936</v>
      </c>
    </row>
    <row r="2361" spans="15:16" x14ac:dyDescent="0.45">
      <c r="O2361" t="s">
        <v>8918</v>
      </c>
      <c r="P2361">
        <v>3461</v>
      </c>
    </row>
    <row r="2362" spans="15:16" x14ac:dyDescent="0.45">
      <c r="O2362" t="s">
        <v>8919</v>
      </c>
      <c r="P2362">
        <v>3556</v>
      </c>
    </row>
    <row r="2363" spans="15:16" x14ac:dyDescent="0.45">
      <c r="O2363" t="s">
        <v>8920</v>
      </c>
      <c r="P2363">
        <v>3461</v>
      </c>
    </row>
    <row r="2364" spans="15:16" x14ac:dyDescent="0.45">
      <c r="O2364" t="s">
        <v>8921</v>
      </c>
      <c r="P2364">
        <v>3850</v>
      </c>
    </row>
    <row r="2365" spans="15:16" x14ac:dyDescent="0.45">
      <c r="O2365" t="s">
        <v>8922</v>
      </c>
      <c r="P2365">
        <v>3852</v>
      </c>
    </row>
    <row r="2366" spans="15:16" x14ac:dyDescent="0.45">
      <c r="O2366" t="s">
        <v>8923</v>
      </c>
      <c r="P2366">
        <v>3517</v>
      </c>
    </row>
    <row r="2367" spans="15:16" x14ac:dyDescent="0.45">
      <c r="O2367" t="s">
        <v>8924</v>
      </c>
      <c r="P2367">
        <v>3673</v>
      </c>
    </row>
    <row r="2368" spans="15:16" x14ac:dyDescent="0.45">
      <c r="O2368" t="s">
        <v>8925</v>
      </c>
      <c r="P2368">
        <v>3925</v>
      </c>
    </row>
    <row r="2369" spans="15:16" x14ac:dyDescent="0.45">
      <c r="O2369" t="s">
        <v>8926</v>
      </c>
      <c r="P2369">
        <v>3312</v>
      </c>
    </row>
    <row r="2370" spans="15:16" x14ac:dyDescent="0.45">
      <c r="O2370" t="s">
        <v>8927</v>
      </c>
      <c r="P2370">
        <v>3579</v>
      </c>
    </row>
    <row r="2371" spans="15:16" x14ac:dyDescent="0.45">
      <c r="O2371" t="s">
        <v>8928</v>
      </c>
      <c r="P2371">
        <v>3977</v>
      </c>
    </row>
    <row r="2372" spans="15:16" x14ac:dyDescent="0.45">
      <c r="O2372" t="s">
        <v>8929</v>
      </c>
      <c r="P2372">
        <v>3550</v>
      </c>
    </row>
    <row r="2373" spans="15:16" x14ac:dyDescent="0.45">
      <c r="O2373" t="s">
        <v>8930</v>
      </c>
      <c r="P2373">
        <v>3462</v>
      </c>
    </row>
    <row r="2374" spans="15:16" x14ac:dyDescent="0.45">
      <c r="O2374" t="s">
        <v>8931</v>
      </c>
      <c r="P2374">
        <v>3171</v>
      </c>
    </row>
    <row r="2375" spans="15:16" x14ac:dyDescent="0.45">
      <c r="O2375" t="s">
        <v>8932</v>
      </c>
      <c r="P2375">
        <v>3191</v>
      </c>
    </row>
    <row r="2376" spans="15:16" x14ac:dyDescent="0.45">
      <c r="O2376" t="s">
        <v>8933</v>
      </c>
      <c r="P2376">
        <v>3695</v>
      </c>
    </row>
    <row r="2377" spans="15:16" x14ac:dyDescent="0.45">
      <c r="O2377" t="s">
        <v>8934</v>
      </c>
      <c r="P2377">
        <v>3959</v>
      </c>
    </row>
    <row r="2378" spans="15:16" x14ac:dyDescent="0.45">
      <c r="O2378" t="s">
        <v>8935</v>
      </c>
      <c r="P2378">
        <v>3858</v>
      </c>
    </row>
    <row r="2379" spans="15:16" x14ac:dyDescent="0.45">
      <c r="O2379" t="s">
        <v>8936</v>
      </c>
      <c r="P2379">
        <v>3875</v>
      </c>
    </row>
    <row r="2380" spans="15:16" x14ac:dyDescent="0.45">
      <c r="O2380" t="s">
        <v>8937</v>
      </c>
      <c r="P2380">
        <v>3787</v>
      </c>
    </row>
    <row r="2381" spans="15:16" x14ac:dyDescent="0.45">
      <c r="O2381" t="s">
        <v>8938</v>
      </c>
      <c r="P2381">
        <v>3787</v>
      </c>
    </row>
    <row r="2382" spans="15:16" x14ac:dyDescent="0.45">
      <c r="O2382" t="s">
        <v>8939</v>
      </c>
      <c r="P2382">
        <v>3723</v>
      </c>
    </row>
    <row r="2383" spans="15:16" x14ac:dyDescent="0.45">
      <c r="O2383" t="s">
        <v>8940</v>
      </c>
      <c r="P2383">
        <v>3351</v>
      </c>
    </row>
    <row r="2384" spans="15:16" x14ac:dyDescent="0.45">
      <c r="O2384" t="s">
        <v>8941</v>
      </c>
      <c r="P2384">
        <v>3179</v>
      </c>
    </row>
    <row r="2385" spans="15:16" x14ac:dyDescent="0.45">
      <c r="O2385" t="s">
        <v>8942</v>
      </c>
      <c r="P2385">
        <v>3352</v>
      </c>
    </row>
    <row r="2386" spans="15:16" x14ac:dyDescent="0.45">
      <c r="O2386" t="s">
        <v>8943</v>
      </c>
      <c r="P2386">
        <v>3352</v>
      </c>
    </row>
    <row r="2387" spans="15:16" x14ac:dyDescent="0.45">
      <c r="O2387" t="s">
        <v>8944</v>
      </c>
      <c r="P2387">
        <v>3267</v>
      </c>
    </row>
    <row r="2388" spans="15:16" x14ac:dyDescent="0.45">
      <c r="O2388" t="s">
        <v>8945</v>
      </c>
      <c r="P2388">
        <v>3533</v>
      </c>
    </row>
    <row r="2389" spans="15:16" x14ac:dyDescent="0.45">
      <c r="O2389" t="s">
        <v>8946</v>
      </c>
      <c r="P2389">
        <v>3028</v>
      </c>
    </row>
    <row r="2390" spans="15:16" x14ac:dyDescent="0.45">
      <c r="O2390" t="s">
        <v>8947</v>
      </c>
      <c r="P2390">
        <v>3851</v>
      </c>
    </row>
    <row r="2391" spans="15:16" x14ac:dyDescent="0.45">
      <c r="O2391" t="s">
        <v>8948</v>
      </c>
      <c r="P2391">
        <v>3198</v>
      </c>
    </row>
    <row r="2392" spans="15:16" x14ac:dyDescent="0.45">
      <c r="O2392" t="s">
        <v>8949</v>
      </c>
      <c r="P2392">
        <v>3018</v>
      </c>
    </row>
    <row r="2393" spans="15:16" x14ac:dyDescent="0.45">
      <c r="O2393" t="s">
        <v>8950</v>
      </c>
      <c r="P2393">
        <v>3851</v>
      </c>
    </row>
    <row r="2394" spans="15:16" x14ac:dyDescent="0.45">
      <c r="O2394" t="s">
        <v>8951</v>
      </c>
      <c r="P2394">
        <v>3858</v>
      </c>
    </row>
    <row r="2395" spans="15:16" x14ac:dyDescent="0.45">
      <c r="O2395" t="s">
        <v>8952</v>
      </c>
      <c r="P2395">
        <v>3821</v>
      </c>
    </row>
    <row r="2396" spans="15:16" x14ac:dyDescent="0.45">
      <c r="O2396" t="s">
        <v>8953</v>
      </c>
      <c r="P2396">
        <v>3556</v>
      </c>
    </row>
    <row r="2397" spans="15:16" x14ac:dyDescent="0.45">
      <c r="O2397" t="s">
        <v>8954</v>
      </c>
      <c r="P2397">
        <v>3356</v>
      </c>
    </row>
    <row r="2398" spans="15:16" x14ac:dyDescent="0.45">
      <c r="O2398" t="s">
        <v>8955</v>
      </c>
      <c r="P2398">
        <v>3011</v>
      </c>
    </row>
    <row r="2399" spans="15:16" x14ac:dyDescent="0.45">
      <c r="O2399" t="s">
        <v>8956</v>
      </c>
      <c r="P2399">
        <v>3011</v>
      </c>
    </row>
    <row r="2400" spans="15:16" x14ac:dyDescent="0.45">
      <c r="O2400" t="s">
        <v>8957</v>
      </c>
      <c r="P2400">
        <v>3551</v>
      </c>
    </row>
    <row r="2401" spans="15:16" x14ac:dyDescent="0.45">
      <c r="O2401" t="s">
        <v>8958</v>
      </c>
      <c r="P2401">
        <v>3159</v>
      </c>
    </row>
    <row r="2402" spans="15:16" x14ac:dyDescent="0.45">
      <c r="O2402" t="s">
        <v>8959</v>
      </c>
      <c r="P2402">
        <v>3737</v>
      </c>
    </row>
    <row r="2403" spans="15:16" x14ac:dyDescent="0.45">
      <c r="O2403" t="s">
        <v>8960</v>
      </c>
      <c r="P2403">
        <v>3234</v>
      </c>
    </row>
    <row r="2404" spans="15:16" x14ac:dyDescent="0.45">
      <c r="O2404" t="s">
        <v>8961</v>
      </c>
      <c r="P2404">
        <v>3517</v>
      </c>
    </row>
    <row r="2405" spans="15:16" x14ac:dyDescent="0.45">
      <c r="O2405" t="s">
        <v>8962</v>
      </c>
      <c r="P2405">
        <v>3420</v>
      </c>
    </row>
    <row r="2406" spans="15:16" x14ac:dyDescent="0.45">
      <c r="O2406" t="s">
        <v>8963</v>
      </c>
      <c r="P2406">
        <v>3139</v>
      </c>
    </row>
    <row r="2407" spans="15:16" x14ac:dyDescent="0.45">
      <c r="O2407" t="s">
        <v>8964</v>
      </c>
      <c r="P2407">
        <v>3139</v>
      </c>
    </row>
    <row r="2408" spans="15:16" x14ac:dyDescent="0.45">
      <c r="O2408" t="s">
        <v>8965</v>
      </c>
      <c r="P2408">
        <v>3660</v>
      </c>
    </row>
    <row r="2409" spans="15:16" x14ac:dyDescent="0.45">
      <c r="O2409" t="s">
        <v>8966</v>
      </c>
      <c r="P2409">
        <v>3660</v>
      </c>
    </row>
    <row r="2410" spans="15:16" x14ac:dyDescent="0.45">
      <c r="O2410" t="s">
        <v>8967</v>
      </c>
      <c r="P2410">
        <v>3821</v>
      </c>
    </row>
    <row r="2411" spans="15:16" x14ac:dyDescent="0.45">
      <c r="O2411" t="s">
        <v>8968</v>
      </c>
      <c r="P2411">
        <v>3960</v>
      </c>
    </row>
    <row r="2412" spans="15:16" x14ac:dyDescent="0.45">
      <c r="O2412" t="s">
        <v>8969</v>
      </c>
      <c r="P2412">
        <v>3898</v>
      </c>
    </row>
    <row r="2413" spans="15:16" x14ac:dyDescent="0.45">
      <c r="O2413" t="s">
        <v>8970</v>
      </c>
      <c r="P2413">
        <v>3377</v>
      </c>
    </row>
    <row r="2414" spans="15:16" x14ac:dyDescent="0.45">
      <c r="O2414" t="s">
        <v>8971</v>
      </c>
      <c r="P2414">
        <v>3331</v>
      </c>
    </row>
    <row r="2415" spans="15:16" x14ac:dyDescent="0.45">
      <c r="O2415" t="s">
        <v>8972</v>
      </c>
      <c r="P2415">
        <v>3666</v>
      </c>
    </row>
    <row r="2416" spans="15:16" x14ac:dyDescent="0.45">
      <c r="O2416" t="s">
        <v>8973</v>
      </c>
      <c r="P2416">
        <v>3392</v>
      </c>
    </row>
    <row r="2417" spans="15:16" x14ac:dyDescent="0.45">
      <c r="O2417" t="s">
        <v>8974</v>
      </c>
      <c r="P2417">
        <v>3515</v>
      </c>
    </row>
    <row r="2418" spans="15:16" x14ac:dyDescent="0.45">
      <c r="O2418" t="s">
        <v>8975</v>
      </c>
      <c r="P2418">
        <v>3329</v>
      </c>
    </row>
    <row r="2419" spans="15:16" x14ac:dyDescent="0.45">
      <c r="O2419" t="s">
        <v>8976</v>
      </c>
      <c r="P2419">
        <v>3701</v>
      </c>
    </row>
    <row r="2420" spans="15:16" x14ac:dyDescent="0.45">
      <c r="O2420" t="s">
        <v>8977</v>
      </c>
      <c r="P2420">
        <v>3461</v>
      </c>
    </row>
    <row r="2421" spans="15:16" x14ac:dyDescent="0.45">
      <c r="O2421" t="s">
        <v>8978</v>
      </c>
      <c r="P2421">
        <v>3630</v>
      </c>
    </row>
    <row r="2422" spans="15:16" x14ac:dyDescent="0.45">
      <c r="O2422" t="s">
        <v>8979</v>
      </c>
      <c r="P2422">
        <v>3631</v>
      </c>
    </row>
    <row r="2423" spans="15:16" x14ac:dyDescent="0.45">
      <c r="O2423" t="s">
        <v>8980</v>
      </c>
      <c r="P2423">
        <v>3631</v>
      </c>
    </row>
    <row r="2424" spans="15:16" x14ac:dyDescent="0.45">
      <c r="O2424" t="s">
        <v>8981</v>
      </c>
      <c r="P2424">
        <v>3630</v>
      </c>
    </row>
    <row r="2425" spans="15:16" x14ac:dyDescent="0.45">
      <c r="O2425" t="s">
        <v>8982</v>
      </c>
      <c r="P2425">
        <v>3789</v>
      </c>
    </row>
    <row r="2426" spans="15:16" x14ac:dyDescent="0.45">
      <c r="O2426" t="s">
        <v>8983</v>
      </c>
      <c r="P2426">
        <v>3916</v>
      </c>
    </row>
    <row r="2427" spans="15:16" x14ac:dyDescent="0.45">
      <c r="O2427" t="s">
        <v>8984</v>
      </c>
      <c r="P2427">
        <v>3444</v>
      </c>
    </row>
    <row r="2428" spans="15:16" x14ac:dyDescent="0.45">
      <c r="O2428" t="s">
        <v>8985</v>
      </c>
      <c r="P2428">
        <v>3795</v>
      </c>
    </row>
    <row r="2429" spans="15:16" x14ac:dyDescent="0.45">
      <c r="O2429" t="s">
        <v>8986</v>
      </c>
      <c r="P2429">
        <v>3922</v>
      </c>
    </row>
    <row r="2430" spans="15:16" x14ac:dyDescent="0.45">
      <c r="O2430" t="s">
        <v>8987</v>
      </c>
      <c r="P2430">
        <v>3266</v>
      </c>
    </row>
    <row r="2431" spans="15:16" x14ac:dyDescent="0.45">
      <c r="O2431" t="s">
        <v>8988</v>
      </c>
      <c r="P2431">
        <v>3888</v>
      </c>
    </row>
    <row r="2432" spans="15:16" x14ac:dyDescent="0.45">
      <c r="O2432" t="s">
        <v>8989</v>
      </c>
      <c r="P2432">
        <v>3465</v>
      </c>
    </row>
    <row r="2433" spans="15:16" x14ac:dyDescent="0.45">
      <c r="O2433" t="s">
        <v>8990</v>
      </c>
      <c r="P2433">
        <v>3233</v>
      </c>
    </row>
    <row r="2434" spans="15:16" x14ac:dyDescent="0.45">
      <c r="O2434" t="s">
        <v>8991</v>
      </c>
      <c r="P2434">
        <v>3233</v>
      </c>
    </row>
    <row r="2435" spans="15:16" x14ac:dyDescent="0.45">
      <c r="O2435" t="s">
        <v>8992</v>
      </c>
      <c r="P2435">
        <v>3260</v>
      </c>
    </row>
    <row r="2436" spans="15:16" x14ac:dyDescent="0.45">
      <c r="O2436" t="s">
        <v>8993</v>
      </c>
      <c r="P2436">
        <v>3518</v>
      </c>
    </row>
    <row r="2437" spans="15:16" x14ac:dyDescent="0.45">
      <c r="O2437" t="s">
        <v>8994</v>
      </c>
      <c r="P2437">
        <v>3361</v>
      </c>
    </row>
    <row r="2438" spans="15:16" x14ac:dyDescent="0.45">
      <c r="O2438" t="s">
        <v>8995</v>
      </c>
      <c r="P2438">
        <v>3977</v>
      </c>
    </row>
    <row r="2439" spans="15:16" x14ac:dyDescent="0.45">
      <c r="O2439" t="s">
        <v>8996</v>
      </c>
      <c r="P2439">
        <v>3477</v>
      </c>
    </row>
    <row r="2440" spans="15:16" x14ac:dyDescent="0.45">
      <c r="O2440" t="s">
        <v>8997</v>
      </c>
      <c r="P2440">
        <v>3364</v>
      </c>
    </row>
    <row r="2441" spans="15:16" x14ac:dyDescent="0.45">
      <c r="O2441" t="s">
        <v>8998</v>
      </c>
      <c r="P2441">
        <v>3922</v>
      </c>
    </row>
    <row r="2442" spans="15:16" x14ac:dyDescent="0.45">
      <c r="O2442" t="s">
        <v>8999</v>
      </c>
      <c r="P2442">
        <v>3760</v>
      </c>
    </row>
    <row r="2443" spans="15:16" x14ac:dyDescent="0.45">
      <c r="O2443" t="s">
        <v>9000</v>
      </c>
      <c r="P2443">
        <v>3364</v>
      </c>
    </row>
    <row r="2444" spans="15:16" x14ac:dyDescent="0.45">
      <c r="O2444" t="s">
        <v>9001</v>
      </c>
      <c r="P2444">
        <v>3741</v>
      </c>
    </row>
    <row r="2445" spans="15:16" x14ac:dyDescent="0.45">
      <c r="O2445" t="s">
        <v>9002</v>
      </c>
      <c r="P2445">
        <v>3351</v>
      </c>
    </row>
    <row r="2446" spans="15:16" x14ac:dyDescent="0.45">
      <c r="O2446" t="s">
        <v>9003</v>
      </c>
      <c r="P2446">
        <v>3351</v>
      </c>
    </row>
    <row r="2447" spans="15:16" x14ac:dyDescent="0.45">
      <c r="O2447" t="s">
        <v>9004</v>
      </c>
      <c r="P2447">
        <v>3971</v>
      </c>
    </row>
    <row r="2448" spans="15:16" x14ac:dyDescent="0.45">
      <c r="O2448" t="s">
        <v>9005</v>
      </c>
      <c r="P2448">
        <v>3351</v>
      </c>
    </row>
    <row r="2449" spans="15:16" x14ac:dyDescent="0.45">
      <c r="O2449" t="s">
        <v>9006</v>
      </c>
      <c r="P2449">
        <v>3350</v>
      </c>
    </row>
    <row r="2450" spans="15:16" x14ac:dyDescent="0.45">
      <c r="O2450" t="s">
        <v>9007</v>
      </c>
      <c r="P2450">
        <v>3927</v>
      </c>
    </row>
    <row r="2451" spans="15:16" x14ac:dyDescent="0.45">
      <c r="O2451" t="s">
        <v>9008</v>
      </c>
      <c r="P2451">
        <v>3062</v>
      </c>
    </row>
    <row r="2452" spans="15:16" x14ac:dyDescent="0.45">
      <c r="O2452" t="s">
        <v>9009</v>
      </c>
      <c r="P2452">
        <v>3851</v>
      </c>
    </row>
    <row r="2453" spans="15:16" x14ac:dyDescent="0.45">
      <c r="O2453" t="s">
        <v>9010</v>
      </c>
      <c r="P2453">
        <v>3912</v>
      </c>
    </row>
    <row r="2454" spans="15:16" x14ac:dyDescent="0.45">
      <c r="O2454" t="s">
        <v>9011</v>
      </c>
      <c r="P2454">
        <v>3943</v>
      </c>
    </row>
    <row r="2455" spans="15:16" x14ac:dyDescent="0.45">
      <c r="O2455" t="s">
        <v>9012</v>
      </c>
      <c r="P2455">
        <v>3995</v>
      </c>
    </row>
    <row r="2456" spans="15:16" x14ac:dyDescent="0.45">
      <c r="O2456" t="s">
        <v>9013</v>
      </c>
      <c r="P2456">
        <v>3220</v>
      </c>
    </row>
    <row r="2457" spans="15:16" x14ac:dyDescent="0.45">
      <c r="O2457" t="s">
        <v>9014</v>
      </c>
      <c r="P2457">
        <v>3015</v>
      </c>
    </row>
    <row r="2458" spans="15:16" x14ac:dyDescent="0.45">
      <c r="O2458" t="s">
        <v>9015</v>
      </c>
      <c r="P2458">
        <v>3205</v>
      </c>
    </row>
    <row r="2459" spans="15:16" x14ac:dyDescent="0.45">
      <c r="O2459" t="s">
        <v>9016</v>
      </c>
      <c r="P2459">
        <v>3752</v>
      </c>
    </row>
    <row r="2460" spans="15:16" x14ac:dyDescent="0.45">
      <c r="O2460" t="s">
        <v>9017</v>
      </c>
      <c r="P2460">
        <v>3260</v>
      </c>
    </row>
    <row r="2461" spans="15:16" x14ac:dyDescent="0.45">
      <c r="O2461" t="s">
        <v>9018</v>
      </c>
      <c r="P2461">
        <v>3006</v>
      </c>
    </row>
    <row r="2462" spans="15:16" x14ac:dyDescent="0.45">
      <c r="O2462" t="s">
        <v>9019</v>
      </c>
      <c r="P2462">
        <v>3141</v>
      </c>
    </row>
    <row r="2463" spans="15:16" x14ac:dyDescent="0.45">
      <c r="O2463" t="s">
        <v>9020</v>
      </c>
      <c r="P2463">
        <v>3006</v>
      </c>
    </row>
    <row r="2464" spans="15:16" x14ac:dyDescent="0.45">
      <c r="O2464" t="s">
        <v>9021</v>
      </c>
      <c r="P2464">
        <v>3283</v>
      </c>
    </row>
    <row r="2465" spans="15:16" x14ac:dyDescent="0.45">
      <c r="O2465" t="s">
        <v>9022</v>
      </c>
      <c r="P2465">
        <v>3192</v>
      </c>
    </row>
    <row r="2466" spans="15:16" x14ac:dyDescent="0.45">
      <c r="O2466" t="s">
        <v>9023</v>
      </c>
      <c r="P2466">
        <v>3461</v>
      </c>
    </row>
    <row r="2467" spans="15:16" x14ac:dyDescent="0.45">
      <c r="O2467" t="s">
        <v>9024</v>
      </c>
      <c r="P2467">
        <v>3488</v>
      </c>
    </row>
    <row r="2468" spans="15:16" x14ac:dyDescent="0.45">
      <c r="O2468" t="s">
        <v>9025</v>
      </c>
      <c r="P2468">
        <v>3585</v>
      </c>
    </row>
    <row r="2469" spans="15:16" x14ac:dyDescent="0.45">
      <c r="O2469" t="s">
        <v>9026</v>
      </c>
      <c r="P2469">
        <v>3015</v>
      </c>
    </row>
    <row r="2470" spans="15:16" x14ac:dyDescent="0.45">
      <c r="O2470" t="s">
        <v>9027</v>
      </c>
      <c r="P2470">
        <v>3550</v>
      </c>
    </row>
    <row r="2471" spans="15:16" x14ac:dyDescent="0.45">
      <c r="O2471" t="s">
        <v>9028</v>
      </c>
      <c r="P2471">
        <v>3444</v>
      </c>
    </row>
    <row r="2472" spans="15:16" x14ac:dyDescent="0.45">
      <c r="O2472" t="s">
        <v>9029</v>
      </c>
      <c r="P2472">
        <v>3352</v>
      </c>
    </row>
    <row r="2473" spans="15:16" x14ac:dyDescent="0.45">
      <c r="O2473" t="s">
        <v>9030</v>
      </c>
      <c r="P2473">
        <v>3351</v>
      </c>
    </row>
    <row r="2474" spans="15:16" x14ac:dyDescent="0.45">
      <c r="O2474" t="s">
        <v>9031</v>
      </c>
      <c r="P2474">
        <v>3434</v>
      </c>
    </row>
    <row r="2475" spans="15:16" x14ac:dyDescent="0.45">
      <c r="O2475" t="s">
        <v>9678</v>
      </c>
      <c r="P2475">
        <v>3544</v>
      </c>
    </row>
    <row r="2476" spans="15:16" x14ac:dyDescent="0.45">
      <c r="O2476" t="s">
        <v>9032</v>
      </c>
      <c r="P2476">
        <v>3682</v>
      </c>
    </row>
    <row r="2477" spans="15:16" x14ac:dyDescent="0.45">
      <c r="O2477" t="s">
        <v>9033</v>
      </c>
      <c r="P2477">
        <v>3364</v>
      </c>
    </row>
    <row r="2478" spans="15:16" x14ac:dyDescent="0.45">
      <c r="O2478" t="s">
        <v>9034</v>
      </c>
      <c r="P2478">
        <v>3171</v>
      </c>
    </row>
    <row r="2479" spans="15:16" x14ac:dyDescent="0.45">
      <c r="O2479" t="s">
        <v>9035</v>
      </c>
      <c r="P2479">
        <v>3172</v>
      </c>
    </row>
    <row r="2480" spans="15:16" x14ac:dyDescent="0.45">
      <c r="O2480" t="s">
        <v>9036</v>
      </c>
      <c r="P2480">
        <v>3021</v>
      </c>
    </row>
    <row r="2481" spans="15:16" x14ac:dyDescent="0.45">
      <c r="O2481" t="s">
        <v>9037</v>
      </c>
      <c r="P2481">
        <v>3219</v>
      </c>
    </row>
    <row r="2482" spans="15:16" x14ac:dyDescent="0.45">
      <c r="O2482" t="s">
        <v>9038</v>
      </c>
      <c r="P2482">
        <v>3761</v>
      </c>
    </row>
    <row r="2483" spans="15:16" x14ac:dyDescent="0.45">
      <c r="O2483" t="s">
        <v>9039</v>
      </c>
      <c r="P2483">
        <v>3941</v>
      </c>
    </row>
    <row r="2484" spans="15:16" x14ac:dyDescent="0.45">
      <c r="O2484" t="s">
        <v>9040</v>
      </c>
      <c r="P2484">
        <v>3478</v>
      </c>
    </row>
    <row r="2485" spans="15:16" x14ac:dyDescent="0.45">
      <c r="O2485" t="s">
        <v>9041</v>
      </c>
      <c r="P2485">
        <v>3477</v>
      </c>
    </row>
    <row r="2486" spans="15:16" x14ac:dyDescent="0.45">
      <c r="O2486" t="s">
        <v>9042</v>
      </c>
      <c r="P2486">
        <v>3477</v>
      </c>
    </row>
    <row r="2487" spans="15:16" x14ac:dyDescent="0.45">
      <c r="O2487" t="s">
        <v>9043</v>
      </c>
      <c r="P2487">
        <v>3995</v>
      </c>
    </row>
    <row r="2488" spans="15:16" x14ac:dyDescent="0.45">
      <c r="O2488" t="s">
        <v>9044</v>
      </c>
      <c r="P2488">
        <v>3620</v>
      </c>
    </row>
    <row r="2489" spans="15:16" x14ac:dyDescent="0.45">
      <c r="O2489" t="s">
        <v>9045</v>
      </c>
      <c r="P2489">
        <v>3088</v>
      </c>
    </row>
    <row r="2490" spans="15:16" x14ac:dyDescent="0.45">
      <c r="O2490" t="s">
        <v>9046</v>
      </c>
      <c r="P2490">
        <v>3285</v>
      </c>
    </row>
    <row r="2491" spans="15:16" x14ac:dyDescent="0.45">
      <c r="O2491" t="s">
        <v>9047</v>
      </c>
      <c r="P2491">
        <v>3401</v>
      </c>
    </row>
    <row r="2492" spans="15:16" x14ac:dyDescent="0.45">
      <c r="O2492" t="s">
        <v>9048</v>
      </c>
      <c r="P2492">
        <v>3727</v>
      </c>
    </row>
    <row r="2493" spans="15:16" x14ac:dyDescent="0.45">
      <c r="O2493" t="s">
        <v>9049</v>
      </c>
      <c r="P2493">
        <v>3182</v>
      </c>
    </row>
    <row r="2494" spans="15:16" x14ac:dyDescent="0.45">
      <c r="O2494" t="s">
        <v>9050</v>
      </c>
      <c r="P2494">
        <v>3183</v>
      </c>
    </row>
    <row r="2495" spans="15:16" x14ac:dyDescent="0.45">
      <c r="O2495" t="s">
        <v>9051</v>
      </c>
      <c r="P2495">
        <v>3004</v>
      </c>
    </row>
    <row r="2496" spans="15:16" x14ac:dyDescent="0.45">
      <c r="O2496" t="s">
        <v>9052</v>
      </c>
      <c r="P2496">
        <v>3004</v>
      </c>
    </row>
    <row r="2497" spans="15:16" x14ac:dyDescent="0.45">
      <c r="O2497" t="s">
        <v>9053</v>
      </c>
      <c r="P2497">
        <v>3182</v>
      </c>
    </row>
    <row r="2498" spans="15:16" x14ac:dyDescent="0.45">
      <c r="O2498" t="s">
        <v>9054</v>
      </c>
      <c r="P2498">
        <v>3182</v>
      </c>
    </row>
    <row r="2499" spans="15:16" x14ac:dyDescent="0.45">
      <c r="O2499" t="s">
        <v>9055</v>
      </c>
      <c r="P2499">
        <v>3223</v>
      </c>
    </row>
    <row r="2500" spans="15:16" x14ac:dyDescent="0.45">
      <c r="O2500" t="s">
        <v>9056</v>
      </c>
      <c r="P2500">
        <v>3971</v>
      </c>
    </row>
    <row r="2501" spans="15:16" x14ac:dyDescent="0.45">
      <c r="O2501" t="s">
        <v>9057</v>
      </c>
      <c r="P2501">
        <v>3351</v>
      </c>
    </row>
    <row r="2502" spans="15:16" x14ac:dyDescent="0.45">
      <c r="O2502" t="s">
        <v>9058</v>
      </c>
      <c r="P2502">
        <v>3691</v>
      </c>
    </row>
    <row r="2503" spans="15:16" x14ac:dyDescent="0.45">
      <c r="O2503" t="s">
        <v>9059</v>
      </c>
      <c r="P2503">
        <v>3623</v>
      </c>
    </row>
    <row r="2504" spans="15:16" x14ac:dyDescent="0.45">
      <c r="O2504" t="s">
        <v>9060</v>
      </c>
      <c r="P2504">
        <v>3623</v>
      </c>
    </row>
    <row r="2505" spans="15:16" x14ac:dyDescent="0.45">
      <c r="O2505" t="s">
        <v>9061</v>
      </c>
      <c r="P2505">
        <v>3747</v>
      </c>
    </row>
    <row r="2506" spans="15:16" x14ac:dyDescent="0.45">
      <c r="O2506" t="s">
        <v>9062</v>
      </c>
      <c r="P2506">
        <v>3340</v>
      </c>
    </row>
    <row r="2507" spans="15:16" x14ac:dyDescent="0.45">
      <c r="O2507" t="s">
        <v>9063</v>
      </c>
      <c r="P2507">
        <v>3379</v>
      </c>
    </row>
    <row r="2508" spans="15:16" x14ac:dyDescent="0.45">
      <c r="O2508" t="s">
        <v>9064</v>
      </c>
      <c r="P2508">
        <v>3380</v>
      </c>
    </row>
    <row r="2509" spans="15:16" x14ac:dyDescent="0.45">
      <c r="O2509" t="s">
        <v>9065</v>
      </c>
      <c r="P2509">
        <v>3380</v>
      </c>
    </row>
    <row r="2510" spans="15:16" x14ac:dyDescent="0.45">
      <c r="O2510" t="s">
        <v>9066</v>
      </c>
      <c r="P2510">
        <v>3775</v>
      </c>
    </row>
    <row r="2511" spans="15:16" x14ac:dyDescent="0.45">
      <c r="O2511" t="s">
        <v>9067</v>
      </c>
      <c r="P2511">
        <v>3331</v>
      </c>
    </row>
    <row r="2512" spans="15:16" x14ac:dyDescent="0.45">
      <c r="O2512" t="s">
        <v>9068</v>
      </c>
      <c r="P2512">
        <v>3725</v>
      </c>
    </row>
    <row r="2513" spans="15:16" x14ac:dyDescent="0.45">
      <c r="O2513" t="s">
        <v>9069</v>
      </c>
      <c r="P2513">
        <v>3893</v>
      </c>
    </row>
    <row r="2514" spans="15:16" x14ac:dyDescent="0.45">
      <c r="O2514" t="s">
        <v>9070</v>
      </c>
      <c r="P2514">
        <v>3862</v>
      </c>
    </row>
    <row r="2515" spans="15:16" x14ac:dyDescent="0.45">
      <c r="O2515" t="s">
        <v>9071</v>
      </c>
      <c r="P2515">
        <v>3373</v>
      </c>
    </row>
    <row r="2516" spans="15:16" x14ac:dyDescent="0.45">
      <c r="O2516" t="s">
        <v>9072</v>
      </c>
      <c r="P2516">
        <v>3218</v>
      </c>
    </row>
    <row r="2517" spans="15:16" x14ac:dyDescent="0.45">
      <c r="O2517" t="s">
        <v>9073</v>
      </c>
      <c r="P2517">
        <v>3373</v>
      </c>
    </row>
    <row r="2518" spans="15:16" x14ac:dyDescent="0.45">
      <c r="O2518" t="s">
        <v>9074</v>
      </c>
      <c r="P2518">
        <v>3371</v>
      </c>
    </row>
    <row r="2519" spans="15:16" x14ac:dyDescent="0.45">
      <c r="O2519" t="s">
        <v>9075</v>
      </c>
      <c r="P2519">
        <v>3260</v>
      </c>
    </row>
    <row r="2520" spans="15:16" x14ac:dyDescent="0.45">
      <c r="O2520" t="s">
        <v>9076</v>
      </c>
      <c r="P2520">
        <v>3851</v>
      </c>
    </row>
    <row r="2521" spans="15:16" x14ac:dyDescent="0.45">
      <c r="O2521" t="s">
        <v>9077</v>
      </c>
      <c r="P2521">
        <v>3103</v>
      </c>
    </row>
    <row r="2522" spans="15:16" x14ac:dyDescent="0.45">
      <c r="O2522" t="s">
        <v>9078</v>
      </c>
      <c r="P2522">
        <v>3461</v>
      </c>
    </row>
    <row r="2523" spans="15:16" x14ac:dyDescent="0.45">
      <c r="O2523" t="s">
        <v>9079</v>
      </c>
      <c r="P2523">
        <v>3533</v>
      </c>
    </row>
    <row r="2524" spans="15:16" x14ac:dyDescent="0.45">
      <c r="O2524" t="s">
        <v>9080</v>
      </c>
      <c r="P2524">
        <v>3862</v>
      </c>
    </row>
    <row r="2525" spans="15:16" x14ac:dyDescent="0.45">
      <c r="O2525" t="s">
        <v>9081</v>
      </c>
      <c r="P2525">
        <v>3658</v>
      </c>
    </row>
    <row r="2526" spans="15:16" x14ac:dyDescent="0.45">
      <c r="O2526" t="s">
        <v>9082</v>
      </c>
      <c r="P2526">
        <v>3622</v>
      </c>
    </row>
    <row r="2527" spans="15:16" x14ac:dyDescent="0.45">
      <c r="O2527" t="s">
        <v>9083</v>
      </c>
      <c r="P2527">
        <v>3666</v>
      </c>
    </row>
    <row r="2528" spans="15:16" x14ac:dyDescent="0.45">
      <c r="O2528" t="s">
        <v>9084</v>
      </c>
      <c r="P2528">
        <v>3550</v>
      </c>
    </row>
    <row r="2529" spans="15:16" x14ac:dyDescent="0.45">
      <c r="O2529" t="s">
        <v>9085</v>
      </c>
      <c r="P2529">
        <v>3312</v>
      </c>
    </row>
    <row r="2530" spans="15:16" x14ac:dyDescent="0.45">
      <c r="O2530" t="s">
        <v>9086</v>
      </c>
      <c r="P2530">
        <v>3099</v>
      </c>
    </row>
    <row r="2531" spans="15:16" x14ac:dyDescent="0.45">
      <c r="O2531" t="s">
        <v>9087</v>
      </c>
      <c r="P2531">
        <v>3551</v>
      </c>
    </row>
    <row r="2532" spans="15:16" x14ac:dyDescent="0.45">
      <c r="O2532" t="s">
        <v>9088</v>
      </c>
      <c r="P2532">
        <v>3301</v>
      </c>
    </row>
    <row r="2533" spans="15:16" x14ac:dyDescent="0.45">
      <c r="O2533" t="s">
        <v>9089</v>
      </c>
      <c r="P2533">
        <v>3364</v>
      </c>
    </row>
    <row r="2534" spans="15:16" x14ac:dyDescent="0.45">
      <c r="O2534" t="s">
        <v>9090</v>
      </c>
      <c r="P2534">
        <v>3641</v>
      </c>
    </row>
    <row r="2535" spans="15:16" x14ac:dyDescent="0.45">
      <c r="O2535" t="s">
        <v>9091</v>
      </c>
      <c r="P2535">
        <v>3041</v>
      </c>
    </row>
    <row r="2536" spans="15:16" x14ac:dyDescent="0.45">
      <c r="O2536" t="s">
        <v>9092</v>
      </c>
      <c r="P2536">
        <v>3041</v>
      </c>
    </row>
    <row r="2537" spans="15:16" x14ac:dyDescent="0.45">
      <c r="O2537" t="s">
        <v>9093</v>
      </c>
      <c r="P2537">
        <v>3351</v>
      </c>
    </row>
    <row r="2538" spans="15:16" x14ac:dyDescent="0.45">
      <c r="O2538" t="s">
        <v>9094</v>
      </c>
      <c r="P2538">
        <v>3950</v>
      </c>
    </row>
    <row r="2539" spans="15:16" x14ac:dyDescent="0.45">
      <c r="O2539" t="s">
        <v>9095</v>
      </c>
      <c r="P2539">
        <v>3477</v>
      </c>
    </row>
    <row r="2540" spans="15:16" x14ac:dyDescent="0.45">
      <c r="O2540" t="s">
        <v>9096</v>
      </c>
      <c r="P2540">
        <v>3152</v>
      </c>
    </row>
    <row r="2541" spans="15:16" x14ac:dyDescent="0.45">
      <c r="O2541" t="s">
        <v>9097</v>
      </c>
      <c r="P2541">
        <v>3234</v>
      </c>
    </row>
    <row r="2542" spans="15:16" x14ac:dyDescent="0.45">
      <c r="O2542" t="s">
        <v>9098</v>
      </c>
      <c r="P2542">
        <v>3658</v>
      </c>
    </row>
    <row r="2543" spans="15:16" x14ac:dyDescent="0.45">
      <c r="O2543" t="s">
        <v>9099</v>
      </c>
      <c r="P2543">
        <v>3885</v>
      </c>
    </row>
    <row r="2544" spans="15:16" x14ac:dyDescent="0.45">
      <c r="O2544" t="s">
        <v>9100</v>
      </c>
      <c r="P2544">
        <v>3352</v>
      </c>
    </row>
    <row r="2545" spans="15:16" x14ac:dyDescent="0.45">
      <c r="O2545" t="s">
        <v>9101</v>
      </c>
      <c r="P2545">
        <v>3922</v>
      </c>
    </row>
    <row r="2546" spans="15:16" x14ac:dyDescent="0.45">
      <c r="O2546" t="s">
        <v>9102</v>
      </c>
      <c r="P2546">
        <v>3057</v>
      </c>
    </row>
    <row r="2547" spans="15:16" x14ac:dyDescent="0.45">
      <c r="O2547" t="s">
        <v>9103</v>
      </c>
      <c r="P2547">
        <v>3429</v>
      </c>
    </row>
    <row r="2548" spans="15:16" x14ac:dyDescent="0.45">
      <c r="O2548" t="s">
        <v>9104</v>
      </c>
      <c r="P2548">
        <v>3658</v>
      </c>
    </row>
    <row r="2549" spans="15:16" x14ac:dyDescent="0.45">
      <c r="O2549" t="s">
        <v>9105</v>
      </c>
      <c r="P2549">
        <v>3922</v>
      </c>
    </row>
    <row r="2550" spans="15:16" x14ac:dyDescent="0.45">
      <c r="O2550" t="s">
        <v>9106</v>
      </c>
      <c r="P2550">
        <v>3496</v>
      </c>
    </row>
    <row r="2551" spans="15:16" x14ac:dyDescent="0.45">
      <c r="O2551" t="s">
        <v>9107</v>
      </c>
      <c r="P2551">
        <v>3922</v>
      </c>
    </row>
    <row r="2552" spans="15:16" x14ac:dyDescent="0.45">
      <c r="O2552" t="s">
        <v>9108</v>
      </c>
      <c r="P2552">
        <v>3020</v>
      </c>
    </row>
    <row r="2553" spans="15:16" x14ac:dyDescent="0.45">
      <c r="O2553" t="s">
        <v>9109</v>
      </c>
      <c r="P2553">
        <v>3020</v>
      </c>
    </row>
    <row r="2554" spans="15:16" x14ac:dyDescent="0.45">
      <c r="O2554" t="s">
        <v>9110</v>
      </c>
      <c r="P2554">
        <v>3020</v>
      </c>
    </row>
    <row r="2555" spans="15:16" x14ac:dyDescent="0.45">
      <c r="O2555" t="s">
        <v>9111</v>
      </c>
      <c r="P2555">
        <v>3922</v>
      </c>
    </row>
    <row r="2556" spans="15:16" x14ac:dyDescent="0.45">
      <c r="O2556" t="s">
        <v>9112</v>
      </c>
      <c r="P2556">
        <v>3127</v>
      </c>
    </row>
    <row r="2557" spans="15:16" x14ac:dyDescent="0.45">
      <c r="O2557" t="s">
        <v>9113</v>
      </c>
      <c r="P2557">
        <v>3127</v>
      </c>
    </row>
    <row r="2558" spans="15:16" x14ac:dyDescent="0.45">
      <c r="O2558" t="s">
        <v>9114</v>
      </c>
      <c r="P2558">
        <v>3125</v>
      </c>
    </row>
    <row r="2559" spans="15:16" x14ac:dyDescent="0.45">
      <c r="O2559" t="s">
        <v>9115</v>
      </c>
      <c r="P2559">
        <v>3477</v>
      </c>
    </row>
    <row r="2560" spans="15:16" x14ac:dyDescent="0.45">
      <c r="O2560" t="s">
        <v>9116</v>
      </c>
      <c r="P2560">
        <v>3331</v>
      </c>
    </row>
    <row r="2561" spans="15:16" x14ac:dyDescent="0.45">
      <c r="O2561" t="s">
        <v>9117</v>
      </c>
      <c r="P2561">
        <v>3530</v>
      </c>
    </row>
    <row r="2562" spans="15:16" x14ac:dyDescent="0.45">
      <c r="O2562" t="s">
        <v>9118</v>
      </c>
      <c r="P2562">
        <v>3448</v>
      </c>
    </row>
    <row r="2563" spans="15:16" x14ac:dyDescent="0.45">
      <c r="O2563" t="s">
        <v>9119</v>
      </c>
      <c r="P2563">
        <v>3225</v>
      </c>
    </row>
    <row r="2564" spans="15:16" x14ac:dyDescent="0.45">
      <c r="O2564" t="s">
        <v>9120</v>
      </c>
      <c r="P2564">
        <v>3585</v>
      </c>
    </row>
    <row r="2565" spans="15:16" x14ac:dyDescent="0.45">
      <c r="O2565" t="s">
        <v>9121</v>
      </c>
      <c r="P2565">
        <v>3585</v>
      </c>
    </row>
    <row r="2566" spans="15:16" x14ac:dyDescent="0.45">
      <c r="O2566" t="s">
        <v>9122</v>
      </c>
      <c r="P2566">
        <v>3225</v>
      </c>
    </row>
    <row r="2567" spans="15:16" x14ac:dyDescent="0.45">
      <c r="O2567" t="s">
        <v>9123</v>
      </c>
      <c r="P2567">
        <v>3249</v>
      </c>
    </row>
    <row r="2568" spans="15:16" x14ac:dyDescent="0.45">
      <c r="O2568" t="s">
        <v>9124</v>
      </c>
      <c r="P2568">
        <v>3903</v>
      </c>
    </row>
    <row r="2569" spans="15:16" x14ac:dyDescent="0.45">
      <c r="O2569" t="s">
        <v>9125</v>
      </c>
      <c r="P2569">
        <v>3673</v>
      </c>
    </row>
    <row r="2570" spans="15:16" x14ac:dyDescent="0.45">
      <c r="O2570" t="s">
        <v>9126</v>
      </c>
      <c r="P2570">
        <v>3477</v>
      </c>
    </row>
    <row r="2571" spans="15:16" x14ac:dyDescent="0.45">
      <c r="O2571" t="s">
        <v>9127</v>
      </c>
      <c r="P2571">
        <v>3480</v>
      </c>
    </row>
    <row r="2572" spans="15:16" x14ac:dyDescent="0.45">
      <c r="O2572" t="s">
        <v>9128</v>
      </c>
      <c r="P2572">
        <v>3896</v>
      </c>
    </row>
    <row r="2573" spans="15:16" x14ac:dyDescent="0.45">
      <c r="O2573" t="s">
        <v>9129</v>
      </c>
      <c r="P2573">
        <v>3037</v>
      </c>
    </row>
    <row r="2574" spans="15:16" x14ac:dyDescent="0.45">
      <c r="O2574" t="s">
        <v>9130</v>
      </c>
      <c r="P2574">
        <v>3575</v>
      </c>
    </row>
    <row r="2575" spans="15:16" x14ac:dyDescent="0.45">
      <c r="O2575" t="s">
        <v>9131</v>
      </c>
      <c r="P2575">
        <v>3149</v>
      </c>
    </row>
    <row r="2576" spans="15:16" x14ac:dyDescent="0.45">
      <c r="O2576" t="s">
        <v>9132</v>
      </c>
      <c r="P2576">
        <v>3875</v>
      </c>
    </row>
    <row r="2577" spans="15:16" x14ac:dyDescent="0.45">
      <c r="O2577" t="s">
        <v>9133</v>
      </c>
      <c r="P2577">
        <v>3607</v>
      </c>
    </row>
    <row r="2578" spans="15:16" x14ac:dyDescent="0.45">
      <c r="O2578" t="s">
        <v>9134</v>
      </c>
      <c r="P2578">
        <v>3289</v>
      </c>
    </row>
    <row r="2579" spans="15:16" x14ac:dyDescent="0.45">
      <c r="O2579" t="s">
        <v>9135</v>
      </c>
      <c r="P2579">
        <v>3714</v>
      </c>
    </row>
    <row r="2580" spans="15:16" x14ac:dyDescent="0.45">
      <c r="O2580" t="s">
        <v>9136</v>
      </c>
      <c r="P2580">
        <v>3301</v>
      </c>
    </row>
    <row r="2581" spans="15:16" x14ac:dyDescent="0.45">
      <c r="O2581" t="s">
        <v>9137</v>
      </c>
      <c r="P2581">
        <v>3315</v>
      </c>
    </row>
    <row r="2582" spans="15:16" x14ac:dyDescent="0.45">
      <c r="O2582" t="s">
        <v>9138</v>
      </c>
      <c r="P2582">
        <v>3310</v>
      </c>
    </row>
    <row r="2583" spans="15:16" x14ac:dyDescent="0.45">
      <c r="O2583" t="s">
        <v>9139</v>
      </c>
      <c r="P2583">
        <v>3371</v>
      </c>
    </row>
    <row r="2584" spans="15:16" x14ac:dyDescent="0.45">
      <c r="O2584" t="s">
        <v>9140</v>
      </c>
      <c r="P2584">
        <v>3691</v>
      </c>
    </row>
    <row r="2585" spans="15:16" x14ac:dyDescent="0.45">
      <c r="O2585" t="s">
        <v>9141</v>
      </c>
      <c r="P2585">
        <v>3701</v>
      </c>
    </row>
    <row r="2586" spans="15:16" x14ac:dyDescent="0.45">
      <c r="O2586" t="s">
        <v>9142</v>
      </c>
      <c r="P2586">
        <v>3700</v>
      </c>
    </row>
    <row r="2587" spans="15:16" x14ac:dyDescent="0.45">
      <c r="O2587" t="s">
        <v>9143</v>
      </c>
      <c r="P2587">
        <v>3700</v>
      </c>
    </row>
    <row r="2588" spans="15:16" x14ac:dyDescent="0.45">
      <c r="O2588" t="s">
        <v>9144</v>
      </c>
      <c r="P2588">
        <v>3701</v>
      </c>
    </row>
    <row r="2589" spans="15:16" x14ac:dyDescent="0.45">
      <c r="O2589" t="s">
        <v>9145</v>
      </c>
      <c r="P2589">
        <v>3701</v>
      </c>
    </row>
    <row r="2590" spans="15:16" x14ac:dyDescent="0.45">
      <c r="O2590" t="s">
        <v>9146</v>
      </c>
      <c r="P2590">
        <v>3659</v>
      </c>
    </row>
    <row r="2591" spans="15:16" x14ac:dyDescent="0.45">
      <c r="O2591" t="s">
        <v>9147</v>
      </c>
      <c r="P2591">
        <v>3634</v>
      </c>
    </row>
    <row r="2592" spans="15:16" x14ac:dyDescent="0.45">
      <c r="O2592" t="s">
        <v>9148</v>
      </c>
      <c r="P2592">
        <v>3893</v>
      </c>
    </row>
    <row r="2593" spans="15:16" x14ac:dyDescent="0.45">
      <c r="O2593" t="s">
        <v>9149</v>
      </c>
      <c r="P2593">
        <v>3885</v>
      </c>
    </row>
    <row r="2594" spans="15:16" x14ac:dyDescent="0.45">
      <c r="O2594" t="s">
        <v>9150</v>
      </c>
      <c r="P2594">
        <v>3890</v>
      </c>
    </row>
    <row r="2595" spans="15:16" x14ac:dyDescent="0.45">
      <c r="O2595" t="s">
        <v>9151</v>
      </c>
      <c r="P2595">
        <v>3858</v>
      </c>
    </row>
    <row r="2596" spans="15:16" x14ac:dyDescent="0.45">
      <c r="O2596" t="s">
        <v>9152</v>
      </c>
      <c r="P2596">
        <v>3675</v>
      </c>
    </row>
    <row r="2597" spans="15:16" x14ac:dyDescent="0.45">
      <c r="O2597" t="s">
        <v>9153</v>
      </c>
      <c r="P2597">
        <v>3669</v>
      </c>
    </row>
    <row r="2598" spans="15:16" x14ac:dyDescent="0.45">
      <c r="O2598" t="s">
        <v>9154</v>
      </c>
      <c r="P2598">
        <v>3669</v>
      </c>
    </row>
    <row r="2599" spans="15:16" x14ac:dyDescent="0.45">
      <c r="O2599" t="s">
        <v>9155</v>
      </c>
      <c r="P2599">
        <v>3260</v>
      </c>
    </row>
    <row r="2600" spans="15:16" x14ac:dyDescent="0.45">
      <c r="O2600" t="s">
        <v>9156</v>
      </c>
      <c r="P2600">
        <v>3571</v>
      </c>
    </row>
    <row r="2601" spans="15:16" x14ac:dyDescent="0.45">
      <c r="O2601" t="s">
        <v>9157</v>
      </c>
      <c r="P2601">
        <v>3691</v>
      </c>
    </row>
    <row r="2602" spans="15:16" x14ac:dyDescent="0.45">
      <c r="O2602" t="s">
        <v>9158</v>
      </c>
      <c r="P2602">
        <v>3825</v>
      </c>
    </row>
    <row r="2603" spans="15:16" x14ac:dyDescent="0.45">
      <c r="O2603" t="s">
        <v>9159</v>
      </c>
      <c r="P2603">
        <v>3833</v>
      </c>
    </row>
    <row r="2604" spans="15:16" x14ac:dyDescent="0.45">
      <c r="O2604" t="s">
        <v>9160</v>
      </c>
      <c r="P2604">
        <v>3825</v>
      </c>
    </row>
    <row r="2605" spans="15:16" x14ac:dyDescent="0.45">
      <c r="O2605" t="s">
        <v>9161</v>
      </c>
      <c r="P2605">
        <v>3764</v>
      </c>
    </row>
    <row r="2606" spans="15:16" x14ac:dyDescent="0.45">
      <c r="O2606" t="s">
        <v>9162</v>
      </c>
      <c r="P2606">
        <v>3478</v>
      </c>
    </row>
    <row r="2607" spans="15:16" x14ac:dyDescent="0.45">
      <c r="O2607" t="s">
        <v>9163</v>
      </c>
      <c r="P2607">
        <v>3249</v>
      </c>
    </row>
    <row r="2608" spans="15:16" x14ac:dyDescent="0.45">
      <c r="O2608" t="s">
        <v>9164</v>
      </c>
      <c r="P2608">
        <v>3447</v>
      </c>
    </row>
    <row r="2609" spans="15:16" x14ac:dyDescent="0.45">
      <c r="O2609" t="s">
        <v>9165</v>
      </c>
      <c r="P2609">
        <v>3666</v>
      </c>
    </row>
    <row r="2610" spans="15:16" x14ac:dyDescent="0.45">
      <c r="O2610" t="s">
        <v>9166</v>
      </c>
      <c r="P2610">
        <v>3451</v>
      </c>
    </row>
    <row r="2611" spans="15:16" x14ac:dyDescent="0.45">
      <c r="O2611" t="s">
        <v>9167</v>
      </c>
      <c r="P2611">
        <v>3551</v>
      </c>
    </row>
    <row r="2612" spans="15:16" x14ac:dyDescent="0.45">
      <c r="O2612" t="s">
        <v>9168</v>
      </c>
      <c r="P2612">
        <v>3029</v>
      </c>
    </row>
    <row r="2613" spans="15:16" x14ac:dyDescent="0.45">
      <c r="O2613" t="s">
        <v>9169</v>
      </c>
      <c r="P2613">
        <v>3670</v>
      </c>
    </row>
    <row r="2614" spans="15:16" x14ac:dyDescent="0.45">
      <c r="O2614" t="s">
        <v>9170</v>
      </c>
      <c r="P2614">
        <v>3265</v>
      </c>
    </row>
    <row r="2615" spans="15:16" x14ac:dyDescent="0.45">
      <c r="O2615" t="s">
        <v>9171</v>
      </c>
      <c r="P2615">
        <v>3971</v>
      </c>
    </row>
    <row r="2616" spans="15:16" x14ac:dyDescent="0.45">
      <c r="O2616" t="s">
        <v>9172</v>
      </c>
      <c r="P2616">
        <v>3414</v>
      </c>
    </row>
    <row r="2617" spans="15:16" x14ac:dyDescent="0.45">
      <c r="O2617" t="s">
        <v>9173</v>
      </c>
      <c r="P2617">
        <v>3971</v>
      </c>
    </row>
    <row r="2618" spans="15:16" x14ac:dyDescent="0.45">
      <c r="O2618" t="s">
        <v>9174</v>
      </c>
      <c r="P2618">
        <v>3775</v>
      </c>
    </row>
    <row r="2619" spans="15:16" x14ac:dyDescent="0.45">
      <c r="O2619" t="s">
        <v>9175</v>
      </c>
      <c r="P2619">
        <v>3678</v>
      </c>
    </row>
    <row r="2620" spans="15:16" x14ac:dyDescent="0.45">
      <c r="O2620" t="s">
        <v>9176</v>
      </c>
      <c r="P2620">
        <v>3315</v>
      </c>
    </row>
    <row r="2621" spans="15:16" x14ac:dyDescent="0.45">
      <c r="O2621" t="s">
        <v>9177</v>
      </c>
      <c r="P2621">
        <v>3463</v>
      </c>
    </row>
    <row r="2622" spans="15:16" x14ac:dyDescent="0.45">
      <c r="O2622" t="s">
        <v>9178</v>
      </c>
      <c r="P2622">
        <v>3315</v>
      </c>
    </row>
    <row r="2623" spans="15:16" x14ac:dyDescent="0.45">
      <c r="O2623" t="s">
        <v>9179</v>
      </c>
      <c r="P2623">
        <v>3301</v>
      </c>
    </row>
    <row r="2624" spans="15:16" x14ac:dyDescent="0.45">
      <c r="O2624" t="s">
        <v>9180</v>
      </c>
      <c r="P2624">
        <v>3283</v>
      </c>
    </row>
    <row r="2625" spans="15:16" x14ac:dyDescent="0.45">
      <c r="O2625" t="s">
        <v>9181</v>
      </c>
      <c r="P2625">
        <v>3956</v>
      </c>
    </row>
    <row r="2626" spans="15:16" x14ac:dyDescent="0.45">
      <c r="O2626" t="s">
        <v>9182</v>
      </c>
      <c r="P2626">
        <v>3956</v>
      </c>
    </row>
    <row r="2627" spans="15:16" x14ac:dyDescent="0.45">
      <c r="O2627" t="s">
        <v>9183</v>
      </c>
      <c r="P2627">
        <v>3673</v>
      </c>
    </row>
    <row r="2628" spans="15:16" x14ac:dyDescent="0.45">
      <c r="O2628" t="s">
        <v>9184</v>
      </c>
      <c r="P2628">
        <v>3616</v>
      </c>
    </row>
    <row r="2629" spans="15:16" x14ac:dyDescent="0.45">
      <c r="O2629" t="s">
        <v>9185</v>
      </c>
      <c r="P2629">
        <v>3616</v>
      </c>
    </row>
    <row r="2630" spans="15:16" x14ac:dyDescent="0.45">
      <c r="O2630" t="s">
        <v>9186</v>
      </c>
      <c r="P2630">
        <v>3378</v>
      </c>
    </row>
    <row r="2631" spans="15:16" x14ac:dyDescent="0.45">
      <c r="O2631" t="s">
        <v>9187</v>
      </c>
      <c r="P2631">
        <v>3697</v>
      </c>
    </row>
    <row r="2632" spans="15:16" x14ac:dyDescent="0.45">
      <c r="O2632" t="s">
        <v>9188</v>
      </c>
      <c r="P2632">
        <v>3698</v>
      </c>
    </row>
    <row r="2633" spans="15:16" x14ac:dyDescent="0.45">
      <c r="O2633" t="s">
        <v>9189</v>
      </c>
      <c r="P2633">
        <v>3713</v>
      </c>
    </row>
    <row r="2634" spans="15:16" x14ac:dyDescent="0.45">
      <c r="O2634" t="s">
        <v>9190</v>
      </c>
      <c r="P2634">
        <v>3037</v>
      </c>
    </row>
    <row r="2635" spans="15:16" x14ac:dyDescent="0.45">
      <c r="O2635" t="s">
        <v>9191</v>
      </c>
      <c r="P2635">
        <v>3038</v>
      </c>
    </row>
    <row r="2636" spans="15:16" x14ac:dyDescent="0.45">
      <c r="O2636" t="s">
        <v>9192</v>
      </c>
      <c r="P2636">
        <v>3579</v>
      </c>
    </row>
    <row r="2637" spans="15:16" x14ac:dyDescent="0.45">
      <c r="O2637" t="s">
        <v>9193</v>
      </c>
      <c r="P2637">
        <v>3160</v>
      </c>
    </row>
    <row r="2638" spans="15:16" x14ac:dyDescent="0.45">
      <c r="O2638" t="s">
        <v>9194</v>
      </c>
      <c r="P2638">
        <v>3527</v>
      </c>
    </row>
    <row r="2639" spans="15:16" x14ac:dyDescent="0.45">
      <c r="O2639" t="s">
        <v>9195</v>
      </c>
      <c r="P2639">
        <v>3527</v>
      </c>
    </row>
    <row r="2640" spans="15:16" x14ac:dyDescent="0.45">
      <c r="O2640" t="s">
        <v>9196</v>
      </c>
      <c r="P2640">
        <v>3328</v>
      </c>
    </row>
    <row r="2641" spans="15:16" x14ac:dyDescent="0.45">
      <c r="O2641" t="s">
        <v>9197</v>
      </c>
      <c r="P2641">
        <v>3401</v>
      </c>
    </row>
    <row r="2642" spans="15:16" x14ac:dyDescent="0.45">
      <c r="O2642" t="s">
        <v>9198</v>
      </c>
      <c r="P2642">
        <v>3730</v>
      </c>
    </row>
    <row r="2643" spans="15:16" x14ac:dyDescent="0.45">
      <c r="O2643" t="s">
        <v>9199</v>
      </c>
      <c r="P2643">
        <v>3420</v>
      </c>
    </row>
    <row r="2644" spans="15:16" x14ac:dyDescent="0.45">
      <c r="O2644" t="s">
        <v>9200</v>
      </c>
      <c r="P2644">
        <v>3106</v>
      </c>
    </row>
    <row r="2645" spans="15:16" x14ac:dyDescent="0.45">
      <c r="O2645" t="s">
        <v>9201</v>
      </c>
      <c r="P2645">
        <v>3107</v>
      </c>
    </row>
    <row r="2646" spans="15:16" x14ac:dyDescent="0.45">
      <c r="O2646" t="s">
        <v>9202</v>
      </c>
      <c r="P2646">
        <v>3489</v>
      </c>
    </row>
    <row r="2647" spans="15:16" x14ac:dyDescent="0.45">
      <c r="O2647" t="s">
        <v>9203</v>
      </c>
      <c r="P2647">
        <v>3984</v>
      </c>
    </row>
    <row r="2648" spans="15:16" x14ac:dyDescent="0.45">
      <c r="O2648" t="s">
        <v>9204</v>
      </c>
      <c r="P2648">
        <v>3572</v>
      </c>
    </row>
    <row r="2649" spans="15:16" x14ac:dyDescent="0.45">
      <c r="O2649" t="s">
        <v>9205</v>
      </c>
      <c r="P2649">
        <v>3264</v>
      </c>
    </row>
    <row r="2650" spans="15:16" x14ac:dyDescent="0.45">
      <c r="O2650" t="s">
        <v>9206</v>
      </c>
      <c r="P2650">
        <v>3719</v>
      </c>
    </row>
    <row r="2651" spans="15:16" x14ac:dyDescent="0.45">
      <c r="O2651" t="s">
        <v>9207</v>
      </c>
      <c r="P2651">
        <v>3525</v>
      </c>
    </row>
    <row r="2652" spans="15:16" x14ac:dyDescent="0.45">
      <c r="O2652" t="s">
        <v>9208</v>
      </c>
      <c r="P2652">
        <v>3575</v>
      </c>
    </row>
    <row r="2653" spans="15:16" x14ac:dyDescent="0.45">
      <c r="O2653" t="s">
        <v>9209</v>
      </c>
      <c r="P2653">
        <v>3573</v>
      </c>
    </row>
    <row r="2654" spans="15:16" x14ac:dyDescent="0.45">
      <c r="O2654" t="s">
        <v>9210</v>
      </c>
      <c r="P2654">
        <v>3260</v>
      </c>
    </row>
    <row r="2655" spans="15:16" x14ac:dyDescent="0.45">
      <c r="O2655" t="s">
        <v>9211</v>
      </c>
      <c r="P2655">
        <v>3821</v>
      </c>
    </row>
    <row r="2656" spans="15:16" x14ac:dyDescent="0.45">
      <c r="O2656" t="s">
        <v>9212</v>
      </c>
      <c r="P2656">
        <v>3527</v>
      </c>
    </row>
    <row r="2657" spans="15:16" x14ac:dyDescent="0.45">
      <c r="O2657" t="s">
        <v>9213</v>
      </c>
      <c r="P2657">
        <v>3825</v>
      </c>
    </row>
    <row r="2658" spans="15:16" x14ac:dyDescent="0.45">
      <c r="O2658" t="s">
        <v>9214</v>
      </c>
      <c r="P2658">
        <v>3154</v>
      </c>
    </row>
    <row r="2659" spans="15:16" x14ac:dyDescent="0.45">
      <c r="O2659" t="s">
        <v>9215</v>
      </c>
      <c r="P2659">
        <v>3268</v>
      </c>
    </row>
    <row r="2660" spans="15:16" x14ac:dyDescent="0.45">
      <c r="O2660" t="s">
        <v>9216</v>
      </c>
      <c r="P2660">
        <v>3984</v>
      </c>
    </row>
    <row r="2661" spans="15:16" x14ac:dyDescent="0.45">
      <c r="O2661" t="s">
        <v>9217</v>
      </c>
      <c r="P2661">
        <v>3851</v>
      </c>
    </row>
    <row r="2662" spans="15:16" x14ac:dyDescent="0.45">
      <c r="O2662" t="s">
        <v>9218</v>
      </c>
      <c r="P2662">
        <v>3851</v>
      </c>
    </row>
    <row r="2663" spans="15:16" x14ac:dyDescent="0.45">
      <c r="O2663" t="s">
        <v>9219</v>
      </c>
      <c r="P2663">
        <v>3792</v>
      </c>
    </row>
    <row r="2664" spans="15:16" x14ac:dyDescent="0.45">
      <c r="O2664" t="s">
        <v>9220</v>
      </c>
      <c r="P2664">
        <v>3265</v>
      </c>
    </row>
    <row r="2665" spans="15:16" x14ac:dyDescent="0.45">
      <c r="O2665" t="s">
        <v>9221</v>
      </c>
      <c r="P2665">
        <v>3691</v>
      </c>
    </row>
    <row r="2666" spans="15:16" x14ac:dyDescent="0.45">
      <c r="O2666" t="s">
        <v>9222</v>
      </c>
      <c r="P2666">
        <v>3074</v>
      </c>
    </row>
    <row r="2667" spans="15:16" x14ac:dyDescent="0.45">
      <c r="O2667" t="s">
        <v>9223</v>
      </c>
      <c r="P2667">
        <v>3219</v>
      </c>
    </row>
    <row r="2668" spans="15:16" x14ac:dyDescent="0.45">
      <c r="O2668" t="s">
        <v>9679</v>
      </c>
      <c r="P2668">
        <v>3825</v>
      </c>
    </row>
    <row r="2669" spans="15:16" x14ac:dyDescent="0.45">
      <c r="O2669" t="s">
        <v>9224</v>
      </c>
      <c r="P2669">
        <v>3726</v>
      </c>
    </row>
    <row r="2670" spans="15:16" x14ac:dyDescent="0.45">
      <c r="O2670" t="s">
        <v>9225</v>
      </c>
      <c r="P2670">
        <v>3071</v>
      </c>
    </row>
    <row r="2671" spans="15:16" x14ac:dyDescent="0.45">
      <c r="O2671" t="s">
        <v>9226</v>
      </c>
      <c r="P2671">
        <v>3712</v>
      </c>
    </row>
    <row r="2672" spans="15:16" x14ac:dyDescent="0.45">
      <c r="O2672" t="s">
        <v>9227</v>
      </c>
      <c r="P2672">
        <v>3835</v>
      </c>
    </row>
    <row r="2673" spans="15:16" x14ac:dyDescent="0.45">
      <c r="O2673" t="s">
        <v>9228</v>
      </c>
      <c r="P2673">
        <v>3824</v>
      </c>
    </row>
    <row r="2674" spans="15:16" x14ac:dyDescent="0.45">
      <c r="O2674" t="s">
        <v>9229</v>
      </c>
      <c r="P2674">
        <v>3707</v>
      </c>
    </row>
    <row r="2675" spans="15:16" x14ac:dyDescent="0.45">
      <c r="O2675" t="s">
        <v>9230</v>
      </c>
      <c r="P2675">
        <v>3797</v>
      </c>
    </row>
    <row r="2676" spans="15:16" x14ac:dyDescent="0.45">
      <c r="O2676" t="s">
        <v>9231</v>
      </c>
      <c r="P2676">
        <v>3960</v>
      </c>
    </row>
    <row r="2677" spans="15:16" x14ac:dyDescent="0.45">
      <c r="O2677" t="s">
        <v>9232</v>
      </c>
      <c r="P2677">
        <v>3885</v>
      </c>
    </row>
    <row r="2678" spans="15:16" x14ac:dyDescent="0.45">
      <c r="O2678" t="s">
        <v>9233</v>
      </c>
      <c r="P2678">
        <v>3268</v>
      </c>
    </row>
    <row r="2679" spans="15:16" x14ac:dyDescent="0.45">
      <c r="O2679" t="s">
        <v>9234</v>
      </c>
      <c r="P2679">
        <v>3268</v>
      </c>
    </row>
    <row r="2680" spans="15:16" x14ac:dyDescent="0.45">
      <c r="O2680" t="s">
        <v>9235</v>
      </c>
      <c r="P2680">
        <v>3561</v>
      </c>
    </row>
    <row r="2681" spans="15:16" x14ac:dyDescent="0.45">
      <c r="O2681" t="s">
        <v>9236</v>
      </c>
      <c r="P2681">
        <v>3465</v>
      </c>
    </row>
    <row r="2682" spans="15:16" x14ac:dyDescent="0.45">
      <c r="O2682" t="s">
        <v>9237</v>
      </c>
      <c r="P2682">
        <v>3465</v>
      </c>
    </row>
    <row r="2683" spans="15:16" x14ac:dyDescent="0.45">
      <c r="O2683" t="s">
        <v>9238</v>
      </c>
      <c r="P2683">
        <v>3859</v>
      </c>
    </row>
    <row r="2684" spans="15:16" x14ac:dyDescent="0.45">
      <c r="O2684" t="s">
        <v>9239</v>
      </c>
      <c r="P2684">
        <v>3859</v>
      </c>
    </row>
    <row r="2685" spans="15:16" x14ac:dyDescent="0.45">
      <c r="O2685" t="s">
        <v>9240</v>
      </c>
      <c r="P2685">
        <v>3708</v>
      </c>
    </row>
    <row r="2686" spans="15:16" x14ac:dyDescent="0.45">
      <c r="O2686" t="s">
        <v>9241</v>
      </c>
      <c r="P2686">
        <v>3542</v>
      </c>
    </row>
    <row r="2687" spans="15:16" x14ac:dyDescent="0.45">
      <c r="O2687" t="s">
        <v>9242</v>
      </c>
      <c r="P2687">
        <v>3549</v>
      </c>
    </row>
    <row r="2688" spans="15:16" x14ac:dyDescent="0.45">
      <c r="O2688" t="s">
        <v>9243</v>
      </c>
      <c r="P2688">
        <v>3723</v>
      </c>
    </row>
    <row r="2689" spans="15:16" x14ac:dyDescent="0.45">
      <c r="O2689" t="s">
        <v>9244</v>
      </c>
      <c r="P2689">
        <v>3707</v>
      </c>
    </row>
    <row r="2690" spans="15:16" x14ac:dyDescent="0.45">
      <c r="O2690" t="s">
        <v>9245</v>
      </c>
      <c r="P2690">
        <v>3621</v>
      </c>
    </row>
    <row r="2691" spans="15:16" x14ac:dyDescent="0.45">
      <c r="O2691" t="s">
        <v>9246</v>
      </c>
      <c r="P2691">
        <v>3890</v>
      </c>
    </row>
    <row r="2692" spans="15:16" x14ac:dyDescent="0.45">
      <c r="O2692" t="s">
        <v>9247</v>
      </c>
      <c r="P2692">
        <v>3896</v>
      </c>
    </row>
    <row r="2693" spans="15:16" x14ac:dyDescent="0.45">
      <c r="O2693" t="s">
        <v>9248</v>
      </c>
      <c r="P2693">
        <v>3815</v>
      </c>
    </row>
    <row r="2694" spans="15:16" x14ac:dyDescent="0.45">
      <c r="O2694" t="s">
        <v>9249</v>
      </c>
      <c r="P2694">
        <v>3409</v>
      </c>
    </row>
    <row r="2695" spans="15:16" x14ac:dyDescent="0.45">
      <c r="O2695" t="s">
        <v>9250</v>
      </c>
      <c r="P2695">
        <v>3522</v>
      </c>
    </row>
    <row r="2696" spans="15:16" x14ac:dyDescent="0.45">
      <c r="O2696" t="s">
        <v>9251</v>
      </c>
      <c r="P2696">
        <v>3614</v>
      </c>
    </row>
    <row r="2697" spans="15:16" x14ac:dyDescent="0.45">
      <c r="O2697" t="s">
        <v>9252</v>
      </c>
      <c r="P2697">
        <v>3614</v>
      </c>
    </row>
    <row r="2698" spans="15:16" x14ac:dyDescent="0.45">
      <c r="O2698" t="s">
        <v>9253</v>
      </c>
      <c r="P2698">
        <v>3777</v>
      </c>
    </row>
    <row r="2699" spans="15:16" x14ac:dyDescent="0.45">
      <c r="O2699" t="s">
        <v>9254</v>
      </c>
      <c r="P2699">
        <v>3337</v>
      </c>
    </row>
    <row r="2700" spans="15:16" x14ac:dyDescent="0.45">
      <c r="O2700" t="s">
        <v>9255</v>
      </c>
      <c r="P2700">
        <v>3551</v>
      </c>
    </row>
    <row r="2701" spans="15:16" x14ac:dyDescent="0.45">
      <c r="O2701" t="s">
        <v>9256</v>
      </c>
      <c r="P2701">
        <v>3860</v>
      </c>
    </row>
    <row r="2702" spans="15:16" x14ac:dyDescent="0.45">
      <c r="O2702" t="s">
        <v>9257</v>
      </c>
      <c r="P2702">
        <v>3401</v>
      </c>
    </row>
    <row r="2703" spans="15:16" x14ac:dyDescent="0.45">
      <c r="O2703" t="s">
        <v>9258</v>
      </c>
      <c r="P2703">
        <v>3285</v>
      </c>
    </row>
    <row r="2704" spans="15:16" x14ac:dyDescent="0.45">
      <c r="O2704" t="s">
        <v>9259</v>
      </c>
      <c r="P2704">
        <v>3825</v>
      </c>
    </row>
    <row r="2705" spans="15:16" x14ac:dyDescent="0.45">
      <c r="O2705" t="s">
        <v>9260</v>
      </c>
      <c r="P2705">
        <v>3856</v>
      </c>
    </row>
    <row r="2706" spans="15:16" x14ac:dyDescent="0.45">
      <c r="O2706" t="s">
        <v>9261</v>
      </c>
      <c r="P2706">
        <v>3962</v>
      </c>
    </row>
    <row r="2707" spans="15:16" x14ac:dyDescent="0.45">
      <c r="O2707" t="s">
        <v>9262</v>
      </c>
      <c r="P2707">
        <v>3962</v>
      </c>
    </row>
    <row r="2708" spans="15:16" x14ac:dyDescent="0.45">
      <c r="O2708" t="s">
        <v>9263</v>
      </c>
      <c r="P2708">
        <v>3980</v>
      </c>
    </row>
    <row r="2709" spans="15:16" x14ac:dyDescent="0.45">
      <c r="O2709" t="s">
        <v>9264</v>
      </c>
      <c r="P2709">
        <v>3142</v>
      </c>
    </row>
    <row r="2710" spans="15:16" x14ac:dyDescent="0.45">
      <c r="O2710" t="s">
        <v>9265</v>
      </c>
      <c r="P2710">
        <v>3909</v>
      </c>
    </row>
    <row r="2711" spans="15:16" x14ac:dyDescent="0.45">
      <c r="O2711" t="s">
        <v>9266</v>
      </c>
      <c r="P2711">
        <v>3146</v>
      </c>
    </row>
    <row r="2712" spans="15:16" x14ac:dyDescent="0.45">
      <c r="O2712" t="s">
        <v>9267</v>
      </c>
      <c r="P2712">
        <v>3833</v>
      </c>
    </row>
    <row r="2713" spans="15:16" x14ac:dyDescent="0.45">
      <c r="O2713" t="s">
        <v>9268</v>
      </c>
      <c r="P2713">
        <v>3941</v>
      </c>
    </row>
    <row r="2714" spans="15:16" x14ac:dyDescent="0.45">
      <c r="O2714" t="s">
        <v>9269</v>
      </c>
      <c r="P2714">
        <v>3228</v>
      </c>
    </row>
    <row r="2715" spans="15:16" x14ac:dyDescent="0.45">
      <c r="O2715" t="s">
        <v>9270</v>
      </c>
      <c r="P2715">
        <v>3490</v>
      </c>
    </row>
    <row r="2716" spans="15:16" x14ac:dyDescent="0.45">
      <c r="O2716" t="s">
        <v>9271</v>
      </c>
      <c r="P2716">
        <v>3562</v>
      </c>
    </row>
    <row r="2717" spans="15:16" x14ac:dyDescent="0.45">
      <c r="O2717" t="s">
        <v>9272</v>
      </c>
      <c r="P2717">
        <v>3821</v>
      </c>
    </row>
    <row r="2718" spans="15:16" x14ac:dyDescent="0.45">
      <c r="O2718" t="s">
        <v>9273</v>
      </c>
      <c r="P2718">
        <v>3888</v>
      </c>
    </row>
    <row r="2719" spans="15:16" x14ac:dyDescent="0.45">
      <c r="O2719" t="s">
        <v>9274</v>
      </c>
      <c r="P2719">
        <v>3012</v>
      </c>
    </row>
    <row r="2720" spans="15:16" x14ac:dyDescent="0.45">
      <c r="O2720" t="s">
        <v>9275</v>
      </c>
      <c r="P2720">
        <v>3477</v>
      </c>
    </row>
    <row r="2721" spans="15:16" x14ac:dyDescent="0.45">
      <c r="O2721" t="s">
        <v>9276</v>
      </c>
      <c r="P2721">
        <v>3363</v>
      </c>
    </row>
    <row r="2722" spans="15:16" x14ac:dyDescent="0.45">
      <c r="O2722" t="s">
        <v>9277</v>
      </c>
      <c r="P2722">
        <v>3596</v>
      </c>
    </row>
    <row r="2723" spans="15:16" x14ac:dyDescent="0.45">
      <c r="O2723" t="s">
        <v>9278</v>
      </c>
      <c r="P2723">
        <v>3527</v>
      </c>
    </row>
    <row r="2724" spans="15:16" x14ac:dyDescent="0.45">
      <c r="O2724" t="s">
        <v>9279</v>
      </c>
      <c r="P2724">
        <v>3527</v>
      </c>
    </row>
    <row r="2725" spans="15:16" x14ac:dyDescent="0.45">
      <c r="O2725" t="s">
        <v>9280</v>
      </c>
      <c r="P2725">
        <v>3283</v>
      </c>
    </row>
    <row r="2726" spans="15:16" x14ac:dyDescent="0.45">
      <c r="O2726" t="s">
        <v>9281</v>
      </c>
      <c r="P2726">
        <v>3707</v>
      </c>
    </row>
    <row r="2727" spans="15:16" x14ac:dyDescent="0.45">
      <c r="O2727" t="s">
        <v>9282</v>
      </c>
      <c r="P2727">
        <v>3707</v>
      </c>
    </row>
    <row r="2728" spans="15:16" x14ac:dyDescent="0.45">
      <c r="O2728" t="s">
        <v>9283</v>
      </c>
      <c r="P2728">
        <v>3824</v>
      </c>
    </row>
    <row r="2729" spans="15:16" x14ac:dyDescent="0.45">
      <c r="O2729" t="s">
        <v>9284</v>
      </c>
      <c r="P2729">
        <v>3824</v>
      </c>
    </row>
    <row r="2730" spans="15:16" x14ac:dyDescent="0.45">
      <c r="O2730" t="s">
        <v>9285</v>
      </c>
      <c r="P2730">
        <v>3824</v>
      </c>
    </row>
    <row r="2731" spans="15:16" x14ac:dyDescent="0.45">
      <c r="O2731" t="s">
        <v>9286</v>
      </c>
      <c r="P2731">
        <v>3579</v>
      </c>
    </row>
    <row r="2732" spans="15:16" x14ac:dyDescent="0.45">
      <c r="O2732" t="s">
        <v>9287</v>
      </c>
      <c r="P2732">
        <v>3844</v>
      </c>
    </row>
    <row r="2733" spans="15:16" x14ac:dyDescent="0.45">
      <c r="O2733" t="s">
        <v>9288</v>
      </c>
      <c r="P2733">
        <v>3844</v>
      </c>
    </row>
    <row r="2734" spans="15:16" x14ac:dyDescent="0.45">
      <c r="O2734" t="s">
        <v>9289</v>
      </c>
      <c r="P2734">
        <v>3844</v>
      </c>
    </row>
    <row r="2735" spans="15:16" x14ac:dyDescent="0.45">
      <c r="O2735" t="s">
        <v>9290</v>
      </c>
      <c r="P2735">
        <v>3032</v>
      </c>
    </row>
    <row r="2736" spans="15:16" x14ac:dyDescent="0.45">
      <c r="O2736" t="s">
        <v>9291</v>
      </c>
      <c r="P2736">
        <v>3373</v>
      </c>
    </row>
    <row r="2737" spans="15:16" x14ac:dyDescent="0.45">
      <c r="O2737" t="s">
        <v>9292</v>
      </c>
      <c r="P2737">
        <v>3660</v>
      </c>
    </row>
    <row r="2738" spans="15:16" x14ac:dyDescent="0.45">
      <c r="O2738" t="s">
        <v>9293</v>
      </c>
      <c r="P2738">
        <v>3477</v>
      </c>
    </row>
    <row r="2739" spans="15:16" x14ac:dyDescent="0.45">
      <c r="O2739" t="s">
        <v>9294</v>
      </c>
      <c r="P2739">
        <v>3785</v>
      </c>
    </row>
    <row r="2740" spans="15:16" x14ac:dyDescent="0.45">
      <c r="O2740" t="s">
        <v>9295</v>
      </c>
      <c r="P2740">
        <v>3458</v>
      </c>
    </row>
    <row r="2741" spans="15:16" x14ac:dyDescent="0.45">
      <c r="O2741" t="s">
        <v>9296</v>
      </c>
      <c r="P2741">
        <v>3458</v>
      </c>
    </row>
    <row r="2742" spans="15:16" x14ac:dyDescent="0.45">
      <c r="O2742" t="s">
        <v>9297</v>
      </c>
      <c r="P2742">
        <v>3583</v>
      </c>
    </row>
    <row r="2743" spans="15:16" x14ac:dyDescent="0.45">
      <c r="O2743" t="s">
        <v>9298</v>
      </c>
      <c r="P2743">
        <v>3584</v>
      </c>
    </row>
    <row r="2744" spans="15:16" x14ac:dyDescent="0.45">
      <c r="O2744" t="s">
        <v>9299</v>
      </c>
      <c r="P2744">
        <v>3953</v>
      </c>
    </row>
    <row r="2745" spans="15:16" x14ac:dyDescent="0.45">
      <c r="O2745" t="s">
        <v>9300</v>
      </c>
      <c r="P2745">
        <v>3029</v>
      </c>
    </row>
    <row r="2746" spans="15:16" x14ac:dyDescent="0.45">
      <c r="O2746" t="s">
        <v>9301</v>
      </c>
      <c r="P2746">
        <v>3888</v>
      </c>
    </row>
    <row r="2747" spans="15:16" x14ac:dyDescent="0.45">
      <c r="O2747" t="s">
        <v>9302</v>
      </c>
      <c r="P2747">
        <v>3915</v>
      </c>
    </row>
    <row r="2748" spans="15:16" x14ac:dyDescent="0.45">
      <c r="O2748" t="s">
        <v>9303</v>
      </c>
      <c r="P2748">
        <v>3384</v>
      </c>
    </row>
    <row r="2749" spans="15:16" x14ac:dyDescent="0.45">
      <c r="O2749" t="s">
        <v>9304</v>
      </c>
      <c r="P2749">
        <v>3043</v>
      </c>
    </row>
    <row r="2750" spans="15:16" x14ac:dyDescent="0.45">
      <c r="O2750" t="s">
        <v>9305</v>
      </c>
      <c r="P2750">
        <v>3728</v>
      </c>
    </row>
    <row r="2751" spans="15:16" x14ac:dyDescent="0.45">
      <c r="O2751" t="s">
        <v>9306</v>
      </c>
      <c r="P2751">
        <v>3546</v>
      </c>
    </row>
    <row r="2752" spans="15:16" x14ac:dyDescent="0.45">
      <c r="O2752" t="s">
        <v>9307</v>
      </c>
      <c r="P2752">
        <v>3488</v>
      </c>
    </row>
    <row r="2753" spans="15:16" x14ac:dyDescent="0.45">
      <c r="O2753" t="s">
        <v>9308</v>
      </c>
      <c r="P2753">
        <v>3488</v>
      </c>
    </row>
    <row r="2754" spans="15:16" x14ac:dyDescent="0.45">
      <c r="O2754" t="s">
        <v>9309</v>
      </c>
      <c r="P2754">
        <v>3960</v>
      </c>
    </row>
    <row r="2755" spans="15:16" x14ac:dyDescent="0.45">
      <c r="O2755" t="s">
        <v>9310</v>
      </c>
      <c r="P2755">
        <v>3490</v>
      </c>
    </row>
    <row r="2756" spans="15:16" x14ac:dyDescent="0.45">
      <c r="O2756" t="s">
        <v>9311</v>
      </c>
      <c r="P2756">
        <v>3658</v>
      </c>
    </row>
    <row r="2757" spans="15:16" x14ac:dyDescent="0.45">
      <c r="O2757" t="s">
        <v>9312</v>
      </c>
      <c r="P2757">
        <v>3913</v>
      </c>
    </row>
    <row r="2758" spans="15:16" x14ac:dyDescent="0.45">
      <c r="O2758" t="s">
        <v>9313</v>
      </c>
      <c r="P2758">
        <v>3533</v>
      </c>
    </row>
    <row r="2759" spans="15:16" x14ac:dyDescent="0.45">
      <c r="O2759" t="s">
        <v>9314</v>
      </c>
      <c r="P2759">
        <v>3844</v>
      </c>
    </row>
    <row r="2760" spans="15:16" x14ac:dyDescent="0.45">
      <c r="O2760" t="s">
        <v>9315</v>
      </c>
      <c r="P2760">
        <v>3444</v>
      </c>
    </row>
    <row r="2761" spans="15:16" x14ac:dyDescent="0.45">
      <c r="O2761" t="s">
        <v>9316</v>
      </c>
      <c r="P2761">
        <v>3444</v>
      </c>
    </row>
    <row r="2762" spans="15:16" x14ac:dyDescent="0.45">
      <c r="O2762" t="s">
        <v>9317</v>
      </c>
      <c r="P2762">
        <v>3813</v>
      </c>
    </row>
    <row r="2763" spans="15:16" x14ac:dyDescent="0.45">
      <c r="O2763" t="s">
        <v>9318</v>
      </c>
      <c r="P2763">
        <v>3813</v>
      </c>
    </row>
    <row r="2764" spans="15:16" x14ac:dyDescent="0.45">
      <c r="O2764" t="s">
        <v>9319</v>
      </c>
      <c r="P2764">
        <v>3586</v>
      </c>
    </row>
    <row r="2765" spans="15:16" x14ac:dyDescent="0.45">
      <c r="O2765" t="s">
        <v>9320</v>
      </c>
      <c r="P2765">
        <v>3586</v>
      </c>
    </row>
    <row r="2766" spans="15:16" x14ac:dyDescent="0.45">
      <c r="O2766" t="s">
        <v>9321</v>
      </c>
      <c r="P2766">
        <v>3285</v>
      </c>
    </row>
    <row r="2767" spans="15:16" x14ac:dyDescent="0.45">
      <c r="O2767" t="s">
        <v>9322</v>
      </c>
      <c r="P2767">
        <v>3285</v>
      </c>
    </row>
    <row r="2768" spans="15:16" x14ac:dyDescent="0.45">
      <c r="O2768" t="s">
        <v>9323</v>
      </c>
      <c r="P2768">
        <v>3533</v>
      </c>
    </row>
    <row r="2769" spans="15:16" x14ac:dyDescent="0.45">
      <c r="O2769" t="s">
        <v>9324</v>
      </c>
      <c r="P2769">
        <v>3533</v>
      </c>
    </row>
    <row r="2770" spans="15:16" x14ac:dyDescent="0.45">
      <c r="O2770" t="s">
        <v>9325</v>
      </c>
      <c r="P2770">
        <v>3370</v>
      </c>
    </row>
    <row r="2771" spans="15:16" x14ac:dyDescent="0.45">
      <c r="O2771" t="s">
        <v>9326</v>
      </c>
      <c r="P2771">
        <v>3318</v>
      </c>
    </row>
    <row r="2772" spans="15:16" x14ac:dyDescent="0.45">
      <c r="O2772" t="s">
        <v>9327</v>
      </c>
      <c r="P2772">
        <v>3544</v>
      </c>
    </row>
    <row r="2773" spans="15:16" x14ac:dyDescent="0.45">
      <c r="O2773" t="s">
        <v>9328</v>
      </c>
      <c r="P2773">
        <v>3544</v>
      </c>
    </row>
    <row r="2774" spans="15:16" x14ac:dyDescent="0.45">
      <c r="O2774" t="s">
        <v>9329</v>
      </c>
      <c r="P2774">
        <v>3641</v>
      </c>
    </row>
    <row r="2775" spans="15:16" x14ac:dyDescent="0.45">
      <c r="O2775" t="s">
        <v>9330</v>
      </c>
      <c r="P2775">
        <v>3629</v>
      </c>
    </row>
    <row r="2776" spans="15:16" x14ac:dyDescent="0.45">
      <c r="O2776" t="s">
        <v>9331</v>
      </c>
      <c r="P2776">
        <v>3509</v>
      </c>
    </row>
    <row r="2777" spans="15:16" x14ac:dyDescent="0.45">
      <c r="O2777" t="s">
        <v>9332</v>
      </c>
      <c r="P2777">
        <v>3669</v>
      </c>
    </row>
    <row r="2778" spans="15:16" x14ac:dyDescent="0.45">
      <c r="O2778" t="s">
        <v>5510</v>
      </c>
      <c r="P2778">
        <v>3156</v>
      </c>
    </row>
    <row r="2779" spans="15:16" x14ac:dyDescent="0.45">
      <c r="O2779" t="s">
        <v>9333</v>
      </c>
      <c r="P2779">
        <v>3691</v>
      </c>
    </row>
    <row r="2780" spans="15:16" x14ac:dyDescent="0.45">
      <c r="O2780" t="s">
        <v>9334</v>
      </c>
      <c r="P2780">
        <v>3673</v>
      </c>
    </row>
    <row r="2781" spans="15:16" x14ac:dyDescent="0.45">
      <c r="O2781" t="s">
        <v>9335</v>
      </c>
      <c r="P2781">
        <v>3756</v>
      </c>
    </row>
    <row r="2782" spans="15:16" x14ac:dyDescent="0.45">
      <c r="O2782" t="s">
        <v>9336</v>
      </c>
      <c r="P2782">
        <v>3673</v>
      </c>
    </row>
    <row r="2783" spans="15:16" x14ac:dyDescent="0.45">
      <c r="O2783" t="s">
        <v>9337</v>
      </c>
      <c r="P2783">
        <v>3664</v>
      </c>
    </row>
    <row r="2784" spans="15:16" x14ac:dyDescent="0.45">
      <c r="O2784" t="s">
        <v>9338</v>
      </c>
      <c r="P2784">
        <v>3158</v>
      </c>
    </row>
    <row r="2785" spans="15:16" x14ac:dyDescent="0.45">
      <c r="O2785" t="s">
        <v>9339</v>
      </c>
      <c r="P2785">
        <v>3860</v>
      </c>
    </row>
    <row r="2786" spans="15:16" x14ac:dyDescent="0.45">
      <c r="O2786" t="s">
        <v>9340</v>
      </c>
      <c r="P2786">
        <v>3407</v>
      </c>
    </row>
    <row r="2787" spans="15:16" x14ac:dyDescent="0.45">
      <c r="O2787" t="s">
        <v>9341</v>
      </c>
      <c r="P2787">
        <v>3451</v>
      </c>
    </row>
    <row r="2788" spans="15:16" x14ac:dyDescent="0.45">
      <c r="O2788" t="s">
        <v>9342</v>
      </c>
      <c r="P2788">
        <v>3401</v>
      </c>
    </row>
    <row r="2789" spans="15:16" x14ac:dyDescent="0.45">
      <c r="O2789" t="s">
        <v>9343</v>
      </c>
      <c r="P2789">
        <v>3922</v>
      </c>
    </row>
    <row r="2790" spans="15:16" x14ac:dyDescent="0.45">
      <c r="O2790" t="s">
        <v>9344</v>
      </c>
      <c r="P2790">
        <v>3956</v>
      </c>
    </row>
    <row r="2791" spans="15:16" x14ac:dyDescent="0.45">
      <c r="O2791" t="s">
        <v>9345</v>
      </c>
      <c r="P2791">
        <v>3133</v>
      </c>
    </row>
    <row r="2792" spans="15:16" x14ac:dyDescent="0.45">
      <c r="O2792" t="s">
        <v>9346</v>
      </c>
      <c r="P2792">
        <v>3133</v>
      </c>
    </row>
    <row r="2793" spans="15:16" x14ac:dyDescent="0.45">
      <c r="O2793" t="s">
        <v>9347</v>
      </c>
      <c r="P2793">
        <v>3814</v>
      </c>
    </row>
    <row r="2794" spans="15:16" x14ac:dyDescent="0.45">
      <c r="O2794" t="s">
        <v>9348</v>
      </c>
      <c r="P2794">
        <v>3833</v>
      </c>
    </row>
    <row r="2795" spans="15:16" x14ac:dyDescent="0.45">
      <c r="O2795" t="s">
        <v>9349</v>
      </c>
      <c r="P2795">
        <v>3294</v>
      </c>
    </row>
    <row r="2796" spans="15:16" x14ac:dyDescent="0.45">
      <c r="O2796" t="s">
        <v>9350</v>
      </c>
      <c r="P2796">
        <v>3294</v>
      </c>
    </row>
    <row r="2797" spans="15:16" x14ac:dyDescent="0.45">
      <c r="O2797" t="s">
        <v>9351</v>
      </c>
      <c r="P2797">
        <v>3084</v>
      </c>
    </row>
    <row r="2798" spans="15:16" x14ac:dyDescent="0.45">
      <c r="O2798" t="s">
        <v>9352</v>
      </c>
      <c r="P2798">
        <v>3591</v>
      </c>
    </row>
    <row r="2799" spans="15:16" x14ac:dyDescent="0.45">
      <c r="O2799" t="s">
        <v>9353</v>
      </c>
      <c r="P2799">
        <v>3669</v>
      </c>
    </row>
    <row r="2800" spans="15:16" x14ac:dyDescent="0.45">
      <c r="O2800" t="s">
        <v>9354</v>
      </c>
      <c r="P2800">
        <v>3325</v>
      </c>
    </row>
    <row r="2801" spans="15:16" x14ac:dyDescent="0.45">
      <c r="O2801" t="s">
        <v>9355</v>
      </c>
      <c r="P2801">
        <v>3325</v>
      </c>
    </row>
    <row r="2802" spans="15:16" x14ac:dyDescent="0.45">
      <c r="O2802" t="s">
        <v>9356</v>
      </c>
      <c r="P2802">
        <v>3885</v>
      </c>
    </row>
    <row r="2803" spans="15:16" x14ac:dyDescent="0.45">
      <c r="O2803" t="s">
        <v>9357</v>
      </c>
      <c r="P2803">
        <v>3637</v>
      </c>
    </row>
    <row r="2804" spans="15:16" x14ac:dyDescent="0.45">
      <c r="O2804" t="s">
        <v>9358</v>
      </c>
      <c r="P2804">
        <v>3551</v>
      </c>
    </row>
    <row r="2805" spans="15:16" x14ac:dyDescent="0.45">
      <c r="O2805" t="s">
        <v>9359</v>
      </c>
      <c r="P2805">
        <v>3269</v>
      </c>
    </row>
    <row r="2806" spans="15:16" x14ac:dyDescent="0.45">
      <c r="O2806" t="s">
        <v>9360</v>
      </c>
      <c r="P2806">
        <v>3678</v>
      </c>
    </row>
    <row r="2807" spans="15:16" x14ac:dyDescent="0.45">
      <c r="O2807" t="s">
        <v>9361</v>
      </c>
      <c r="P2807">
        <v>3646</v>
      </c>
    </row>
    <row r="2808" spans="15:16" x14ac:dyDescent="0.45">
      <c r="O2808" t="s">
        <v>9362</v>
      </c>
      <c r="P2808">
        <v>3687</v>
      </c>
    </row>
    <row r="2809" spans="15:16" x14ac:dyDescent="0.45">
      <c r="O2809" t="s">
        <v>9363</v>
      </c>
      <c r="P2809">
        <v>3608</v>
      </c>
    </row>
    <row r="2810" spans="15:16" x14ac:dyDescent="0.45">
      <c r="O2810" t="s">
        <v>9364</v>
      </c>
      <c r="P2810">
        <v>3401</v>
      </c>
    </row>
    <row r="2811" spans="15:16" x14ac:dyDescent="0.45">
      <c r="O2811" t="s">
        <v>9365</v>
      </c>
      <c r="P2811">
        <v>3887</v>
      </c>
    </row>
    <row r="2812" spans="15:16" x14ac:dyDescent="0.45">
      <c r="O2812" t="s">
        <v>9366</v>
      </c>
      <c r="P2812">
        <v>3544</v>
      </c>
    </row>
    <row r="2813" spans="15:16" x14ac:dyDescent="0.45">
      <c r="O2813" t="s">
        <v>9367</v>
      </c>
      <c r="P2813">
        <v>3385</v>
      </c>
    </row>
    <row r="2814" spans="15:16" x14ac:dyDescent="0.45">
      <c r="O2814" t="s">
        <v>9368</v>
      </c>
      <c r="P2814">
        <v>3678</v>
      </c>
    </row>
    <row r="2815" spans="15:16" x14ac:dyDescent="0.45">
      <c r="O2815" t="s">
        <v>9369</v>
      </c>
      <c r="P2815">
        <v>3825</v>
      </c>
    </row>
    <row r="2816" spans="15:16" x14ac:dyDescent="0.45">
      <c r="O2816" t="s">
        <v>9370</v>
      </c>
      <c r="P2816">
        <v>3825</v>
      </c>
    </row>
    <row r="2817" spans="15:16" x14ac:dyDescent="0.45">
      <c r="O2817" t="s">
        <v>9371</v>
      </c>
      <c r="P2817">
        <v>3956</v>
      </c>
    </row>
    <row r="2818" spans="15:16" x14ac:dyDescent="0.45">
      <c r="O2818" t="s">
        <v>9372</v>
      </c>
      <c r="P2818">
        <v>3956</v>
      </c>
    </row>
    <row r="2819" spans="15:16" x14ac:dyDescent="0.45">
      <c r="O2819" t="s">
        <v>9373</v>
      </c>
      <c r="P2819">
        <v>3956</v>
      </c>
    </row>
    <row r="2820" spans="15:16" x14ac:dyDescent="0.45">
      <c r="O2820" t="s">
        <v>9374</v>
      </c>
      <c r="P2820">
        <v>3352</v>
      </c>
    </row>
    <row r="2821" spans="15:16" x14ac:dyDescent="0.45">
      <c r="O2821" t="s">
        <v>9375</v>
      </c>
      <c r="P2821">
        <v>3303</v>
      </c>
    </row>
    <row r="2822" spans="15:16" x14ac:dyDescent="0.45">
      <c r="O2822" t="s">
        <v>9376</v>
      </c>
      <c r="P2822">
        <v>3891</v>
      </c>
    </row>
    <row r="2823" spans="15:16" x14ac:dyDescent="0.45">
      <c r="O2823" t="s">
        <v>9377</v>
      </c>
      <c r="P2823">
        <v>3387</v>
      </c>
    </row>
    <row r="2824" spans="15:16" x14ac:dyDescent="0.45">
      <c r="O2824" t="s">
        <v>9378</v>
      </c>
      <c r="P2824">
        <v>3387</v>
      </c>
    </row>
    <row r="2825" spans="15:16" x14ac:dyDescent="0.45">
      <c r="O2825" t="s">
        <v>9379</v>
      </c>
      <c r="P2825">
        <v>3756</v>
      </c>
    </row>
    <row r="2826" spans="15:16" x14ac:dyDescent="0.45">
      <c r="O2826" t="s">
        <v>9380</v>
      </c>
      <c r="P2826">
        <v>3351</v>
      </c>
    </row>
    <row r="2827" spans="15:16" x14ac:dyDescent="0.45">
      <c r="O2827" t="s">
        <v>9381</v>
      </c>
      <c r="P2827">
        <v>3222</v>
      </c>
    </row>
    <row r="2828" spans="15:16" x14ac:dyDescent="0.45">
      <c r="O2828" t="s">
        <v>9382</v>
      </c>
      <c r="P2828">
        <v>3401</v>
      </c>
    </row>
    <row r="2829" spans="15:16" x14ac:dyDescent="0.45">
      <c r="O2829" t="s">
        <v>9383</v>
      </c>
      <c r="P2829">
        <v>3463</v>
      </c>
    </row>
    <row r="2830" spans="15:16" x14ac:dyDescent="0.45">
      <c r="O2830" t="s">
        <v>9384</v>
      </c>
      <c r="P2830">
        <v>3875</v>
      </c>
    </row>
    <row r="2831" spans="15:16" x14ac:dyDescent="0.45">
      <c r="O2831" t="s">
        <v>9385</v>
      </c>
      <c r="P2831">
        <v>3507</v>
      </c>
    </row>
    <row r="2832" spans="15:16" x14ac:dyDescent="0.45">
      <c r="O2832" t="s">
        <v>9386</v>
      </c>
      <c r="P2832">
        <v>3709</v>
      </c>
    </row>
    <row r="2833" spans="15:16" x14ac:dyDescent="0.45">
      <c r="O2833" t="s">
        <v>9387</v>
      </c>
      <c r="P2833">
        <v>3612</v>
      </c>
    </row>
    <row r="2834" spans="15:16" x14ac:dyDescent="0.45">
      <c r="O2834" t="s">
        <v>9388</v>
      </c>
      <c r="P2834">
        <v>3216</v>
      </c>
    </row>
    <row r="2835" spans="15:16" x14ac:dyDescent="0.45">
      <c r="O2835" t="s">
        <v>9389</v>
      </c>
      <c r="P2835">
        <v>3579</v>
      </c>
    </row>
    <row r="2836" spans="15:16" x14ac:dyDescent="0.45">
      <c r="O2836" t="s">
        <v>9390</v>
      </c>
      <c r="P2836">
        <v>3744</v>
      </c>
    </row>
    <row r="2837" spans="15:16" x14ac:dyDescent="0.45">
      <c r="O2837" t="s">
        <v>9391</v>
      </c>
      <c r="P2837">
        <v>3139</v>
      </c>
    </row>
    <row r="2838" spans="15:16" x14ac:dyDescent="0.45">
      <c r="O2838" t="s">
        <v>9392</v>
      </c>
      <c r="P2838">
        <v>3139</v>
      </c>
    </row>
    <row r="2839" spans="15:16" x14ac:dyDescent="0.45">
      <c r="O2839" t="s">
        <v>9393</v>
      </c>
      <c r="P2839">
        <v>3312</v>
      </c>
    </row>
    <row r="2840" spans="15:16" x14ac:dyDescent="0.45">
      <c r="O2840" t="s">
        <v>9394</v>
      </c>
      <c r="P2840">
        <v>3312</v>
      </c>
    </row>
    <row r="2841" spans="15:16" x14ac:dyDescent="0.45">
      <c r="O2841" t="s">
        <v>9395</v>
      </c>
      <c r="P2841">
        <v>3758</v>
      </c>
    </row>
    <row r="2842" spans="15:16" x14ac:dyDescent="0.45">
      <c r="O2842" t="s">
        <v>9396</v>
      </c>
      <c r="P2842">
        <v>3549</v>
      </c>
    </row>
    <row r="2843" spans="15:16" x14ac:dyDescent="0.45">
      <c r="O2843" t="s">
        <v>9397</v>
      </c>
      <c r="P2843">
        <v>3678</v>
      </c>
    </row>
    <row r="2844" spans="15:16" x14ac:dyDescent="0.45">
      <c r="O2844" t="s">
        <v>9398</v>
      </c>
      <c r="P2844">
        <v>3891</v>
      </c>
    </row>
    <row r="2845" spans="15:16" x14ac:dyDescent="0.45">
      <c r="O2845" t="s">
        <v>9399</v>
      </c>
      <c r="P2845">
        <v>3677</v>
      </c>
    </row>
    <row r="2846" spans="15:16" x14ac:dyDescent="0.45">
      <c r="O2846" t="s">
        <v>9400</v>
      </c>
      <c r="P2846">
        <v>3678</v>
      </c>
    </row>
    <row r="2847" spans="15:16" x14ac:dyDescent="0.45">
      <c r="O2847" t="s">
        <v>9401</v>
      </c>
      <c r="P2847">
        <v>3678</v>
      </c>
    </row>
    <row r="2848" spans="15:16" x14ac:dyDescent="0.45">
      <c r="O2848" t="s">
        <v>9402</v>
      </c>
      <c r="P2848">
        <v>3530</v>
      </c>
    </row>
    <row r="2849" spans="15:16" x14ac:dyDescent="0.45">
      <c r="O2849" t="s">
        <v>9403</v>
      </c>
      <c r="P2849">
        <v>3279</v>
      </c>
    </row>
    <row r="2850" spans="15:16" x14ac:dyDescent="0.45">
      <c r="O2850" t="s">
        <v>9404</v>
      </c>
      <c r="P2850">
        <v>3301</v>
      </c>
    </row>
    <row r="2851" spans="15:16" x14ac:dyDescent="0.45">
      <c r="O2851" t="s">
        <v>9405</v>
      </c>
      <c r="P2851">
        <v>3152</v>
      </c>
    </row>
    <row r="2852" spans="15:16" x14ac:dyDescent="0.45">
      <c r="O2852" t="s">
        <v>9406</v>
      </c>
      <c r="P2852">
        <v>3152</v>
      </c>
    </row>
    <row r="2853" spans="15:16" x14ac:dyDescent="0.45">
      <c r="O2853" t="s">
        <v>9407</v>
      </c>
      <c r="P2853">
        <v>3616</v>
      </c>
    </row>
    <row r="2854" spans="15:16" x14ac:dyDescent="0.45">
      <c r="O2854" t="s">
        <v>9408</v>
      </c>
      <c r="P2854">
        <v>3612</v>
      </c>
    </row>
    <row r="2855" spans="15:16" x14ac:dyDescent="0.45">
      <c r="O2855" t="s">
        <v>9409</v>
      </c>
      <c r="P2855">
        <v>3959</v>
      </c>
    </row>
    <row r="2856" spans="15:16" x14ac:dyDescent="0.45">
      <c r="O2856" t="s">
        <v>9410</v>
      </c>
      <c r="P2856">
        <v>3799</v>
      </c>
    </row>
    <row r="2857" spans="15:16" x14ac:dyDescent="0.45">
      <c r="O2857" t="s">
        <v>9411</v>
      </c>
      <c r="P2857">
        <v>3465</v>
      </c>
    </row>
    <row r="2858" spans="15:16" x14ac:dyDescent="0.45">
      <c r="O2858" t="s">
        <v>9412</v>
      </c>
      <c r="P2858">
        <v>3505</v>
      </c>
    </row>
    <row r="2859" spans="15:16" x14ac:dyDescent="0.45">
      <c r="O2859" t="s">
        <v>9413</v>
      </c>
      <c r="P2859">
        <v>3482</v>
      </c>
    </row>
    <row r="2860" spans="15:16" x14ac:dyDescent="0.45">
      <c r="O2860" t="s">
        <v>9414</v>
      </c>
      <c r="P2860">
        <v>3243</v>
      </c>
    </row>
    <row r="2861" spans="15:16" x14ac:dyDescent="0.45">
      <c r="O2861" t="s">
        <v>9415</v>
      </c>
      <c r="P2861">
        <v>3530</v>
      </c>
    </row>
    <row r="2862" spans="15:16" x14ac:dyDescent="0.45">
      <c r="O2862" t="s">
        <v>9416</v>
      </c>
      <c r="P2862">
        <v>3980</v>
      </c>
    </row>
    <row r="2863" spans="15:16" x14ac:dyDescent="0.45">
      <c r="O2863" t="s">
        <v>9417</v>
      </c>
      <c r="P2863">
        <v>3286</v>
      </c>
    </row>
    <row r="2864" spans="15:16" x14ac:dyDescent="0.45">
      <c r="O2864" t="s">
        <v>9418</v>
      </c>
      <c r="P2864">
        <v>3393</v>
      </c>
    </row>
    <row r="2865" spans="15:16" x14ac:dyDescent="0.45">
      <c r="O2865" t="s">
        <v>9419</v>
      </c>
      <c r="P2865">
        <v>3820</v>
      </c>
    </row>
    <row r="2866" spans="15:16" x14ac:dyDescent="0.45">
      <c r="O2866" t="s">
        <v>9420</v>
      </c>
      <c r="P2866">
        <v>3821</v>
      </c>
    </row>
    <row r="2867" spans="15:16" x14ac:dyDescent="0.45">
      <c r="O2867" t="s">
        <v>9421</v>
      </c>
      <c r="P2867">
        <v>3821</v>
      </c>
    </row>
    <row r="2868" spans="15:16" x14ac:dyDescent="0.45">
      <c r="O2868" t="s">
        <v>9422</v>
      </c>
      <c r="P2868">
        <v>3377</v>
      </c>
    </row>
    <row r="2869" spans="15:16" x14ac:dyDescent="0.45">
      <c r="O2869" t="s">
        <v>9423</v>
      </c>
      <c r="P2869">
        <v>3113</v>
      </c>
    </row>
    <row r="2870" spans="15:16" x14ac:dyDescent="0.45">
      <c r="O2870" t="s">
        <v>9424</v>
      </c>
      <c r="P2870">
        <v>3134</v>
      </c>
    </row>
    <row r="2871" spans="15:16" x14ac:dyDescent="0.45">
      <c r="O2871" t="s">
        <v>9425</v>
      </c>
      <c r="P2871">
        <v>3134</v>
      </c>
    </row>
    <row r="2872" spans="15:16" x14ac:dyDescent="0.45">
      <c r="O2872" t="s">
        <v>9426</v>
      </c>
      <c r="P2872">
        <v>3301</v>
      </c>
    </row>
    <row r="2873" spans="15:16" x14ac:dyDescent="0.45">
      <c r="O2873" t="s">
        <v>9427</v>
      </c>
      <c r="P2873">
        <v>3670</v>
      </c>
    </row>
    <row r="2874" spans="15:16" x14ac:dyDescent="0.45">
      <c r="O2874" t="s">
        <v>9428</v>
      </c>
      <c r="P2874">
        <v>3352</v>
      </c>
    </row>
    <row r="2875" spans="15:16" x14ac:dyDescent="0.45">
      <c r="O2875" t="s">
        <v>9429</v>
      </c>
      <c r="P2875">
        <v>3478</v>
      </c>
    </row>
    <row r="2876" spans="15:16" x14ac:dyDescent="0.45">
      <c r="O2876" t="s">
        <v>9430</v>
      </c>
      <c r="P2876">
        <v>3249</v>
      </c>
    </row>
    <row r="2877" spans="15:16" x14ac:dyDescent="0.45">
      <c r="O2877" t="s">
        <v>9431</v>
      </c>
      <c r="P2877">
        <v>3280</v>
      </c>
    </row>
    <row r="2878" spans="15:16" x14ac:dyDescent="0.45">
      <c r="O2878" t="s">
        <v>9432</v>
      </c>
      <c r="P2878">
        <v>3312</v>
      </c>
    </row>
    <row r="2879" spans="15:16" x14ac:dyDescent="0.45">
      <c r="O2879" t="s">
        <v>9433</v>
      </c>
      <c r="P2879">
        <v>3283</v>
      </c>
    </row>
    <row r="2880" spans="15:16" x14ac:dyDescent="0.45">
      <c r="O2880" t="s">
        <v>9434</v>
      </c>
      <c r="P2880">
        <v>3401</v>
      </c>
    </row>
    <row r="2881" spans="15:16" x14ac:dyDescent="0.45">
      <c r="O2881" t="s">
        <v>9435</v>
      </c>
      <c r="P2881">
        <v>3482</v>
      </c>
    </row>
    <row r="2882" spans="15:16" x14ac:dyDescent="0.45">
      <c r="O2882" t="s">
        <v>9436</v>
      </c>
      <c r="P2882">
        <v>3482</v>
      </c>
    </row>
    <row r="2883" spans="15:16" x14ac:dyDescent="0.45">
      <c r="O2883" t="s">
        <v>9437</v>
      </c>
      <c r="P2883">
        <v>3485</v>
      </c>
    </row>
    <row r="2884" spans="15:16" x14ac:dyDescent="0.45">
      <c r="O2884" t="s">
        <v>9438</v>
      </c>
      <c r="P2884">
        <v>3862</v>
      </c>
    </row>
    <row r="2885" spans="15:16" x14ac:dyDescent="0.45">
      <c r="O2885" t="s">
        <v>9439</v>
      </c>
      <c r="P2885">
        <v>3658</v>
      </c>
    </row>
    <row r="2886" spans="15:16" x14ac:dyDescent="0.45">
      <c r="O2886" t="s">
        <v>9440</v>
      </c>
      <c r="P2886">
        <v>3038</v>
      </c>
    </row>
    <row r="2887" spans="15:16" x14ac:dyDescent="0.45">
      <c r="O2887" t="s">
        <v>9441</v>
      </c>
      <c r="P2887">
        <v>3875</v>
      </c>
    </row>
    <row r="2888" spans="15:16" x14ac:dyDescent="0.45">
      <c r="O2888" t="s">
        <v>9442</v>
      </c>
      <c r="P2888">
        <v>3373</v>
      </c>
    </row>
    <row r="2889" spans="15:16" x14ac:dyDescent="0.45">
      <c r="O2889" t="s">
        <v>9443</v>
      </c>
      <c r="P2889">
        <v>3195</v>
      </c>
    </row>
    <row r="2890" spans="15:16" x14ac:dyDescent="0.45">
      <c r="O2890" t="s">
        <v>9444</v>
      </c>
      <c r="P2890">
        <v>3087</v>
      </c>
    </row>
    <row r="2891" spans="15:16" x14ac:dyDescent="0.45">
      <c r="O2891" t="s">
        <v>9445</v>
      </c>
      <c r="P2891">
        <v>3087</v>
      </c>
    </row>
    <row r="2892" spans="15:16" x14ac:dyDescent="0.45">
      <c r="O2892" t="s">
        <v>9446</v>
      </c>
      <c r="P2892">
        <v>3097</v>
      </c>
    </row>
    <row r="2893" spans="15:16" x14ac:dyDescent="0.45">
      <c r="O2893" t="s">
        <v>9447</v>
      </c>
      <c r="P2893">
        <v>3995</v>
      </c>
    </row>
    <row r="2894" spans="15:16" x14ac:dyDescent="0.45">
      <c r="O2894" t="s">
        <v>9448</v>
      </c>
      <c r="P2894">
        <v>3384</v>
      </c>
    </row>
    <row r="2895" spans="15:16" x14ac:dyDescent="0.45">
      <c r="O2895" t="s">
        <v>9449</v>
      </c>
      <c r="P2895">
        <v>3352</v>
      </c>
    </row>
    <row r="2896" spans="15:16" x14ac:dyDescent="0.45">
      <c r="O2896" t="s">
        <v>9450</v>
      </c>
      <c r="P2896">
        <v>3096</v>
      </c>
    </row>
    <row r="2897" spans="15:16" x14ac:dyDescent="0.45">
      <c r="O2897" t="s">
        <v>9451</v>
      </c>
      <c r="P2897">
        <v>3237</v>
      </c>
    </row>
    <row r="2898" spans="15:16" x14ac:dyDescent="0.45">
      <c r="O2898" t="s">
        <v>9452</v>
      </c>
      <c r="P2898">
        <v>3128</v>
      </c>
    </row>
    <row r="2899" spans="15:16" x14ac:dyDescent="0.45">
      <c r="O2899" t="s">
        <v>9453</v>
      </c>
      <c r="P2899">
        <v>3145</v>
      </c>
    </row>
    <row r="2900" spans="15:16" x14ac:dyDescent="0.45">
      <c r="O2900" t="s">
        <v>9454</v>
      </c>
      <c r="P2900">
        <v>3352</v>
      </c>
    </row>
    <row r="2901" spans="15:16" x14ac:dyDescent="0.45">
      <c r="O2901" t="s">
        <v>9455</v>
      </c>
      <c r="P2901">
        <v>3216</v>
      </c>
    </row>
    <row r="2902" spans="15:16" x14ac:dyDescent="0.45">
      <c r="O2902" t="s">
        <v>9456</v>
      </c>
      <c r="P2902">
        <v>3170</v>
      </c>
    </row>
    <row r="2903" spans="15:16" x14ac:dyDescent="0.45">
      <c r="O2903" t="s">
        <v>9457</v>
      </c>
      <c r="P2903">
        <v>3888</v>
      </c>
    </row>
    <row r="2904" spans="15:16" x14ac:dyDescent="0.45">
      <c r="O2904" t="s">
        <v>9458</v>
      </c>
      <c r="P2904">
        <v>3352</v>
      </c>
    </row>
    <row r="2905" spans="15:16" x14ac:dyDescent="0.45">
      <c r="O2905" t="s">
        <v>9459</v>
      </c>
      <c r="P2905">
        <v>3518</v>
      </c>
    </row>
    <row r="2906" spans="15:16" x14ac:dyDescent="0.45">
      <c r="O2906" t="s">
        <v>9460</v>
      </c>
      <c r="P2906">
        <v>3518</v>
      </c>
    </row>
    <row r="2907" spans="15:16" x14ac:dyDescent="0.45">
      <c r="O2907" t="s">
        <v>9461</v>
      </c>
      <c r="P2907">
        <v>3568</v>
      </c>
    </row>
    <row r="2908" spans="15:16" x14ac:dyDescent="0.45">
      <c r="O2908" t="s">
        <v>9462</v>
      </c>
      <c r="P2908">
        <v>3237</v>
      </c>
    </row>
    <row r="2909" spans="15:16" x14ac:dyDescent="0.45">
      <c r="O2909" t="s">
        <v>9463</v>
      </c>
      <c r="P2909">
        <v>3251</v>
      </c>
    </row>
    <row r="2910" spans="15:16" x14ac:dyDescent="0.45">
      <c r="O2910" t="s">
        <v>9464</v>
      </c>
      <c r="P2910">
        <v>3260</v>
      </c>
    </row>
    <row r="2911" spans="15:16" x14ac:dyDescent="0.45">
      <c r="O2911" t="s">
        <v>9465</v>
      </c>
      <c r="P2911">
        <v>3518</v>
      </c>
    </row>
    <row r="2912" spans="15:16" x14ac:dyDescent="0.45">
      <c r="O2912" t="s">
        <v>9466</v>
      </c>
      <c r="P2912">
        <v>3551</v>
      </c>
    </row>
    <row r="2913" spans="15:16" x14ac:dyDescent="0.45">
      <c r="O2913" t="s">
        <v>9467</v>
      </c>
      <c r="P2913">
        <v>3462</v>
      </c>
    </row>
    <row r="2914" spans="15:16" x14ac:dyDescent="0.45">
      <c r="O2914" t="s">
        <v>9468</v>
      </c>
      <c r="P2914">
        <v>3966</v>
      </c>
    </row>
    <row r="2915" spans="15:16" x14ac:dyDescent="0.45">
      <c r="O2915" t="s">
        <v>9469</v>
      </c>
      <c r="P2915">
        <v>3549</v>
      </c>
    </row>
    <row r="2916" spans="15:16" x14ac:dyDescent="0.45">
      <c r="O2916" t="s">
        <v>9470</v>
      </c>
      <c r="P2916">
        <v>3355</v>
      </c>
    </row>
    <row r="2917" spans="15:16" x14ac:dyDescent="0.45">
      <c r="O2917" t="s">
        <v>9471</v>
      </c>
      <c r="P2917">
        <v>3355</v>
      </c>
    </row>
    <row r="2918" spans="15:16" x14ac:dyDescent="0.45">
      <c r="O2918" t="s">
        <v>9472</v>
      </c>
      <c r="P2918">
        <v>3241</v>
      </c>
    </row>
    <row r="2919" spans="15:16" x14ac:dyDescent="0.45">
      <c r="O2919" t="s">
        <v>9473</v>
      </c>
      <c r="P2919">
        <v>3875</v>
      </c>
    </row>
    <row r="2920" spans="15:16" x14ac:dyDescent="0.45">
      <c r="O2920" t="s">
        <v>9474</v>
      </c>
      <c r="P2920">
        <v>3186</v>
      </c>
    </row>
    <row r="2921" spans="15:16" x14ac:dyDescent="0.45">
      <c r="O2921" t="s">
        <v>9475</v>
      </c>
      <c r="P2921">
        <v>3352</v>
      </c>
    </row>
    <row r="2922" spans="15:16" x14ac:dyDescent="0.45">
      <c r="O2922" t="s">
        <v>9476</v>
      </c>
      <c r="P2922">
        <v>3364</v>
      </c>
    </row>
    <row r="2923" spans="15:16" x14ac:dyDescent="0.45">
      <c r="O2923" t="s">
        <v>9477</v>
      </c>
      <c r="P2923">
        <v>3030</v>
      </c>
    </row>
    <row r="2924" spans="15:16" x14ac:dyDescent="0.45">
      <c r="O2924" t="s">
        <v>9478</v>
      </c>
      <c r="P2924">
        <v>3030</v>
      </c>
    </row>
    <row r="2925" spans="15:16" x14ac:dyDescent="0.45">
      <c r="O2925" t="s">
        <v>9479</v>
      </c>
      <c r="P2925">
        <v>3496</v>
      </c>
    </row>
    <row r="2926" spans="15:16" x14ac:dyDescent="0.45">
      <c r="O2926" t="s">
        <v>9480</v>
      </c>
      <c r="P2926">
        <v>3799</v>
      </c>
    </row>
    <row r="2927" spans="15:16" x14ac:dyDescent="0.45">
      <c r="O2927" t="s">
        <v>9481</v>
      </c>
      <c r="P2927">
        <v>3550</v>
      </c>
    </row>
    <row r="2928" spans="15:16" x14ac:dyDescent="0.45">
      <c r="O2928" t="s">
        <v>9482</v>
      </c>
      <c r="P2928">
        <v>3992</v>
      </c>
    </row>
    <row r="2929" spans="15:16" x14ac:dyDescent="0.45">
      <c r="O2929" t="s">
        <v>9483</v>
      </c>
      <c r="P2929">
        <v>3012</v>
      </c>
    </row>
    <row r="2930" spans="15:16" x14ac:dyDescent="0.45">
      <c r="O2930" t="s">
        <v>9484</v>
      </c>
      <c r="P2930">
        <v>3003</v>
      </c>
    </row>
    <row r="2931" spans="15:16" x14ac:dyDescent="0.45">
      <c r="O2931" t="s">
        <v>9485</v>
      </c>
      <c r="P2931">
        <v>3690</v>
      </c>
    </row>
    <row r="2932" spans="15:16" x14ac:dyDescent="0.45">
      <c r="O2932" t="s">
        <v>9486</v>
      </c>
      <c r="P2932">
        <v>3825</v>
      </c>
    </row>
    <row r="2933" spans="15:16" x14ac:dyDescent="0.45">
      <c r="O2933" t="s">
        <v>9487</v>
      </c>
      <c r="P2933">
        <v>3579</v>
      </c>
    </row>
    <row r="2934" spans="15:16" x14ac:dyDescent="0.45">
      <c r="O2934" t="s">
        <v>9488</v>
      </c>
      <c r="P2934">
        <v>3049</v>
      </c>
    </row>
    <row r="2935" spans="15:16" x14ac:dyDescent="0.45">
      <c r="O2935" t="s">
        <v>9489</v>
      </c>
      <c r="P2935">
        <v>3351</v>
      </c>
    </row>
    <row r="2936" spans="15:16" x14ac:dyDescent="0.45">
      <c r="O2936" t="s">
        <v>9490</v>
      </c>
      <c r="P2936">
        <v>3714</v>
      </c>
    </row>
    <row r="2937" spans="15:16" x14ac:dyDescent="0.45">
      <c r="O2937" t="s">
        <v>9491</v>
      </c>
      <c r="P2937">
        <v>3564</v>
      </c>
    </row>
    <row r="2938" spans="15:16" x14ac:dyDescent="0.45">
      <c r="O2938" t="s">
        <v>9492</v>
      </c>
      <c r="P2938">
        <v>3461</v>
      </c>
    </row>
    <row r="2939" spans="15:16" x14ac:dyDescent="0.45">
      <c r="O2939" t="s">
        <v>9493</v>
      </c>
      <c r="P2939">
        <v>3150</v>
      </c>
    </row>
    <row r="2940" spans="15:16" x14ac:dyDescent="0.45">
      <c r="O2940" t="s">
        <v>9494</v>
      </c>
      <c r="P2940">
        <v>3556</v>
      </c>
    </row>
    <row r="2941" spans="15:16" x14ac:dyDescent="0.45">
      <c r="O2941" t="s">
        <v>9495</v>
      </c>
      <c r="P2941">
        <v>3483</v>
      </c>
    </row>
    <row r="2942" spans="15:16" x14ac:dyDescent="0.45">
      <c r="O2942" t="s">
        <v>9496</v>
      </c>
      <c r="P2942">
        <v>3550</v>
      </c>
    </row>
    <row r="2943" spans="15:16" x14ac:dyDescent="0.45">
      <c r="O2943" t="s">
        <v>9497</v>
      </c>
      <c r="P2943">
        <v>3660</v>
      </c>
    </row>
    <row r="2944" spans="15:16" x14ac:dyDescent="0.45">
      <c r="O2944" t="s">
        <v>9498</v>
      </c>
      <c r="P2944">
        <v>3950</v>
      </c>
    </row>
    <row r="2945" spans="15:16" x14ac:dyDescent="0.45">
      <c r="O2945" t="s">
        <v>9499</v>
      </c>
      <c r="P2945">
        <v>3733</v>
      </c>
    </row>
    <row r="2946" spans="15:16" x14ac:dyDescent="0.45">
      <c r="O2946" t="s">
        <v>9500</v>
      </c>
      <c r="P2946">
        <v>3678</v>
      </c>
    </row>
    <row r="2947" spans="15:16" x14ac:dyDescent="0.45">
      <c r="O2947" t="s">
        <v>9501</v>
      </c>
      <c r="P2947">
        <v>3219</v>
      </c>
    </row>
    <row r="2948" spans="15:16" x14ac:dyDescent="0.45">
      <c r="O2948" t="s">
        <v>9502</v>
      </c>
      <c r="P2948">
        <v>3757</v>
      </c>
    </row>
    <row r="2949" spans="15:16" x14ac:dyDescent="0.45">
      <c r="O2949" t="s">
        <v>9503</v>
      </c>
      <c r="P2949">
        <v>3243</v>
      </c>
    </row>
    <row r="2950" spans="15:16" x14ac:dyDescent="0.45">
      <c r="O2950" t="s">
        <v>9504</v>
      </c>
      <c r="P2950">
        <v>3735</v>
      </c>
    </row>
    <row r="2951" spans="15:16" x14ac:dyDescent="0.45">
      <c r="O2951" t="s">
        <v>9505</v>
      </c>
      <c r="P2951">
        <v>3735</v>
      </c>
    </row>
    <row r="2952" spans="15:16" x14ac:dyDescent="0.45">
      <c r="O2952" t="s">
        <v>9506</v>
      </c>
      <c r="P2952">
        <v>3735</v>
      </c>
    </row>
    <row r="2953" spans="15:16" x14ac:dyDescent="0.45">
      <c r="O2953" t="s">
        <v>9507</v>
      </c>
      <c r="P2953">
        <v>3612</v>
      </c>
    </row>
    <row r="2954" spans="15:16" x14ac:dyDescent="0.45">
      <c r="O2954" t="s">
        <v>9508</v>
      </c>
      <c r="P2954">
        <v>3379</v>
      </c>
    </row>
    <row r="2955" spans="15:16" x14ac:dyDescent="0.45">
      <c r="O2955" t="s">
        <v>9509</v>
      </c>
      <c r="P2955">
        <v>3728</v>
      </c>
    </row>
    <row r="2956" spans="15:16" x14ac:dyDescent="0.45">
      <c r="O2956" t="s">
        <v>9510</v>
      </c>
      <c r="P2956">
        <v>3953</v>
      </c>
    </row>
    <row r="2957" spans="15:16" x14ac:dyDescent="0.45">
      <c r="O2957" t="s">
        <v>9511</v>
      </c>
      <c r="P2957">
        <v>3429</v>
      </c>
    </row>
    <row r="2958" spans="15:16" x14ac:dyDescent="0.45">
      <c r="O2958" t="s">
        <v>9512</v>
      </c>
      <c r="P2958">
        <v>3393</v>
      </c>
    </row>
    <row r="2959" spans="15:16" x14ac:dyDescent="0.45">
      <c r="O2959" t="s">
        <v>9513</v>
      </c>
      <c r="P2959">
        <v>3485</v>
      </c>
    </row>
    <row r="2960" spans="15:16" x14ac:dyDescent="0.45">
      <c r="O2960" t="s">
        <v>9514</v>
      </c>
      <c r="P2960">
        <v>3283</v>
      </c>
    </row>
    <row r="2961" spans="15:16" x14ac:dyDescent="0.45">
      <c r="O2961" t="s">
        <v>9515</v>
      </c>
      <c r="P2961">
        <v>3379</v>
      </c>
    </row>
    <row r="2962" spans="15:16" x14ac:dyDescent="0.45">
      <c r="O2962" t="s">
        <v>9516</v>
      </c>
      <c r="P2962">
        <v>3379</v>
      </c>
    </row>
    <row r="2963" spans="15:16" x14ac:dyDescent="0.45">
      <c r="O2963" t="s">
        <v>9517</v>
      </c>
      <c r="P2963">
        <v>3393</v>
      </c>
    </row>
    <row r="2964" spans="15:16" x14ac:dyDescent="0.45">
      <c r="O2964" t="s">
        <v>9518</v>
      </c>
      <c r="P2964">
        <v>3027</v>
      </c>
    </row>
    <row r="2965" spans="15:16" x14ac:dyDescent="0.45">
      <c r="O2965" t="s">
        <v>9519</v>
      </c>
      <c r="P2965">
        <v>3016</v>
      </c>
    </row>
    <row r="2966" spans="15:16" x14ac:dyDescent="0.45">
      <c r="O2966" t="s">
        <v>9520</v>
      </c>
      <c r="P2966">
        <v>3016</v>
      </c>
    </row>
    <row r="2967" spans="15:16" x14ac:dyDescent="0.45">
      <c r="O2967" t="s">
        <v>9521</v>
      </c>
      <c r="P2967">
        <v>3825</v>
      </c>
    </row>
    <row r="2968" spans="15:16" x14ac:dyDescent="0.45">
      <c r="O2968" t="s">
        <v>9522</v>
      </c>
      <c r="P2968">
        <v>3764</v>
      </c>
    </row>
    <row r="2969" spans="15:16" x14ac:dyDescent="0.45">
      <c r="O2969" t="s">
        <v>9523</v>
      </c>
      <c r="P2969">
        <v>3360</v>
      </c>
    </row>
    <row r="2970" spans="15:16" x14ac:dyDescent="0.45">
      <c r="O2970" t="s">
        <v>9524</v>
      </c>
      <c r="P2970">
        <v>3847</v>
      </c>
    </row>
    <row r="2971" spans="15:16" x14ac:dyDescent="0.45">
      <c r="O2971" t="s">
        <v>9525</v>
      </c>
      <c r="P2971">
        <v>3847</v>
      </c>
    </row>
    <row r="2972" spans="15:16" x14ac:dyDescent="0.45">
      <c r="O2972" t="s">
        <v>9526</v>
      </c>
      <c r="P2972">
        <v>3515</v>
      </c>
    </row>
    <row r="2973" spans="15:16" x14ac:dyDescent="0.45">
      <c r="O2973" t="s">
        <v>9527</v>
      </c>
      <c r="P2973">
        <v>3960</v>
      </c>
    </row>
    <row r="2974" spans="15:16" x14ac:dyDescent="0.45">
      <c r="O2974" t="s">
        <v>9528</v>
      </c>
      <c r="P2974">
        <v>3922</v>
      </c>
    </row>
    <row r="2975" spans="15:16" x14ac:dyDescent="0.45">
      <c r="O2975" t="s">
        <v>9529</v>
      </c>
      <c r="P2975">
        <v>3241</v>
      </c>
    </row>
    <row r="2976" spans="15:16" x14ac:dyDescent="0.45">
      <c r="O2976" t="s">
        <v>9530</v>
      </c>
      <c r="P2976">
        <v>3241</v>
      </c>
    </row>
    <row r="2977" spans="15:16" x14ac:dyDescent="0.45">
      <c r="O2977" t="s">
        <v>9531</v>
      </c>
      <c r="P2977">
        <v>3352</v>
      </c>
    </row>
    <row r="2978" spans="15:16" x14ac:dyDescent="0.45">
      <c r="O2978" t="s">
        <v>9532</v>
      </c>
      <c r="P2978">
        <v>3181</v>
      </c>
    </row>
    <row r="2979" spans="15:16" x14ac:dyDescent="0.45">
      <c r="O2979" t="s">
        <v>9533</v>
      </c>
      <c r="P2979">
        <v>3891</v>
      </c>
    </row>
    <row r="2980" spans="15:16" x14ac:dyDescent="0.45">
      <c r="O2980" t="s">
        <v>9534</v>
      </c>
      <c r="P2980">
        <v>3321</v>
      </c>
    </row>
    <row r="2981" spans="15:16" x14ac:dyDescent="0.45">
      <c r="O2981" t="s">
        <v>9535</v>
      </c>
      <c r="P2981">
        <v>3477</v>
      </c>
    </row>
    <row r="2982" spans="15:16" x14ac:dyDescent="0.45">
      <c r="O2982" t="s">
        <v>9536</v>
      </c>
      <c r="P2982">
        <v>3585</v>
      </c>
    </row>
    <row r="2983" spans="15:16" x14ac:dyDescent="0.45">
      <c r="O2983" t="s">
        <v>9537</v>
      </c>
      <c r="P2983">
        <v>3546</v>
      </c>
    </row>
    <row r="2984" spans="15:16" x14ac:dyDescent="0.45">
      <c r="O2984" t="s">
        <v>9538</v>
      </c>
      <c r="P2984">
        <v>3304</v>
      </c>
    </row>
    <row r="2985" spans="15:16" x14ac:dyDescent="0.45">
      <c r="O2985" t="s">
        <v>9539</v>
      </c>
      <c r="P2985">
        <v>3858</v>
      </c>
    </row>
    <row r="2986" spans="15:16" x14ac:dyDescent="0.45">
      <c r="O2986" t="s">
        <v>9540</v>
      </c>
      <c r="P2986">
        <v>3281</v>
      </c>
    </row>
    <row r="2987" spans="15:16" x14ac:dyDescent="0.45">
      <c r="O2987" t="s">
        <v>9541</v>
      </c>
      <c r="P2987">
        <v>3358</v>
      </c>
    </row>
    <row r="2988" spans="15:16" x14ac:dyDescent="0.45">
      <c r="O2988" t="s">
        <v>9542</v>
      </c>
      <c r="P2988">
        <v>3673</v>
      </c>
    </row>
    <row r="2989" spans="15:16" x14ac:dyDescent="0.45">
      <c r="O2989" t="s">
        <v>9543</v>
      </c>
      <c r="P2989">
        <v>3673</v>
      </c>
    </row>
    <row r="2990" spans="15:16" x14ac:dyDescent="0.45">
      <c r="O2990" t="s">
        <v>9544</v>
      </c>
      <c r="P2990">
        <v>3608</v>
      </c>
    </row>
    <row r="2991" spans="15:16" x14ac:dyDescent="0.45">
      <c r="O2991" t="s">
        <v>9545</v>
      </c>
      <c r="P2991">
        <v>3885</v>
      </c>
    </row>
    <row r="2992" spans="15:16" x14ac:dyDescent="0.45">
      <c r="O2992" t="s">
        <v>9546</v>
      </c>
      <c r="P2992">
        <v>3189</v>
      </c>
    </row>
    <row r="2993" spans="15:16" x14ac:dyDescent="0.45">
      <c r="O2993" t="s">
        <v>9547</v>
      </c>
      <c r="P2993">
        <v>3690</v>
      </c>
    </row>
    <row r="2994" spans="15:16" x14ac:dyDescent="0.45">
      <c r="O2994" t="s">
        <v>9548</v>
      </c>
      <c r="P2994">
        <v>3691</v>
      </c>
    </row>
    <row r="2995" spans="15:16" x14ac:dyDescent="0.45">
      <c r="O2995" t="s">
        <v>9549</v>
      </c>
      <c r="P2995">
        <v>3690</v>
      </c>
    </row>
    <row r="2996" spans="15:16" x14ac:dyDescent="0.45">
      <c r="O2996" t="s">
        <v>9550</v>
      </c>
      <c r="P2996">
        <v>3750</v>
      </c>
    </row>
    <row r="2997" spans="15:16" x14ac:dyDescent="0.45">
      <c r="O2997" t="s">
        <v>9551</v>
      </c>
      <c r="P2997">
        <v>3888</v>
      </c>
    </row>
    <row r="2998" spans="15:16" x14ac:dyDescent="0.45">
      <c r="O2998" t="s">
        <v>9552</v>
      </c>
      <c r="P2998">
        <v>3409</v>
      </c>
    </row>
    <row r="2999" spans="15:16" x14ac:dyDescent="0.45">
      <c r="O2999" t="s">
        <v>9553</v>
      </c>
      <c r="P2999">
        <v>3971</v>
      </c>
    </row>
    <row r="3000" spans="15:16" x14ac:dyDescent="0.45">
      <c r="O3000" t="s">
        <v>9554</v>
      </c>
      <c r="P3000">
        <v>3960</v>
      </c>
    </row>
    <row r="3001" spans="15:16" x14ac:dyDescent="0.45">
      <c r="O3001" t="s">
        <v>9555</v>
      </c>
      <c r="P3001">
        <v>3115</v>
      </c>
    </row>
    <row r="3002" spans="15:16" x14ac:dyDescent="0.45">
      <c r="O3002" t="s">
        <v>9556</v>
      </c>
      <c r="P3002">
        <v>3234</v>
      </c>
    </row>
    <row r="3003" spans="15:16" x14ac:dyDescent="0.45">
      <c r="O3003" t="s">
        <v>9557</v>
      </c>
      <c r="P3003">
        <v>3862</v>
      </c>
    </row>
    <row r="3004" spans="15:16" x14ac:dyDescent="0.45">
      <c r="O3004" t="s">
        <v>9558</v>
      </c>
      <c r="P3004">
        <v>3737</v>
      </c>
    </row>
    <row r="3005" spans="15:16" x14ac:dyDescent="0.45">
      <c r="O3005" t="s">
        <v>9559</v>
      </c>
      <c r="P3005">
        <v>3995</v>
      </c>
    </row>
    <row r="3006" spans="15:16" x14ac:dyDescent="0.45">
      <c r="O3006" t="s">
        <v>9560</v>
      </c>
      <c r="P3006">
        <v>3401</v>
      </c>
    </row>
    <row r="3007" spans="15:16" x14ac:dyDescent="0.45">
      <c r="O3007" t="s">
        <v>9561</v>
      </c>
      <c r="P3007">
        <v>3962</v>
      </c>
    </row>
    <row r="3008" spans="15:16" x14ac:dyDescent="0.45">
      <c r="O3008" t="s">
        <v>9562</v>
      </c>
      <c r="P3008">
        <v>3596</v>
      </c>
    </row>
    <row r="3009" spans="15:16" x14ac:dyDescent="0.45">
      <c r="O3009" t="s">
        <v>9563</v>
      </c>
      <c r="P3009">
        <v>3442</v>
      </c>
    </row>
    <row r="3010" spans="15:16" x14ac:dyDescent="0.45">
      <c r="O3010" t="s">
        <v>9564</v>
      </c>
      <c r="P3010">
        <v>3442</v>
      </c>
    </row>
    <row r="3011" spans="15:16" x14ac:dyDescent="0.45">
      <c r="O3011" t="s">
        <v>9565</v>
      </c>
      <c r="P3011">
        <v>3715</v>
      </c>
    </row>
    <row r="3012" spans="15:16" x14ac:dyDescent="0.45">
      <c r="O3012" t="s">
        <v>9566</v>
      </c>
      <c r="P3012">
        <v>3281</v>
      </c>
    </row>
    <row r="3013" spans="15:16" x14ac:dyDescent="0.45">
      <c r="O3013" t="s">
        <v>9567</v>
      </c>
      <c r="P3013">
        <v>3875</v>
      </c>
    </row>
    <row r="3014" spans="15:16" x14ac:dyDescent="0.45">
      <c r="O3014" t="s">
        <v>9568</v>
      </c>
      <c r="P3014">
        <v>3294</v>
      </c>
    </row>
    <row r="3015" spans="15:16" x14ac:dyDescent="0.45">
      <c r="O3015" t="s">
        <v>9569</v>
      </c>
      <c r="P3015">
        <v>3945</v>
      </c>
    </row>
    <row r="3016" spans="15:16" x14ac:dyDescent="0.45">
      <c r="O3016" t="s">
        <v>9570</v>
      </c>
      <c r="P3016">
        <v>3723</v>
      </c>
    </row>
    <row r="3017" spans="15:16" x14ac:dyDescent="0.45">
      <c r="O3017" t="s">
        <v>9571</v>
      </c>
      <c r="P3017">
        <v>3874</v>
      </c>
    </row>
    <row r="3018" spans="15:16" x14ac:dyDescent="0.45">
      <c r="O3018" t="s">
        <v>9572</v>
      </c>
      <c r="P3018">
        <v>3874</v>
      </c>
    </row>
    <row r="3019" spans="15:16" x14ac:dyDescent="0.45">
      <c r="O3019" t="s">
        <v>9573</v>
      </c>
      <c r="P3019">
        <v>3874</v>
      </c>
    </row>
    <row r="3020" spans="15:16" x14ac:dyDescent="0.45">
      <c r="O3020" t="s">
        <v>9574</v>
      </c>
      <c r="P3020">
        <v>3751</v>
      </c>
    </row>
    <row r="3021" spans="15:16" x14ac:dyDescent="0.45">
      <c r="O3021" t="s">
        <v>9575</v>
      </c>
      <c r="P3021">
        <v>3551</v>
      </c>
    </row>
    <row r="3022" spans="15:16" x14ac:dyDescent="0.45">
      <c r="O3022" t="s">
        <v>9576</v>
      </c>
      <c r="P3022">
        <v>3463</v>
      </c>
    </row>
    <row r="3023" spans="15:16" x14ac:dyDescent="0.45">
      <c r="O3023" t="s">
        <v>9577</v>
      </c>
      <c r="P3023">
        <v>3556</v>
      </c>
    </row>
    <row r="3024" spans="15:16" x14ac:dyDescent="0.45">
      <c r="O3024" t="s">
        <v>9578</v>
      </c>
      <c r="P3024">
        <v>3249</v>
      </c>
    </row>
    <row r="3025" spans="15:16" x14ac:dyDescent="0.45">
      <c r="O3025" t="s">
        <v>9579</v>
      </c>
      <c r="P3025">
        <v>3995</v>
      </c>
    </row>
    <row r="3026" spans="15:16" x14ac:dyDescent="0.45">
      <c r="O3026" t="s">
        <v>9580</v>
      </c>
      <c r="P3026">
        <v>3860</v>
      </c>
    </row>
    <row r="3027" spans="15:16" x14ac:dyDescent="0.45">
      <c r="O3027" t="s">
        <v>9581</v>
      </c>
      <c r="P3027">
        <v>3518</v>
      </c>
    </row>
    <row r="3028" spans="15:16" x14ac:dyDescent="0.45">
      <c r="O3028" t="s">
        <v>9582</v>
      </c>
      <c r="P3028">
        <v>3276</v>
      </c>
    </row>
    <row r="3029" spans="15:16" x14ac:dyDescent="0.45">
      <c r="O3029" t="s">
        <v>9583</v>
      </c>
      <c r="P3029">
        <v>3485</v>
      </c>
    </row>
    <row r="3030" spans="15:16" x14ac:dyDescent="0.45">
      <c r="O3030" t="s">
        <v>9584</v>
      </c>
      <c r="P3030">
        <v>3747</v>
      </c>
    </row>
    <row r="3031" spans="15:16" x14ac:dyDescent="0.45">
      <c r="O3031" t="s">
        <v>9585</v>
      </c>
      <c r="P3031">
        <v>3962</v>
      </c>
    </row>
    <row r="3032" spans="15:16" x14ac:dyDescent="0.45">
      <c r="O3032" t="s">
        <v>9586</v>
      </c>
      <c r="P3032">
        <v>3960</v>
      </c>
    </row>
    <row r="3033" spans="15:16" x14ac:dyDescent="0.45">
      <c r="O3033" t="s">
        <v>9587</v>
      </c>
      <c r="P3033">
        <v>3953</v>
      </c>
    </row>
    <row r="3034" spans="15:16" x14ac:dyDescent="0.45">
      <c r="O3034" t="s">
        <v>9588</v>
      </c>
      <c r="P3034">
        <v>3139</v>
      </c>
    </row>
    <row r="3035" spans="15:16" x14ac:dyDescent="0.45">
      <c r="O3035" t="s">
        <v>9589</v>
      </c>
      <c r="P3035">
        <v>3589</v>
      </c>
    </row>
    <row r="3036" spans="15:16" x14ac:dyDescent="0.45">
      <c r="O3036" t="s">
        <v>9590</v>
      </c>
      <c r="P3036">
        <v>3589</v>
      </c>
    </row>
    <row r="3037" spans="15:16" x14ac:dyDescent="0.45">
      <c r="O3037" t="s">
        <v>9591</v>
      </c>
      <c r="P3037">
        <v>3588</v>
      </c>
    </row>
    <row r="3038" spans="15:16" x14ac:dyDescent="0.45">
      <c r="O3038" t="s">
        <v>9592</v>
      </c>
      <c r="P3038">
        <v>3272</v>
      </c>
    </row>
    <row r="3039" spans="15:16" x14ac:dyDescent="0.45">
      <c r="O3039" t="s">
        <v>9593</v>
      </c>
      <c r="P3039">
        <v>3525</v>
      </c>
    </row>
    <row r="3040" spans="15:16" x14ac:dyDescent="0.45">
      <c r="O3040" t="s">
        <v>9594</v>
      </c>
      <c r="P3040">
        <v>3518</v>
      </c>
    </row>
    <row r="3041" spans="15:16" x14ac:dyDescent="0.45">
      <c r="O3041" t="s">
        <v>9595</v>
      </c>
      <c r="P3041">
        <v>3315</v>
      </c>
    </row>
    <row r="3042" spans="15:16" x14ac:dyDescent="0.45">
      <c r="O3042" t="s">
        <v>9596</v>
      </c>
      <c r="P3042">
        <v>3858</v>
      </c>
    </row>
    <row r="3043" spans="15:16" x14ac:dyDescent="0.45">
      <c r="O3043" t="s">
        <v>9597</v>
      </c>
      <c r="P3043">
        <v>3860</v>
      </c>
    </row>
    <row r="3044" spans="15:16" x14ac:dyDescent="0.45">
      <c r="O3044" t="s">
        <v>9598</v>
      </c>
      <c r="P3044">
        <v>3860</v>
      </c>
    </row>
    <row r="3045" spans="15:16" x14ac:dyDescent="0.45">
      <c r="O3045" t="s">
        <v>9599</v>
      </c>
      <c r="P3045">
        <v>3891</v>
      </c>
    </row>
    <row r="3046" spans="15:16" x14ac:dyDescent="0.45">
      <c r="O3046" t="s">
        <v>9600</v>
      </c>
      <c r="P3046">
        <v>3875</v>
      </c>
    </row>
    <row r="3047" spans="15:16" x14ac:dyDescent="0.45">
      <c r="O3047" t="s">
        <v>9601</v>
      </c>
      <c r="P3047">
        <v>3885</v>
      </c>
    </row>
    <row r="3048" spans="15:16" x14ac:dyDescent="0.45">
      <c r="O3048" t="s">
        <v>9602</v>
      </c>
      <c r="P3048">
        <v>3885</v>
      </c>
    </row>
    <row r="3049" spans="15:16" x14ac:dyDescent="0.45">
      <c r="O3049" t="s">
        <v>9603</v>
      </c>
      <c r="P3049">
        <v>3885</v>
      </c>
    </row>
    <row r="3050" spans="15:16" x14ac:dyDescent="0.45">
      <c r="O3050" t="s">
        <v>9604</v>
      </c>
      <c r="P3050">
        <v>3635</v>
      </c>
    </row>
    <row r="3051" spans="15:16" x14ac:dyDescent="0.45">
      <c r="O3051" t="s">
        <v>9605</v>
      </c>
      <c r="P3051">
        <v>3241</v>
      </c>
    </row>
    <row r="3052" spans="15:16" x14ac:dyDescent="0.45">
      <c r="O3052" t="s">
        <v>9606</v>
      </c>
      <c r="P3052">
        <v>3850</v>
      </c>
    </row>
    <row r="3053" spans="15:16" x14ac:dyDescent="0.45">
      <c r="O3053" t="s">
        <v>9607</v>
      </c>
      <c r="P3053">
        <v>3875</v>
      </c>
    </row>
    <row r="3054" spans="15:16" x14ac:dyDescent="0.45">
      <c r="O3054" t="s">
        <v>9608</v>
      </c>
      <c r="P3054">
        <v>3527</v>
      </c>
    </row>
    <row r="3055" spans="15:16" x14ac:dyDescent="0.45">
      <c r="O3055" t="s">
        <v>9609</v>
      </c>
      <c r="P3055">
        <v>3527</v>
      </c>
    </row>
    <row r="3056" spans="15:16" x14ac:dyDescent="0.45">
      <c r="O3056" t="s">
        <v>9610</v>
      </c>
      <c r="P3056">
        <v>3525</v>
      </c>
    </row>
    <row r="3057" spans="15:16" x14ac:dyDescent="0.45">
      <c r="O3057" t="s">
        <v>9611</v>
      </c>
      <c r="P3057">
        <v>3525</v>
      </c>
    </row>
    <row r="3058" spans="15:16" x14ac:dyDescent="0.45">
      <c r="O3058" t="s">
        <v>9612</v>
      </c>
      <c r="P3058">
        <v>3234</v>
      </c>
    </row>
    <row r="3059" spans="15:16" x14ac:dyDescent="0.45">
      <c r="O3059" t="s">
        <v>9613</v>
      </c>
      <c r="P3059">
        <v>3237</v>
      </c>
    </row>
    <row r="3060" spans="15:16" x14ac:dyDescent="0.45">
      <c r="O3060" t="s">
        <v>9614</v>
      </c>
      <c r="P3060">
        <v>3024</v>
      </c>
    </row>
    <row r="3061" spans="15:16" x14ac:dyDescent="0.45">
      <c r="O3061" t="s">
        <v>9615</v>
      </c>
      <c r="P3061">
        <v>3620</v>
      </c>
    </row>
    <row r="3062" spans="15:16" x14ac:dyDescent="0.45">
      <c r="O3062" t="s">
        <v>9616</v>
      </c>
      <c r="P3062">
        <v>3620</v>
      </c>
    </row>
    <row r="3063" spans="15:16" x14ac:dyDescent="0.45">
      <c r="O3063" t="s">
        <v>9617</v>
      </c>
      <c r="P3063">
        <v>3424</v>
      </c>
    </row>
    <row r="3064" spans="15:16" x14ac:dyDescent="0.45">
      <c r="O3064" t="s">
        <v>9618</v>
      </c>
      <c r="P3064">
        <v>3646</v>
      </c>
    </row>
    <row r="3065" spans="15:16" x14ac:dyDescent="0.45">
      <c r="O3065" t="s">
        <v>9619</v>
      </c>
      <c r="P3065">
        <v>3646</v>
      </c>
    </row>
    <row r="3066" spans="15:16" x14ac:dyDescent="0.45">
      <c r="O3066" t="s">
        <v>9620</v>
      </c>
      <c r="P3066">
        <v>3749</v>
      </c>
    </row>
    <row r="3067" spans="15:16" x14ac:dyDescent="0.45">
      <c r="O3067" t="s">
        <v>9621</v>
      </c>
      <c r="P3067">
        <v>3637</v>
      </c>
    </row>
    <row r="3068" spans="15:16" x14ac:dyDescent="0.45">
      <c r="O3068" t="s">
        <v>9622</v>
      </c>
      <c r="P3068">
        <v>3378</v>
      </c>
    </row>
    <row r="3069" spans="15:16" x14ac:dyDescent="0.45">
      <c r="O3069" t="s">
        <v>9623</v>
      </c>
      <c r="P3069">
        <v>3085</v>
      </c>
    </row>
    <row r="3070" spans="15:16" x14ac:dyDescent="0.45">
      <c r="O3070" t="s">
        <v>9624</v>
      </c>
      <c r="P3070">
        <v>3825</v>
      </c>
    </row>
    <row r="3071" spans="15:16" x14ac:dyDescent="0.45">
      <c r="O3071" t="s">
        <v>9625</v>
      </c>
      <c r="P3071">
        <v>3825</v>
      </c>
    </row>
    <row r="3072" spans="15:16" x14ac:dyDescent="0.45">
      <c r="O3072" t="s">
        <v>9626</v>
      </c>
      <c r="P3072">
        <v>3885</v>
      </c>
    </row>
    <row r="3073" spans="15:16" x14ac:dyDescent="0.45">
      <c r="O3073" t="s">
        <v>9627</v>
      </c>
      <c r="P3073">
        <v>3285</v>
      </c>
    </row>
    <row r="3074" spans="15:16" x14ac:dyDescent="0.45">
      <c r="O3074" t="s">
        <v>9628</v>
      </c>
      <c r="P3074">
        <v>3621</v>
      </c>
    </row>
    <row r="3075" spans="15:16" x14ac:dyDescent="0.45">
      <c r="O3075" t="s">
        <v>9629</v>
      </c>
      <c r="P3075">
        <v>3755</v>
      </c>
    </row>
    <row r="3076" spans="15:16" x14ac:dyDescent="0.45">
      <c r="O3076" t="s">
        <v>9630</v>
      </c>
      <c r="P3076">
        <v>3418</v>
      </c>
    </row>
    <row r="3077" spans="15:16" x14ac:dyDescent="0.45">
      <c r="O3077" t="s">
        <v>9631</v>
      </c>
      <c r="P3077">
        <v>3960</v>
      </c>
    </row>
    <row r="3078" spans="15:16" x14ac:dyDescent="0.45">
      <c r="O3078" t="s">
        <v>9632</v>
      </c>
      <c r="P3078">
        <v>3537</v>
      </c>
    </row>
    <row r="3079" spans="15:16" x14ac:dyDescent="0.45">
      <c r="O3079" t="s">
        <v>9633</v>
      </c>
      <c r="P3079">
        <v>3461</v>
      </c>
    </row>
    <row r="3080" spans="15:16" x14ac:dyDescent="0.45">
      <c r="O3080" t="s">
        <v>9634</v>
      </c>
      <c r="P3080">
        <v>3461</v>
      </c>
    </row>
    <row r="3081" spans="15:16" x14ac:dyDescent="0.45">
      <c r="O3081" t="s">
        <v>9635</v>
      </c>
      <c r="P3081">
        <v>3283</v>
      </c>
    </row>
    <row r="3082" spans="15:16" x14ac:dyDescent="0.45">
      <c r="O3082" t="s">
        <v>9636</v>
      </c>
      <c r="P3082">
        <v>3858</v>
      </c>
    </row>
    <row r="3083" spans="15:16" x14ac:dyDescent="0.45">
      <c r="O3083" t="s">
        <v>9637</v>
      </c>
      <c r="P3083">
        <v>3981</v>
      </c>
    </row>
    <row r="3084" spans="15:16" x14ac:dyDescent="0.45">
      <c r="O3084" t="s">
        <v>9638</v>
      </c>
      <c r="P3084">
        <v>3451</v>
      </c>
    </row>
    <row r="3085" spans="15:16" x14ac:dyDescent="0.45">
      <c r="O3085" t="s">
        <v>9639</v>
      </c>
      <c r="P3085">
        <v>3719</v>
      </c>
    </row>
    <row r="3086" spans="15:16" x14ac:dyDescent="0.45">
      <c r="O3086" t="s">
        <v>9640</v>
      </c>
      <c r="P3086">
        <v>3283</v>
      </c>
    </row>
    <row r="3087" spans="15:16" x14ac:dyDescent="0.45">
      <c r="O3087" t="s">
        <v>9641</v>
      </c>
      <c r="P3087">
        <v>3775</v>
      </c>
    </row>
    <row r="3088" spans="15:16" x14ac:dyDescent="0.45">
      <c r="O3088" t="s">
        <v>9642</v>
      </c>
      <c r="P3088">
        <v>3797</v>
      </c>
    </row>
    <row r="3089" spans="15:16" x14ac:dyDescent="0.45">
      <c r="O3089" t="s">
        <v>9643</v>
      </c>
      <c r="P3089">
        <v>3516</v>
      </c>
    </row>
    <row r="3090" spans="15:16" x14ac:dyDescent="0.45">
      <c r="O3090" t="s">
        <v>9644</v>
      </c>
      <c r="P3090">
        <v>3823</v>
      </c>
    </row>
    <row r="3091" spans="15:16" x14ac:dyDescent="0.45">
      <c r="O3091" t="s">
        <v>9645</v>
      </c>
      <c r="P3091">
        <v>3823</v>
      </c>
    </row>
    <row r="3092" spans="15:16" x14ac:dyDescent="0.45">
      <c r="O3092" t="s">
        <v>9646</v>
      </c>
      <c r="P3092">
        <v>3971</v>
      </c>
    </row>
    <row r="3093" spans="15:16" x14ac:dyDescent="0.45">
      <c r="O3093" t="s">
        <v>9647</v>
      </c>
      <c r="P3093">
        <v>3091</v>
      </c>
    </row>
    <row r="3094" spans="15:16" x14ac:dyDescent="0.45">
      <c r="O3094" t="s">
        <v>9648</v>
      </c>
      <c r="P3094">
        <v>3013</v>
      </c>
    </row>
    <row r="3095" spans="15:16" x14ac:dyDescent="0.45">
      <c r="O3095" t="s">
        <v>9649</v>
      </c>
      <c r="P3095">
        <v>3013</v>
      </c>
    </row>
    <row r="3096" spans="15:16" x14ac:dyDescent="0.45">
      <c r="O3096" t="s">
        <v>9650</v>
      </c>
      <c r="P3096">
        <v>3575</v>
      </c>
    </row>
    <row r="3097" spans="15:16" x14ac:dyDescent="0.45">
      <c r="O3097" t="s">
        <v>9651</v>
      </c>
      <c r="P3097">
        <v>3730</v>
      </c>
    </row>
    <row r="3098" spans="15:16" x14ac:dyDescent="0.45">
      <c r="O3098" t="s">
        <v>9652</v>
      </c>
      <c r="P3098">
        <v>3730</v>
      </c>
    </row>
    <row r="3099" spans="15:16" x14ac:dyDescent="0.45">
      <c r="O3099" t="s">
        <v>9653</v>
      </c>
      <c r="P3099">
        <v>3644</v>
      </c>
    </row>
    <row r="3100" spans="15:16" x14ac:dyDescent="0.45">
      <c r="O3100" t="s">
        <v>9654</v>
      </c>
      <c r="P3100">
        <v>3677</v>
      </c>
    </row>
    <row r="3101" spans="15:16" x14ac:dyDescent="0.45">
      <c r="O3101" t="s">
        <v>9655</v>
      </c>
      <c r="P3101">
        <v>3301</v>
      </c>
    </row>
    <row r="3102" spans="15:16" x14ac:dyDescent="0.45">
      <c r="O3102" t="s">
        <v>9656</v>
      </c>
      <c r="P3102">
        <v>3478</v>
      </c>
    </row>
    <row r="3103" spans="15:16" x14ac:dyDescent="0.45">
      <c r="O3103" t="s">
        <v>9657</v>
      </c>
      <c r="P3103">
        <v>3717</v>
      </c>
    </row>
    <row r="3104" spans="15:16" x14ac:dyDescent="0.45">
      <c r="O3104" t="s">
        <v>9658</v>
      </c>
      <c r="P3104">
        <v>3139</v>
      </c>
    </row>
    <row r="3105" spans="15:16" x14ac:dyDescent="0.45">
      <c r="O3105" t="s">
        <v>9659</v>
      </c>
      <c r="P3105">
        <v>3505</v>
      </c>
    </row>
    <row r="3106" spans="15:16" x14ac:dyDescent="0.45">
      <c r="O3106" t="s">
        <v>9660</v>
      </c>
      <c r="P3106">
        <v>3352</v>
      </c>
    </row>
    <row r="3107" spans="15:16" x14ac:dyDescent="0.45">
      <c r="O3107" t="s">
        <v>9661</v>
      </c>
      <c r="P3107">
        <v>3249</v>
      </c>
    </row>
    <row r="3108" spans="15:16" x14ac:dyDescent="0.45">
      <c r="O3108" t="s">
        <v>9662</v>
      </c>
      <c r="P3108">
        <v>3249</v>
      </c>
    </row>
    <row r="3109" spans="15:16" x14ac:dyDescent="0.45">
      <c r="O3109" t="s">
        <v>9663</v>
      </c>
      <c r="P3109">
        <v>3770</v>
      </c>
    </row>
    <row r="3110" spans="15:16" x14ac:dyDescent="0.45">
      <c r="O3110" t="s">
        <v>9664</v>
      </c>
      <c r="P3110">
        <v>3525</v>
      </c>
    </row>
    <row r="3111" spans="15:16" x14ac:dyDescent="0.45">
      <c r="O3111" t="s">
        <v>9665</v>
      </c>
      <c r="P3111">
        <v>3525</v>
      </c>
    </row>
    <row r="3112" spans="15:16" x14ac:dyDescent="0.45">
      <c r="O3112" t="s">
        <v>9666</v>
      </c>
      <c r="P3112">
        <v>3638</v>
      </c>
    </row>
    <row r="3113" spans="15:16" x14ac:dyDescent="0.45">
      <c r="O3113" t="s">
        <v>9667</v>
      </c>
      <c r="P3113">
        <v>3869</v>
      </c>
    </row>
    <row r="3114" spans="15:16" x14ac:dyDescent="0.45">
      <c r="O3114" t="s">
        <v>9668</v>
      </c>
      <c r="P3114">
        <v>3869</v>
      </c>
    </row>
    <row r="3115" spans="15:16" x14ac:dyDescent="0.45">
      <c r="O3115" t="s">
        <v>9669</v>
      </c>
      <c r="P3115">
        <v>3477</v>
      </c>
    </row>
    <row r="3116" spans="15:16" x14ac:dyDescent="0.45">
      <c r="O3116" t="s">
        <v>9670</v>
      </c>
      <c r="P3116">
        <v>3646</v>
      </c>
    </row>
    <row r="3117" spans="15:16" x14ac:dyDescent="0.45">
      <c r="O3117" t="s">
        <v>9671</v>
      </c>
      <c r="P3117">
        <v>3728</v>
      </c>
    </row>
    <row r="3118" spans="15:16" x14ac:dyDescent="0.45">
      <c r="O3118" t="s">
        <v>9672</v>
      </c>
      <c r="P3118">
        <v>3301</v>
      </c>
    </row>
    <row r="3119" spans="15:16" x14ac:dyDescent="0.45">
      <c r="O3119" t="s">
        <v>9673</v>
      </c>
      <c r="P3119">
        <v>3727</v>
      </c>
    </row>
    <row r="3120" spans="15:16" x14ac:dyDescent="0.45">
      <c r="O3120" t="s">
        <v>9674</v>
      </c>
      <c r="P3120">
        <v>3063</v>
      </c>
    </row>
    <row r="3121" spans="15:16" x14ac:dyDescent="0.45">
      <c r="O3121" t="s">
        <v>9675</v>
      </c>
      <c r="P3121">
        <v>3237</v>
      </c>
    </row>
    <row r="3122" spans="15:16" x14ac:dyDescent="0.45">
      <c r="O3122" t="s">
        <v>9676</v>
      </c>
      <c r="P3122">
        <v>3634</v>
      </c>
    </row>
    <row r="3123" spans="15:16" x14ac:dyDescent="0.45">
      <c r="O3123" t="s">
        <v>9677</v>
      </c>
      <c r="P3123">
        <v>3401</v>
      </c>
    </row>
  </sheetData>
  <sheetProtection sheet="1" objects="1" scenarios="1" selectLockedCells="1" selectUnlockedCells="1"/>
  <conditionalFormatting sqref="N1:N119 N125:N1048576">
    <cfRule type="duplicateValues" dxfId="12" priority="7"/>
  </conditionalFormatting>
  <conditionalFormatting sqref="O2:O648">
    <cfRule type="duplicateValues" dxfId="11" priority="3"/>
  </conditionalFormatting>
  <conditionalFormatting sqref="O2:O648">
    <cfRule type="duplicateValues" dxfId="10" priority="4"/>
  </conditionalFormatting>
  <conditionalFormatting sqref="K20">
    <cfRule type="duplicateValues" dxfId="9" priority="1"/>
  </conditionalFormatting>
  <conditionalFormatting sqref="K20">
    <cfRule type="duplicateValues" dxfId="8" priority="2"/>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G84"/>
  <sheetViews>
    <sheetView topLeftCell="B1" workbookViewId="0">
      <selection activeCell="B32" sqref="B32"/>
    </sheetView>
  </sheetViews>
  <sheetFormatPr defaultRowHeight="14.25" x14ac:dyDescent="0.45"/>
  <cols>
    <col min="1" max="1" width="26.3984375" bestFit="1" customWidth="1"/>
    <col min="2" max="2" width="44.3984375" bestFit="1" customWidth="1"/>
    <col min="3" max="3" width="11.86328125" bestFit="1" customWidth="1"/>
    <col min="4" max="4" width="27.59765625" bestFit="1" customWidth="1"/>
    <col min="5" max="5" width="15.1328125" bestFit="1" customWidth="1"/>
    <col min="6" max="6" width="44.3984375" bestFit="1" customWidth="1"/>
    <col min="7" max="7" width="39.3984375" bestFit="1" customWidth="1"/>
  </cols>
  <sheetData>
    <row r="1" spans="1:7" x14ac:dyDescent="0.45">
      <c r="A1" t="s">
        <v>109</v>
      </c>
      <c r="B1" t="s">
        <v>109</v>
      </c>
      <c r="C1" t="s">
        <v>108</v>
      </c>
      <c r="D1" t="s">
        <v>4969</v>
      </c>
      <c r="E1" t="s">
        <v>4970</v>
      </c>
      <c r="F1" t="s">
        <v>4971</v>
      </c>
      <c r="G1" t="s">
        <v>5132</v>
      </c>
    </row>
    <row r="2" spans="1:7" x14ac:dyDescent="0.45">
      <c r="A2" t="s">
        <v>108</v>
      </c>
      <c r="B2" t="s">
        <v>4972</v>
      </c>
      <c r="C2" t="s">
        <v>4973</v>
      </c>
      <c r="D2" t="s">
        <v>4974</v>
      </c>
      <c r="E2" t="s">
        <v>4974</v>
      </c>
      <c r="F2" t="s">
        <v>4972</v>
      </c>
      <c r="G2" t="s">
        <v>5052</v>
      </c>
    </row>
    <row r="3" spans="1:7" x14ac:dyDescent="0.45">
      <c r="A3" t="s">
        <v>4975</v>
      </c>
      <c r="B3" t="s">
        <v>4976</v>
      </c>
      <c r="F3" t="s">
        <v>4976</v>
      </c>
      <c r="G3" t="s">
        <v>5053</v>
      </c>
    </row>
    <row r="4" spans="1:7" x14ac:dyDescent="0.45">
      <c r="A4" t="s">
        <v>4977</v>
      </c>
      <c r="B4" t="s">
        <v>4978</v>
      </c>
      <c r="F4" t="s">
        <v>4978</v>
      </c>
      <c r="G4" t="s">
        <v>5054</v>
      </c>
    </row>
    <row r="5" spans="1:7" x14ac:dyDescent="0.45">
      <c r="A5" t="s">
        <v>4960</v>
      </c>
      <c r="B5" t="s">
        <v>4979</v>
      </c>
      <c r="F5" t="s">
        <v>4979</v>
      </c>
      <c r="G5" t="s">
        <v>5055</v>
      </c>
    </row>
    <row r="6" spans="1:7" x14ac:dyDescent="0.45">
      <c r="B6" t="s">
        <v>4980</v>
      </c>
      <c r="F6" t="s">
        <v>4980</v>
      </c>
      <c r="G6" t="s">
        <v>5056</v>
      </c>
    </row>
    <row r="7" spans="1:7" x14ac:dyDescent="0.45">
      <c r="B7" t="s">
        <v>4981</v>
      </c>
      <c r="F7" t="s">
        <v>4981</v>
      </c>
      <c r="G7" t="s">
        <v>5057</v>
      </c>
    </row>
    <row r="8" spans="1:7" x14ac:dyDescent="0.45">
      <c r="B8" t="s">
        <v>4982</v>
      </c>
      <c r="F8" t="s">
        <v>4982</v>
      </c>
      <c r="G8" t="s">
        <v>5058</v>
      </c>
    </row>
    <row r="9" spans="1:7" x14ac:dyDescent="0.45">
      <c r="B9" t="s">
        <v>4983</v>
      </c>
      <c r="F9" t="s">
        <v>4983</v>
      </c>
      <c r="G9" t="s">
        <v>509</v>
      </c>
    </row>
    <row r="10" spans="1:7" x14ac:dyDescent="0.45">
      <c r="B10" t="s">
        <v>4984</v>
      </c>
      <c r="F10" t="s">
        <v>4984</v>
      </c>
      <c r="G10" t="s">
        <v>5059</v>
      </c>
    </row>
    <row r="11" spans="1:7" x14ac:dyDescent="0.45">
      <c r="B11" t="s">
        <v>4985</v>
      </c>
      <c r="F11" t="s">
        <v>4985</v>
      </c>
      <c r="G11" t="s">
        <v>5060</v>
      </c>
    </row>
    <row r="12" spans="1:7" x14ac:dyDescent="0.45">
      <c r="B12" t="s">
        <v>4986</v>
      </c>
      <c r="F12" t="s">
        <v>4986</v>
      </c>
      <c r="G12" t="s">
        <v>5061</v>
      </c>
    </row>
    <row r="13" spans="1:7" x14ac:dyDescent="0.45">
      <c r="B13" t="s">
        <v>4987</v>
      </c>
      <c r="F13" t="s">
        <v>4987</v>
      </c>
      <c r="G13" t="s">
        <v>5062</v>
      </c>
    </row>
    <row r="14" spans="1:7" x14ac:dyDescent="0.45">
      <c r="B14" t="s">
        <v>4988</v>
      </c>
      <c r="F14" t="s">
        <v>4988</v>
      </c>
      <c r="G14" t="s">
        <v>5063</v>
      </c>
    </row>
    <row r="15" spans="1:7" x14ac:dyDescent="0.45">
      <c r="B15" t="s">
        <v>4989</v>
      </c>
      <c r="F15" t="s">
        <v>4989</v>
      </c>
      <c r="G15" t="s">
        <v>5064</v>
      </c>
    </row>
    <row r="16" spans="1:7" x14ac:dyDescent="0.45">
      <c r="B16" t="s">
        <v>4990</v>
      </c>
      <c r="F16" t="s">
        <v>4990</v>
      </c>
      <c r="G16" t="s">
        <v>5065</v>
      </c>
    </row>
    <row r="17" spans="2:7" x14ac:dyDescent="0.45">
      <c r="B17" t="s">
        <v>4991</v>
      </c>
      <c r="F17" t="s">
        <v>4991</v>
      </c>
      <c r="G17" t="s">
        <v>5066</v>
      </c>
    </row>
    <row r="18" spans="2:7" x14ac:dyDescent="0.45">
      <c r="B18" t="s">
        <v>4992</v>
      </c>
      <c r="F18" t="s">
        <v>4992</v>
      </c>
      <c r="G18" t="s">
        <v>5067</v>
      </c>
    </row>
    <row r="19" spans="2:7" x14ac:dyDescent="0.45">
      <c r="B19" t="s">
        <v>4993</v>
      </c>
      <c r="F19" t="s">
        <v>4993</v>
      </c>
      <c r="G19" t="s">
        <v>5068</v>
      </c>
    </row>
    <row r="20" spans="2:7" x14ac:dyDescent="0.45">
      <c r="B20" t="s">
        <v>4994</v>
      </c>
      <c r="F20" t="s">
        <v>4994</v>
      </c>
      <c r="G20" t="s">
        <v>5069</v>
      </c>
    </row>
    <row r="21" spans="2:7" x14ac:dyDescent="0.45">
      <c r="B21" t="s">
        <v>4995</v>
      </c>
      <c r="F21" t="s">
        <v>4995</v>
      </c>
      <c r="G21" t="s">
        <v>5070</v>
      </c>
    </row>
    <row r="22" spans="2:7" x14ac:dyDescent="0.45">
      <c r="B22" t="s">
        <v>4996</v>
      </c>
      <c r="F22" t="s">
        <v>4996</v>
      </c>
      <c r="G22" t="s">
        <v>5071</v>
      </c>
    </row>
    <row r="23" spans="2:7" x14ac:dyDescent="0.45">
      <c r="B23" t="s">
        <v>4997</v>
      </c>
      <c r="F23" t="s">
        <v>4997</v>
      </c>
      <c r="G23" t="s">
        <v>5072</v>
      </c>
    </row>
    <row r="24" spans="2:7" x14ac:dyDescent="0.45">
      <c r="B24" t="s">
        <v>4998</v>
      </c>
      <c r="F24" t="s">
        <v>4998</v>
      </c>
      <c r="G24" t="s">
        <v>5073</v>
      </c>
    </row>
    <row r="25" spans="2:7" x14ac:dyDescent="0.45">
      <c r="B25" t="s">
        <v>4999</v>
      </c>
      <c r="F25" t="s">
        <v>4999</v>
      </c>
      <c r="G25" t="s">
        <v>5074</v>
      </c>
    </row>
    <row r="26" spans="2:7" x14ac:dyDescent="0.45">
      <c r="B26" t="s">
        <v>5000</v>
      </c>
      <c r="F26" t="s">
        <v>5000</v>
      </c>
      <c r="G26" t="s">
        <v>5075</v>
      </c>
    </row>
    <row r="27" spans="2:7" x14ac:dyDescent="0.45">
      <c r="B27" t="s">
        <v>5001</v>
      </c>
      <c r="F27" t="s">
        <v>5001</v>
      </c>
      <c r="G27" t="s">
        <v>5076</v>
      </c>
    </row>
    <row r="28" spans="2:7" x14ac:dyDescent="0.45">
      <c r="B28" t="s">
        <v>5002</v>
      </c>
      <c r="F28" t="s">
        <v>5002</v>
      </c>
      <c r="G28" t="s">
        <v>5077</v>
      </c>
    </row>
    <row r="29" spans="2:7" x14ac:dyDescent="0.45">
      <c r="B29" t="s">
        <v>5003</v>
      </c>
      <c r="F29" t="s">
        <v>5003</v>
      </c>
      <c r="G29" t="s">
        <v>5078</v>
      </c>
    </row>
    <row r="30" spans="2:7" x14ac:dyDescent="0.45">
      <c r="B30" t="s">
        <v>5004</v>
      </c>
      <c r="F30" t="s">
        <v>5004</v>
      </c>
      <c r="G30" t="s">
        <v>5079</v>
      </c>
    </row>
    <row r="31" spans="2:7" x14ac:dyDescent="0.45">
      <c r="B31" t="s">
        <v>5005</v>
      </c>
      <c r="F31" t="s">
        <v>5005</v>
      </c>
      <c r="G31" t="s">
        <v>5080</v>
      </c>
    </row>
    <row r="32" spans="2:7" x14ac:dyDescent="0.45">
      <c r="B32" t="s">
        <v>5006</v>
      </c>
      <c r="F32" t="s">
        <v>5006</v>
      </c>
      <c r="G32" t="s">
        <v>5081</v>
      </c>
    </row>
    <row r="33" spans="2:7" x14ac:dyDescent="0.45">
      <c r="B33" t="s">
        <v>1001</v>
      </c>
      <c r="F33" t="s">
        <v>1001</v>
      </c>
      <c r="G33" t="s">
        <v>5082</v>
      </c>
    </row>
    <row r="34" spans="2:7" x14ac:dyDescent="0.45">
      <c r="B34" t="s">
        <v>5007</v>
      </c>
      <c r="F34" t="s">
        <v>5007</v>
      </c>
      <c r="G34" t="s">
        <v>5083</v>
      </c>
    </row>
    <row r="35" spans="2:7" x14ac:dyDescent="0.45">
      <c r="B35" t="s">
        <v>5008</v>
      </c>
      <c r="F35" t="s">
        <v>5008</v>
      </c>
      <c r="G35" t="s">
        <v>5084</v>
      </c>
    </row>
    <row r="36" spans="2:7" x14ac:dyDescent="0.45">
      <c r="B36" t="s">
        <v>1002</v>
      </c>
      <c r="F36" t="s">
        <v>1002</v>
      </c>
      <c r="G36" t="s">
        <v>5085</v>
      </c>
    </row>
    <row r="37" spans="2:7" x14ac:dyDescent="0.45">
      <c r="B37" t="s">
        <v>5009</v>
      </c>
      <c r="F37" t="s">
        <v>5009</v>
      </c>
      <c r="G37" t="s">
        <v>5086</v>
      </c>
    </row>
    <row r="38" spans="2:7" x14ac:dyDescent="0.45">
      <c r="B38" t="s">
        <v>5010</v>
      </c>
      <c r="F38" t="s">
        <v>5010</v>
      </c>
      <c r="G38" t="s">
        <v>5087</v>
      </c>
    </row>
    <row r="39" spans="2:7" x14ac:dyDescent="0.45">
      <c r="B39" t="s">
        <v>5011</v>
      </c>
      <c r="F39" t="s">
        <v>5011</v>
      </c>
      <c r="G39" t="s">
        <v>5088</v>
      </c>
    </row>
    <row r="40" spans="2:7" x14ac:dyDescent="0.45">
      <c r="B40" t="s">
        <v>5012</v>
      </c>
      <c r="F40" t="s">
        <v>5012</v>
      </c>
      <c r="G40" t="s">
        <v>5089</v>
      </c>
    </row>
    <row r="41" spans="2:7" x14ac:dyDescent="0.45">
      <c r="B41" t="s">
        <v>5013</v>
      </c>
      <c r="F41" t="s">
        <v>5013</v>
      </c>
      <c r="G41" t="s">
        <v>5090</v>
      </c>
    </row>
    <row r="42" spans="2:7" x14ac:dyDescent="0.45">
      <c r="B42" t="s">
        <v>5014</v>
      </c>
      <c r="F42" t="s">
        <v>5014</v>
      </c>
      <c r="G42" t="s">
        <v>5091</v>
      </c>
    </row>
    <row r="43" spans="2:7" x14ac:dyDescent="0.45">
      <c r="B43" t="s">
        <v>959</v>
      </c>
      <c r="F43" t="s">
        <v>959</v>
      </c>
      <c r="G43" t="s">
        <v>5092</v>
      </c>
    </row>
    <row r="44" spans="2:7" x14ac:dyDescent="0.45">
      <c r="B44" t="s">
        <v>5015</v>
      </c>
      <c r="F44" t="s">
        <v>5015</v>
      </c>
      <c r="G44" t="s">
        <v>5093</v>
      </c>
    </row>
    <row r="45" spans="2:7" x14ac:dyDescent="0.45">
      <c r="B45" t="s">
        <v>5016</v>
      </c>
      <c r="F45" t="s">
        <v>5016</v>
      </c>
      <c r="G45" t="s">
        <v>5094</v>
      </c>
    </row>
    <row r="46" spans="2:7" x14ac:dyDescent="0.45">
      <c r="B46" t="s">
        <v>5017</v>
      </c>
      <c r="F46" t="s">
        <v>5017</v>
      </c>
      <c r="G46" t="s">
        <v>5095</v>
      </c>
    </row>
    <row r="47" spans="2:7" x14ac:dyDescent="0.45">
      <c r="B47" t="s">
        <v>970</v>
      </c>
      <c r="F47" t="s">
        <v>970</v>
      </c>
      <c r="G47" t="s">
        <v>5096</v>
      </c>
    </row>
    <row r="48" spans="2:7" x14ac:dyDescent="0.45">
      <c r="B48" t="s">
        <v>4974</v>
      </c>
      <c r="F48" t="s">
        <v>4974</v>
      </c>
      <c r="G48" t="s">
        <v>5097</v>
      </c>
    </row>
    <row r="49" spans="2:7" x14ac:dyDescent="0.45">
      <c r="B49" t="s">
        <v>5018</v>
      </c>
      <c r="F49" t="s">
        <v>5018</v>
      </c>
      <c r="G49" t="s">
        <v>5098</v>
      </c>
    </row>
    <row r="50" spans="2:7" x14ac:dyDescent="0.45">
      <c r="B50" t="s">
        <v>5019</v>
      </c>
      <c r="F50" t="s">
        <v>5019</v>
      </c>
      <c r="G50" t="s">
        <v>5099</v>
      </c>
    </row>
    <row r="51" spans="2:7" x14ac:dyDescent="0.45">
      <c r="B51" t="s">
        <v>5020</v>
      </c>
      <c r="F51" t="s">
        <v>5020</v>
      </c>
      <c r="G51" t="s">
        <v>589</v>
      </c>
    </row>
    <row r="52" spans="2:7" x14ac:dyDescent="0.45">
      <c r="B52" t="s">
        <v>5021</v>
      </c>
      <c r="F52" t="s">
        <v>5021</v>
      </c>
      <c r="G52" t="s">
        <v>5100</v>
      </c>
    </row>
    <row r="53" spans="2:7" x14ac:dyDescent="0.45">
      <c r="B53" t="s">
        <v>5022</v>
      </c>
      <c r="F53" t="s">
        <v>5022</v>
      </c>
      <c r="G53" t="s">
        <v>5101</v>
      </c>
    </row>
    <row r="54" spans="2:7" x14ac:dyDescent="0.45">
      <c r="B54" t="s">
        <v>5023</v>
      </c>
      <c r="F54" t="s">
        <v>5023</v>
      </c>
      <c r="G54" t="s">
        <v>5102</v>
      </c>
    </row>
    <row r="55" spans="2:7" x14ac:dyDescent="0.45">
      <c r="B55" t="s">
        <v>5024</v>
      </c>
      <c r="F55" t="s">
        <v>5024</v>
      </c>
      <c r="G55" t="s">
        <v>5103</v>
      </c>
    </row>
    <row r="56" spans="2:7" x14ac:dyDescent="0.45">
      <c r="B56" t="s">
        <v>5025</v>
      </c>
      <c r="F56" t="s">
        <v>5025</v>
      </c>
      <c r="G56" t="s">
        <v>5104</v>
      </c>
    </row>
    <row r="57" spans="2:7" x14ac:dyDescent="0.45">
      <c r="B57" t="s">
        <v>5026</v>
      </c>
      <c r="F57" t="s">
        <v>5026</v>
      </c>
      <c r="G57" t="s">
        <v>5105</v>
      </c>
    </row>
    <row r="58" spans="2:7" x14ac:dyDescent="0.45">
      <c r="B58" t="s">
        <v>5027</v>
      </c>
      <c r="F58" t="s">
        <v>5027</v>
      </c>
      <c r="G58" t="s">
        <v>5106</v>
      </c>
    </row>
    <row r="59" spans="2:7" x14ac:dyDescent="0.45">
      <c r="B59" t="s">
        <v>5028</v>
      </c>
      <c r="F59" t="s">
        <v>5028</v>
      </c>
      <c r="G59" t="s">
        <v>5107</v>
      </c>
    </row>
    <row r="60" spans="2:7" x14ac:dyDescent="0.45">
      <c r="B60" t="s">
        <v>5029</v>
      </c>
      <c r="F60" t="s">
        <v>5029</v>
      </c>
      <c r="G60" t="s">
        <v>5108</v>
      </c>
    </row>
    <row r="61" spans="2:7" x14ac:dyDescent="0.45">
      <c r="B61" t="s">
        <v>5030</v>
      </c>
      <c r="F61" t="s">
        <v>5030</v>
      </c>
      <c r="G61" t="s">
        <v>5109</v>
      </c>
    </row>
    <row r="62" spans="2:7" x14ac:dyDescent="0.45">
      <c r="B62" t="s">
        <v>5031</v>
      </c>
      <c r="F62" t="s">
        <v>5031</v>
      </c>
      <c r="G62" t="s">
        <v>5110</v>
      </c>
    </row>
    <row r="63" spans="2:7" x14ac:dyDescent="0.45">
      <c r="B63" t="s">
        <v>5032</v>
      </c>
      <c r="F63" t="s">
        <v>5032</v>
      </c>
      <c r="G63" t="s">
        <v>5111</v>
      </c>
    </row>
    <row r="64" spans="2:7" x14ac:dyDescent="0.45">
      <c r="B64" t="s">
        <v>5033</v>
      </c>
      <c r="F64" t="s">
        <v>5033</v>
      </c>
      <c r="G64" t="s">
        <v>5112</v>
      </c>
    </row>
    <row r="65" spans="2:7" x14ac:dyDescent="0.45">
      <c r="B65" t="s">
        <v>965</v>
      </c>
      <c r="F65" t="s">
        <v>965</v>
      </c>
      <c r="G65" t="s">
        <v>5113</v>
      </c>
    </row>
    <row r="66" spans="2:7" x14ac:dyDescent="0.45">
      <c r="B66" t="s">
        <v>5034</v>
      </c>
      <c r="F66" t="s">
        <v>5034</v>
      </c>
      <c r="G66" t="s">
        <v>5114</v>
      </c>
    </row>
    <row r="67" spans="2:7" x14ac:dyDescent="0.45">
      <c r="B67" t="s">
        <v>5035</v>
      </c>
      <c r="F67" t="s">
        <v>5035</v>
      </c>
      <c r="G67" t="s">
        <v>5115</v>
      </c>
    </row>
    <row r="68" spans="2:7" x14ac:dyDescent="0.45">
      <c r="B68" t="s">
        <v>5036</v>
      </c>
      <c r="F68" t="s">
        <v>5036</v>
      </c>
      <c r="G68" t="s">
        <v>5116</v>
      </c>
    </row>
    <row r="69" spans="2:7" x14ac:dyDescent="0.45">
      <c r="B69" t="s">
        <v>5037</v>
      </c>
      <c r="F69" t="s">
        <v>5037</v>
      </c>
      <c r="G69" t="s">
        <v>5117</v>
      </c>
    </row>
    <row r="70" spans="2:7" x14ac:dyDescent="0.45">
      <c r="B70" t="s">
        <v>5038</v>
      </c>
      <c r="F70" t="s">
        <v>5038</v>
      </c>
      <c r="G70" t="s">
        <v>5118</v>
      </c>
    </row>
    <row r="71" spans="2:7" x14ac:dyDescent="0.45">
      <c r="B71" t="s">
        <v>966</v>
      </c>
      <c r="F71" t="s">
        <v>966</v>
      </c>
      <c r="G71" t="s">
        <v>5119</v>
      </c>
    </row>
    <row r="72" spans="2:7" x14ac:dyDescent="0.45">
      <c r="B72" t="s">
        <v>5039</v>
      </c>
      <c r="F72" t="s">
        <v>5039</v>
      </c>
      <c r="G72" t="s">
        <v>5120</v>
      </c>
    </row>
    <row r="73" spans="2:7" x14ac:dyDescent="0.45">
      <c r="B73" t="s">
        <v>5040</v>
      </c>
      <c r="F73" t="s">
        <v>5040</v>
      </c>
      <c r="G73" t="s">
        <v>5121</v>
      </c>
    </row>
    <row r="74" spans="2:7" x14ac:dyDescent="0.45">
      <c r="B74" t="s">
        <v>5041</v>
      </c>
      <c r="F74" t="s">
        <v>5041</v>
      </c>
      <c r="G74" t="s">
        <v>5122</v>
      </c>
    </row>
    <row r="75" spans="2:7" x14ac:dyDescent="0.45">
      <c r="B75" t="s">
        <v>5042</v>
      </c>
      <c r="F75" t="s">
        <v>5042</v>
      </c>
      <c r="G75" t="s">
        <v>5123</v>
      </c>
    </row>
    <row r="76" spans="2:7" x14ac:dyDescent="0.45">
      <c r="B76" t="s">
        <v>5043</v>
      </c>
      <c r="F76" t="s">
        <v>5043</v>
      </c>
      <c r="G76" t="s">
        <v>145</v>
      </c>
    </row>
    <row r="77" spans="2:7" x14ac:dyDescent="0.45">
      <c r="B77" t="s">
        <v>5044</v>
      </c>
      <c r="F77" t="s">
        <v>5044</v>
      </c>
      <c r="G77" t="s">
        <v>5124</v>
      </c>
    </row>
    <row r="78" spans="2:7" x14ac:dyDescent="0.45">
      <c r="B78" t="s">
        <v>5045</v>
      </c>
      <c r="F78" t="s">
        <v>5045</v>
      </c>
      <c r="G78" t="s">
        <v>5125</v>
      </c>
    </row>
    <row r="79" spans="2:7" x14ac:dyDescent="0.45">
      <c r="B79" t="s">
        <v>5046</v>
      </c>
      <c r="F79" t="s">
        <v>5046</v>
      </c>
      <c r="G79" t="s">
        <v>5126</v>
      </c>
    </row>
    <row r="80" spans="2:7" x14ac:dyDescent="0.45">
      <c r="B80" t="s">
        <v>5047</v>
      </c>
      <c r="F80" t="s">
        <v>5047</v>
      </c>
      <c r="G80" t="s">
        <v>5127</v>
      </c>
    </row>
    <row r="81" spans="2:7" x14ac:dyDescent="0.45">
      <c r="B81" t="s">
        <v>5048</v>
      </c>
      <c r="F81" t="s">
        <v>5048</v>
      </c>
      <c r="G81" t="s">
        <v>5128</v>
      </c>
    </row>
    <row r="82" spans="2:7" x14ac:dyDescent="0.45">
      <c r="B82" t="s">
        <v>5049</v>
      </c>
      <c r="F82" t="s">
        <v>5049</v>
      </c>
      <c r="G82" t="s">
        <v>5129</v>
      </c>
    </row>
    <row r="83" spans="2:7" x14ac:dyDescent="0.45">
      <c r="B83" t="s">
        <v>5050</v>
      </c>
      <c r="F83" t="s">
        <v>5050</v>
      </c>
      <c r="G83" t="s">
        <v>5130</v>
      </c>
    </row>
    <row r="84" spans="2:7" x14ac:dyDescent="0.45">
      <c r="B84" t="s">
        <v>5051</v>
      </c>
      <c r="F84" t="s">
        <v>5051</v>
      </c>
      <c r="G84" t="s">
        <v>5131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70C0"/>
  </sheetPr>
  <dimension ref="A1:T72"/>
  <sheetViews>
    <sheetView workbookViewId="0">
      <selection activeCell="A23" sqref="A23"/>
    </sheetView>
  </sheetViews>
  <sheetFormatPr defaultColWidth="9" defaultRowHeight="57.4" customHeight="1" x14ac:dyDescent="0.45"/>
  <cols>
    <col min="1" max="1" width="19" style="2" customWidth="1"/>
    <col min="2" max="2" width="191" style="2" customWidth="1"/>
    <col min="3" max="16384" width="9" style="2"/>
  </cols>
  <sheetData>
    <row r="1" spans="1:20" s="50" customFormat="1" ht="57.4" customHeight="1" x14ac:dyDescent="0.55000000000000004">
      <c r="A1" s="47"/>
      <c r="B1" s="48" t="s">
        <v>9698</v>
      </c>
      <c r="C1" s="49"/>
      <c r="D1" s="49"/>
      <c r="E1" s="49"/>
      <c r="F1" s="49"/>
      <c r="G1" s="49"/>
      <c r="H1" s="49"/>
      <c r="I1" s="49"/>
      <c r="J1" s="47"/>
      <c r="K1" s="47"/>
      <c r="L1" s="47"/>
      <c r="M1" s="47"/>
      <c r="N1" s="47"/>
      <c r="O1" s="47"/>
      <c r="P1" s="47"/>
      <c r="Q1" s="47"/>
      <c r="R1" s="47"/>
      <c r="S1" s="47"/>
      <c r="T1" s="47"/>
    </row>
    <row r="2" spans="1:20" ht="57.4" customHeight="1" x14ac:dyDescent="1.35">
      <c r="A2" s="51" t="s">
        <v>5511</v>
      </c>
      <c r="B2" s="52" t="s">
        <v>5512</v>
      </c>
      <c r="C2" s="53"/>
      <c r="D2" s="53"/>
      <c r="E2" s="53"/>
      <c r="F2" s="53"/>
      <c r="G2" s="53"/>
      <c r="H2" s="53"/>
      <c r="I2" s="53"/>
      <c r="J2" s="54"/>
      <c r="K2" s="54"/>
      <c r="L2" s="54"/>
      <c r="M2" s="54"/>
      <c r="N2" s="54"/>
      <c r="O2" s="54"/>
      <c r="P2" s="54"/>
      <c r="Q2" s="54"/>
      <c r="R2" s="54"/>
      <c r="S2" s="54"/>
      <c r="T2" s="54"/>
    </row>
    <row r="3" spans="1:20" ht="57.4" customHeight="1" x14ac:dyDescent="0.45">
      <c r="A3" s="55" t="s">
        <v>108</v>
      </c>
      <c r="B3" s="60" t="s">
        <v>9680</v>
      </c>
      <c r="C3" s="57"/>
      <c r="D3" s="57"/>
      <c r="E3" s="57"/>
      <c r="F3" s="57"/>
      <c r="G3" s="57"/>
      <c r="H3" s="57"/>
      <c r="I3" s="57"/>
      <c r="J3" s="57"/>
      <c r="K3" s="57"/>
      <c r="L3" s="57"/>
      <c r="M3" s="57"/>
      <c r="N3" s="57"/>
      <c r="O3" s="57"/>
      <c r="P3" s="57"/>
      <c r="Q3" s="57"/>
      <c r="R3" s="57"/>
      <c r="S3" s="57"/>
      <c r="T3" s="57"/>
    </row>
    <row r="4" spans="1:20" ht="57.4" customHeight="1" x14ac:dyDescent="0.45">
      <c r="A4" s="55" t="s">
        <v>109</v>
      </c>
      <c r="B4" s="56" t="s">
        <v>9681</v>
      </c>
      <c r="C4" s="57"/>
      <c r="D4" s="57"/>
      <c r="E4" s="57"/>
      <c r="F4" s="57"/>
      <c r="G4" s="57"/>
      <c r="H4" s="57"/>
      <c r="I4" s="57"/>
      <c r="J4" s="57"/>
      <c r="K4" s="57"/>
      <c r="L4" s="57"/>
      <c r="M4" s="57"/>
      <c r="N4" s="57"/>
      <c r="O4" s="57"/>
      <c r="P4" s="57"/>
      <c r="Q4" s="57"/>
      <c r="R4" s="57"/>
      <c r="S4" s="57"/>
      <c r="T4" s="57"/>
    </row>
    <row r="5" spans="1:20" ht="57.4" customHeight="1" x14ac:dyDescent="0.45">
      <c r="A5" s="55" t="s">
        <v>4960</v>
      </c>
      <c r="B5" s="60" t="s">
        <v>10750</v>
      </c>
      <c r="C5" s="57"/>
      <c r="D5" s="57"/>
      <c r="E5" s="57"/>
      <c r="F5" s="57"/>
      <c r="G5" s="57"/>
      <c r="H5" s="57"/>
      <c r="I5" s="57"/>
      <c r="J5" s="57"/>
      <c r="K5" s="57"/>
      <c r="L5" s="57"/>
      <c r="M5" s="57"/>
      <c r="N5" s="57"/>
      <c r="O5" s="57"/>
      <c r="P5" s="57"/>
      <c r="Q5" s="57"/>
      <c r="R5" s="57"/>
      <c r="S5" s="57"/>
      <c r="T5" s="57"/>
    </row>
    <row r="6" spans="1:20" ht="57.4" customHeight="1" x14ac:dyDescent="0.45">
      <c r="A6" s="55" t="s">
        <v>687</v>
      </c>
      <c r="B6" s="58" t="s">
        <v>5734</v>
      </c>
      <c r="C6" s="57"/>
      <c r="D6" s="57"/>
      <c r="E6" s="57"/>
      <c r="F6" s="57"/>
      <c r="G6" s="57"/>
      <c r="H6" s="57"/>
      <c r="I6" s="57"/>
      <c r="J6" s="57"/>
      <c r="K6" s="57"/>
      <c r="L6" s="57"/>
      <c r="M6" s="57"/>
      <c r="N6" s="57"/>
      <c r="O6" s="57"/>
      <c r="P6" s="57"/>
      <c r="Q6" s="57"/>
      <c r="R6" s="57"/>
      <c r="S6" s="57"/>
      <c r="T6" s="57"/>
    </row>
    <row r="7" spans="1:20" ht="57.4" customHeight="1" x14ac:dyDescent="0.45">
      <c r="A7" s="55" t="s">
        <v>688</v>
      </c>
      <c r="B7" s="60" t="s">
        <v>10751</v>
      </c>
      <c r="C7" s="57"/>
      <c r="D7" s="57"/>
      <c r="E7" s="57"/>
      <c r="F7" s="57"/>
      <c r="G7" s="57"/>
      <c r="H7" s="57"/>
      <c r="I7" s="57"/>
      <c r="J7" s="57"/>
      <c r="K7" s="57"/>
      <c r="L7" s="57"/>
      <c r="M7" s="57"/>
      <c r="N7" s="57"/>
      <c r="O7" s="57"/>
      <c r="P7" s="57"/>
      <c r="Q7" s="57"/>
      <c r="R7" s="57"/>
      <c r="S7" s="57"/>
      <c r="T7" s="57"/>
    </row>
    <row r="8" spans="1:20" ht="57.4" customHeight="1" x14ac:dyDescent="0.45">
      <c r="A8" s="55" t="s">
        <v>111</v>
      </c>
      <c r="B8" s="60" t="s">
        <v>10752</v>
      </c>
      <c r="C8" s="59"/>
      <c r="D8" s="57"/>
      <c r="E8" s="57"/>
      <c r="F8" s="57"/>
      <c r="G8" s="57"/>
      <c r="H8" s="57"/>
      <c r="I8" s="57"/>
      <c r="J8" s="57"/>
      <c r="K8" s="57"/>
      <c r="L8" s="57"/>
      <c r="M8" s="57"/>
      <c r="N8" s="57"/>
      <c r="O8" s="57"/>
      <c r="P8" s="57"/>
      <c r="Q8" s="57"/>
      <c r="R8" s="57"/>
      <c r="S8" s="57"/>
      <c r="T8" s="57"/>
    </row>
    <row r="9" spans="1:20" ht="57.4" customHeight="1" x14ac:dyDescent="0.45">
      <c r="A9" s="55" t="s">
        <v>112</v>
      </c>
      <c r="B9" s="60" t="s">
        <v>10753</v>
      </c>
      <c r="C9" s="57"/>
      <c r="D9" s="57"/>
      <c r="E9" s="57"/>
      <c r="F9" s="57"/>
      <c r="G9" s="57"/>
      <c r="H9" s="57"/>
      <c r="I9" s="57"/>
      <c r="J9" s="57"/>
      <c r="K9" s="57"/>
      <c r="L9" s="57"/>
      <c r="M9" s="57"/>
      <c r="N9" s="57"/>
      <c r="O9" s="57"/>
      <c r="P9" s="57"/>
      <c r="Q9" s="57"/>
      <c r="R9" s="57"/>
      <c r="S9" s="57"/>
      <c r="T9" s="57"/>
    </row>
    <row r="10" spans="1:20" ht="57.4" customHeight="1" x14ac:dyDescent="0.45">
      <c r="A10" s="55" t="s">
        <v>113</v>
      </c>
      <c r="B10" s="56" t="s">
        <v>9682</v>
      </c>
      <c r="C10" s="57"/>
      <c r="D10" s="57"/>
      <c r="E10" s="57"/>
      <c r="F10" s="57"/>
      <c r="G10" s="57"/>
      <c r="H10" s="57"/>
      <c r="I10" s="57"/>
      <c r="J10" s="57"/>
      <c r="K10" s="57"/>
      <c r="L10" s="57"/>
      <c r="M10" s="57"/>
      <c r="N10" s="57"/>
      <c r="O10" s="57"/>
      <c r="P10" s="57"/>
      <c r="Q10" s="57"/>
      <c r="R10" s="57"/>
      <c r="S10" s="57"/>
      <c r="T10" s="57"/>
    </row>
    <row r="11" spans="1:20" ht="57.4" customHeight="1" x14ac:dyDescent="0.45">
      <c r="A11" s="55" t="s">
        <v>114</v>
      </c>
      <c r="B11" s="61" t="s">
        <v>5513</v>
      </c>
      <c r="C11" s="57"/>
      <c r="D11" s="57"/>
      <c r="E11" s="57"/>
      <c r="F11" s="57"/>
      <c r="G11" s="57"/>
      <c r="H11" s="57"/>
      <c r="I11" s="57"/>
      <c r="J11" s="57"/>
      <c r="K11" s="57"/>
      <c r="L11" s="57"/>
      <c r="M11" s="57"/>
      <c r="N11" s="57"/>
      <c r="O11" s="57"/>
      <c r="P11" s="57"/>
      <c r="Q11" s="57"/>
      <c r="R11" s="57"/>
      <c r="S11" s="57"/>
      <c r="T11" s="57"/>
    </row>
    <row r="12" spans="1:20" ht="57.4" customHeight="1" x14ac:dyDescent="0.45">
      <c r="A12" s="55" t="s">
        <v>680</v>
      </c>
      <c r="B12" s="56" t="s">
        <v>5514</v>
      </c>
      <c r="C12" s="57"/>
      <c r="D12" s="57"/>
      <c r="E12" s="57"/>
      <c r="F12" s="57"/>
      <c r="G12" s="57"/>
      <c r="H12" s="57"/>
      <c r="I12" s="57"/>
      <c r="J12" s="57"/>
      <c r="K12" s="57"/>
      <c r="L12" s="57"/>
      <c r="M12" s="57"/>
      <c r="N12" s="57"/>
      <c r="O12" s="57"/>
      <c r="P12" s="57"/>
      <c r="Q12" s="57"/>
      <c r="R12" s="57"/>
      <c r="S12" s="57"/>
      <c r="T12" s="57"/>
    </row>
    <row r="13" spans="1:20" ht="57.4" customHeight="1" x14ac:dyDescent="0.45">
      <c r="A13" s="55" t="s">
        <v>681</v>
      </c>
      <c r="B13" s="60" t="s">
        <v>10754</v>
      </c>
      <c r="C13" s="57"/>
      <c r="D13" s="57"/>
      <c r="E13" s="57"/>
      <c r="F13" s="57"/>
      <c r="G13" s="57"/>
      <c r="H13" s="57"/>
      <c r="I13" s="57"/>
      <c r="J13" s="57"/>
      <c r="K13" s="57"/>
      <c r="L13" s="57"/>
      <c r="M13" s="57"/>
      <c r="N13" s="57"/>
      <c r="O13" s="57"/>
      <c r="P13" s="57"/>
      <c r="Q13" s="57"/>
      <c r="R13" s="57"/>
      <c r="S13" s="57"/>
      <c r="T13" s="57"/>
    </row>
    <row r="14" spans="1:20" ht="57.4" customHeight="1" x14ac:dyDescent="0.45">
      <c r="A14" s="55" t="s">
        <v>644</v>
      </c>
      <c r="B14" s="58" t="s">
        <v>5515</v>
      </c>
      <c r="C14" s="57"/>
      <c r="D14" s="57"/>
      <c r="E14" s="57"/>
      <c r="F14" s="57"/>
      <c r="G14" s="57"/>
      <c r="H14" s="57"/>
      <c r="I14" s="57"/>
      <c r="J14" s="57"/>
      <c r="K14" s="57"/>
      <c r="L14" s="57"/>
      <c r="M14" s="57"/>
      <c r="N14" s="57"/>
      <c r="O14" s="57"/>
      <c r="P14" s="57"/>
      <c r="Q14" s="57"/>
      <c r="R14" s="57"/>
      <c r="S14" s="57"/>
      <c r="T14" s="57"/>
    </row>
    <row r="15" spans="1:20" ht="57.4" customHeight="1" x14ac:dyDescent="0.45">
      <c r="A15" s="55" t="s">
        <v>682</v>
      </c>
      <c r="B15" s="60" t="s">
        <v>10287</v>
      </c>
      <c r="C15" s="57"/>
      <c r="D15" s="57"/>
      <c r="E15" s="57"/>
      <c r="F15" s="57"/>
      <c r="G15" s="57"/>
      <c r="H15" s="57"/>
      <c r="I15" s="57"/>
      <c r="J15" s="57"/>
      <c r="K15" s="57"/>
      <c r="L15" s="57"/>
      <c r="M15" s="57"/>
      <c r="N15" s="57"/>
      <c r="O15" s="57"/>
      <c r="P15" s="57"/>
      <c r="Q15" s="57"/>
      <c r="R15" s="57"/>
      <c r="S15" s="57"/>
      <c r="T15" s="57"/>
    </row>
    <row r="16" spans="1:20" ht="57.4" customHeight="1" x14ac:dyDescent="0.45">
      <c r="A16" s="55" t="s">
        <v>5248</v>
      </c>
      <c r="B16" s="56" t="s">
        <v>5516</v>
      </c>
      <c r="C16" s="57"/>
      <c r="D16" s="57"/>
      <c r="E16" s="57"/>
      <c r="F16" s="57"/>
      <c r="G16" s="57"/>
      <c r="H16" s="57"/>
      <c r="I16" s="57"/>
      <c r="J16" s="57"/>
      <c r="K16" s="57"/>
      <c r="L16" s="57"/>
      <c r="M16" s="57"/>
      <c r="N16" s="57"/>
      <c r="O16" s="57"/>
      <c r="P16" s="57"/>
      <c r="Q16" s="57"/>
      <c r="R16" s="57"/>
      <c r="S16" s="57"/>
      <c r="T16" s="57"/>
    </row>
    <row r="17" spans="1:3" ht="57.4" customHeight="1" x14ac:dyDescent="0.45">
      <c r="A17" s="55" t="s">
        <v>901</v>
      </c>
      <c r="B17" s="56" t="s">
        <v>5517</v>
      </c>
      <c r="C17" s="57"/>
    </row>
    <row r="18" spans="1:3" ht="57.4" customHeight="1" x14ac:dyDescent="0.45">
      <c r="A18" s="62" t="s">
        <v>5244</v>
      </c>
      <c r="B18" s="56" t="s">
        <v>9683</v>
      </c>
      <c r="C18" s="57"/>
    </row>
    <row r="19" spans="1:3" ht="57.4" customHeight="1" x14ac:dyDescent="0.45">
      <c r="A19" s="55" t="s">
        <v>5245</v>
      </c>
      <c r="B19" s="56" t="s">
        <v>9683</v>
      </c>
      <c r="C19" s="57"/>
    </row>
    <row r="20" spans="1:3" ht="57.4" customHeight="1" x14ac:dyDescent="0.45">
      <c r="A20" s="55" t="s">
        <v>5246</v>
      </c>
      <c r="B20" s="56" t="s">
        <v>9683</v>
      </c>
      <c r="C20" s="57"/>
    </row>
    <row r="21" spans="1:3" ht="57.4" customHeight="1" x14ac:dyDescent="0.45">
      <c r="A21" s="55" t="s">
        <v>5247</v>
      </c>
      <c r="B21" s="56" t="s">
        <v>9683</v>
      </c>
      <c r="C21" s="57"/>
    </row>
    <row r="22" spans="1:3" ht="57.4" customHeight="1" x14ac:dyDescent="0.45">
      <c r="A22" s="63" t="s">
        <v>115</v>
      </c>
      <c r="B22" s="60" t="s">
        <v>10755</v>
      </c>
      <c r="C22" s="57"/>
    </row>
    <row r="23" spans="1:3" ht="57.4" customHeight="1" x14ac:dyDescent="0.45">
      <c r="A23" s="63" t="s">
        <v>116</v>
      </c>
      <c r="B23" s="89" t="s">
        <v>10756</v>
      </c>
      <c r="C23" s="57"/>
    </row>
    <row r="24" spans="1:3" ht="57.4" customHeight="1" x14ac:dyDescent="0.45">
      <c r="A24" s="63" t="s">
        <v>728</v>
      </c>
      <c r="B24" s="60" t="s">
        <v>10677</v>
      </c>
      <c r="C24" s="57"/>
    </row>
    <row r="25" spans="1:3" ht="57.4" customHeight="1" x14ac:dyDescent="0.45">
      <c r="A25" s="63" t="s">
        <v>118</v>
      </c>
      <c r="B25" s="60" t="s">
        <v>10678</v>
      </c>
      <c r="C25" s="57"/>
    </row>
    <row r="26" spans="1:3" ht="57.4" customHeight="1" x14ac:dyDescent="0.45">
      <c r="A26" s="63" t="s">
        <v>9930</v>
      </c>
      <c r="B26" s="60" t="s">
        <v>10757</v>
      </c>
      <c r="C26" s="57"/>
    </row>
    <row r="27" spans="1:3" ht="57.4" customHeight="1" x14ac:dyDescent="0.45">
      <c r="A27" s="63" t="s">
        <v>117</v>
      </c>
      <c r="B27" s="60" t="s">
        <v>10283</v>
      </c>
      <c r="C27" s="57"/>
    </row>
    <row r="28" spans="1:3" ht="57.4" customHeight="1" x14ac:dyDescent="0.45">
      <c r="A28" s="63" t="s">
        <v>1022</v>
      </c>
      <c r="B28" s="56" t="s">
        <v>5519</v>
      </c>
      <c r="C28" s="57"/>
    </row>
    <row r="29" spans="1:3" ht="57.4" customHeight="1" x14ac:dyDescent="0.45">
      <c r="A29" s="63" t="s">
        <v>1023</v>
      </c>
      <c r="B29" s="64" t="s">
        <v>9684</v>
      </c>
      <c r="C29" s="65"/>
    </row>
    <row r="30" spans="1:3" ht="57.4" customHeight="1" x14ac:dyDescent="0.45">
      <c r="A30" s="63" t="s">
        <v>729</v>
      </c>
      <c r="B30" s="60" t="s">
        <v>10758</v>
      </c>
      <c r="C30" s="57"/>
    </row>
    <row r="31" spans="1:3" ht="57.4" customHeight="1" x14ac:dyDescent="0.45">
      <c r="A31" s="63" t="s">
        <v>1024</v>
      </c>
      <c r="B31" s="56" t="s">
        <v>5520</v>
      </c>
      <c r="C31" s="57"/>
    </row>
    <row r="32" spans="1:3" ht="57.4" customHeight="1" x14ac:dyDescent="0.45">
      <c r="A32" s="63" t="s">
        <v>730</v>
      </c>
      <c r="B32" s="56" t="s">
        <v>9685</v>
      </c>
      <c r="C32" s="57"/>
    </row>
    <row r="33" spans="1:3" ht="57.4" customHeight="1" x14ac:dyDescent="0.45">
      <c r="A33" s="63" t="s">
        <v>119</v>
      </c>
      <c r="B33" s="60" t="s">
        <v>9686</v>
      </c>
      <c r="C33" s="57"/>
    </row>
    <row r="34" spans="1:3" ht="57.4" customHeight="1" x14ac:dyDescent="0.45">
      <c r="A34" s="63" t="s">
        <v>5533</v>
      </c>
      <c r="B34" s="56" t="s">
        <v>9687</v>
      </c>
      <c r="C34" s="66"/>
    </row>
    <row r="35" spans="1:3" ht="57.4" customHeight="1" x14ac:dyDescent="0.45">
      <c r="A35" s="63" t="s">
        <v>120</v>
      </c>
      <c r="B35" s="56" t="s">
        <v>5521</v>
      </c>
      <c r="C35" s="57"/>
    </row>
    <row r="36" spans="1:3" ht="57.4" customHeight="1" x14ac:dyDescent="0.45">
      <c r="A36" s="63" t="s">
        <v>4961</v>
      </c>
      <c r="B36" s="56" t="s">
        <v>5522</v>
      </c>
      <c r="C36" s="57"/>
    </row>
    <row r="37" spans="1:3" ht="57.4" customHeight="1" x14ac:dyDescent="0.45">
      <c r="A37" s="63" t="s">
        <v>4962</v>
      </c>
      <c r="B37" s="60" t="s">
        <v>9688</v>
      </c>
      <c r="C37" s="57"/>
    </row>
    <row r="38" spans="1:3" ht="57.4" customHeight="1" x14ac:dyDescent="0.45">
      <c r="A38" s="63" t="s">
        <v>10693</v>
      </c>
      <c r="B38" s="60"/>
      <c r="C38" s="57"/>
    </row>
    <row r="39" spans="1:3" ht="57.4" customHeight="1" x14ac:dyDescent="0.45">
      <c r="A39" s="63" t="s">
        <v>686</v>
      </c>
      <c r="B39" s="67" t="s">
        <v>9689</v>
      </c>
      <c r="C39" s="57"/>
    </row>
    <row r="40" spans="1:3" ht="57.4" customHeight="1" x14ac:dyDescent="0.45">
      <c r="A40" s="63" t="s">
        <v>10675</v>
      </c>
      <c r="B40" s="60" t="s">
        <v>10676</v>
      </c>
      <c r="C40" s="57"/>
    </row>
    <row r="41" spans="1:3" ht="57.4" customHeight="1" x14ac:dyDescent="0.45">
      <c r="A41" s="63" t="s">
        <v>5523</v>
      </c>
      <c r="B41" s="68" t="s">
        <v>5518</v>
      </c>
      <c r="C41" s="57"/>
    </row>
    <row r="42" spans="1:3" ht="57.4" customHeight="1" x14ac:dyDescent="0.45">
      <c r="A42" s="63" t="s">
        <v>5298</v>
      </c>
      <c r="B42" s="68" t="s">
        <v>5524</v>
      </c>
      <c r="C42" s="57"/>
    </row>
    <row r="43" spans="1:3" ht="57.4" customHeight="1" x14ac:dyDescent="0.45">
      <c r="A43" s="63" t="s">
        <v>5299</v>
      </c>
      <c r="B43" s="68" t="s">
        <v>5524</v>
      </c>
      <c r="C43" s="57"/>
    </row>
    <row r="44" spans="1:3" ht="57.4" customHeight="1" x14ac:dyDescent="0.45">
      <c r="A44" s="63" t="s">
        <v>5300</v>
      </c>
      <c r="B44" s="68" t="s">
        <v>5524</v>
      </c>
      <c r="C44" s="57"/>
    </row>
    <row r="45" spans="1:3" ht="57.4" customHeight="1" x14ac:dyDescent="0.45">
      <c r="A45" s="63" t="s">
        <v>5301</v>
      </c>
      <c r="B45" s="68" t="s">
        <v>10285</v>
      </c>
      <c r="C45" s="57"/>
    </row>
    <row r="46" spans="1:3" ht="60" customHeight="1" x14ac:dyDescent="0.45">
      <c r="A46" s="63" t="s">
        <v>10759</v>
      </c>
      <c r="B46" s="97" t="s">
        <v>10763</v>
      </c>
      <c r="C46" s="66"/>
    </row>
    <row r="47" spans="1:3" ht="60" customHeight="1" x14ac:dyDescent="0.45">
      <c r="A47" s="63" t="s">
        <v>10761</v>
      </c>
      <c r="B47" s="97" t="s">
        <v>10762</v>
      </c>
      <c r="C47" s="66"/>
    </row>
    <row r="48" spans="1:3" ht="20.65" x14ac:dyDescent="0.45">
      <c r="A48" s="69"/>
      <c r="B48" s="70" t="s">
        <v>5525</v>
      </c>
      <c r="C48" s="69"/>
    </row>
    <row r="49" spans="1:3" ht="28.5" x14ac:dyDescent="0.45">
      <c r="A49" s="57"/>
      <c r="B49" s="71" t="s">
        <v>9690</v>
      </c>
      <c r="C49" s="57"/>
    </row>
    <row r="50" spans="1:3" ht="14.25" x14ac:dyDescent="0.45">
      <c r="A50" s="57"/>
      <c r="B50" s="72" t="s">
        <v>5526</v>
      </c>
      <c r="C50" s="57"/>
    </row>
    <row r="51" spans="1:3" ht="27.4" x14ac:dyDescent="0.45">
      <c r="A51" s="57"/>
      <c r="B51" s="73" t="s">
        <v>9691</v>
      </c>
      <c r="C51" s="57"/>
    </row>
    <row r="52" spans="1:3" ht="14.25" x14ac:dyDescent="0.45">
      <c r="A52" s="57"/>
      <c r="B52" s="73" t="s">
        <v>5527</v>
      </c>
      <c r="C52" s="57"/>
    </row>
    <row r="53" spans="1:3" ht="14.25" x14ac:dyDescent="0.45">
      <c r="A53" s="57"/>
      <c r="B53" s="73" t="s">
        <v>5528</v>
      </c>
      <c r="C53" s="57"/>
    </row>
    <row r="54" spans="1:3" ht="14.25" x14ac:dyDescent="0.45">
      <c r="A54" s="57"/>
      <c r="B54" s="73" t="s">
        <v>5529</v>
      </c>
      <c r="C54" s="57"/>
    </row>
    <row r="55" spans="1:3" ht="14.25" x14ac:dyDescent="0.45">
      <c r="A55" s="57"/>
      <c r="B55" s="74" t="s">
        <v>5530</v>
      </c>
      <c r="C55" s="57"/>
    </row>
    <row r="56" spans="1:3" ht="14.25" x14ac:dyDescent="0.45">
      <c r="A56" s="57"/>
      <c r="B56" s="73" t="s">
        <v>5531</v>
      </c>
      <c r="C56" s="57"/>
    </row>
    <row r="57" spans="1:3" ht="14.25" x14ac:dyDescent="0.45">
      <c r="A57" s="57"/>
      <c r="B57" s="75" t="s">
        <v>9933</v>
      </c>
      <c r="C57" s="57"/>
    </row>
    <row r="58" spans="1:3" ht="21" x14ac:dyDescent="0.45">
      <c r="A58" s="57"/>
      <c r="B58" s="76" t="s">
        <v>5532</v>
      </c>
      <c r="C58" s="57"/>
    </row>
    <row r="59" spans="1:3" ht="14.25" x14ac:dyDescent="0.45">
      <c r="A59" s="57"/>
      <c r="B59" s="77" t="s">
        <v>9692</v>
      </c>
      <c r="C59" s="57"/>
    </row>
    <row r="60" spans="1:3" ht="14.25" x14ac:dyDescent="0.45">
      <c r="A60" s="57"/>
      <c r="B60" s="77" t="s">
        <v>9693</v>
      </c>
      <c r="C60" s="57"/>
    </row>
    <row r="61" spans="1:3" ht="14.25" x14ac:dyDescent="0.45">
      <c r="A61" s="57"/>
      <c r="B61" s="77" t="s">
        <v>9694</v>
      </c>
      <c r="C61" s="57"/>
    </row>
    <row r="62" spans="1:3" ht="14.25" x14ac:dyDescent="0.45">
      <c r="B62" s="78" t="s">
        <v>9932</v>
      </c>
    </row>
    <row r="63" spans="1:3" ht="14.25" x14ac:dyDescent="0.45">
      <c r="B63" s="79" t="s">
        <v>10286</v>
      </c>
    </row>
    <row r="64" spans="1:3" ht="14.25" x14ac:dyDescent="0.45">
      <c r="B64" s="79" t="s">
        <v>10284</v>
      </c>
    </row>
    <row r="65" spans="2:2" ht="21" x14ac:dyDescent="0.45">
      <c r="B65" s="76" t="s">
        <v>9695</v>
      </c>
    </row>
    <row r="66" spans="2:2" ht="14.25" x14ac:dyDescent="0.45">
      <c r="B66" s="77" t="s">
        <v>9696</v>
      </c>
    </row>
    <row r="67" spans="2:2" ht="26.25" x14ac:dyDescent="0.45">
      <c r="B67" s="77" t="s">
        <v>9697</v>
      </c>
    </row>
    <row r="68" spans="2:2" ht="14.25" x14ac:dyDescent="0.45">
      <c r="B68" s="2" t="s">
        <v>9934</v>
      </c>
    </row>
    <row r="69" spans="2:2" ht="27" customHeight="1" x14ac:dyDescent="0.45">
      <c r="B69" s="79"/>
    </row>
    <row r="70" spans="2:2" ht="14.25" x14ac:dyDescent="0.45"/>
    <row r="71" spans="2:2" ht="14.25" x14ac:dyDescent="0.45"/>
    <row r="72" spans="2:2" ht="19.899999999999999" customHeight="1" x14ac:dyDescent="0.45"/>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70C0"/>
  </sheetPr>
  <dimension ref="A1:B54"/>
  <sheetViews>
    <sheetView zoomScale="85" zoomScaleNormal="85" workbookViewId="0">
      <pane ySplit="1" topLeftCell="A2" activePane="bottomLeft" state="frozen"/>
      <selection pane="bottomLeft" activeCell="B54" sqref="B54"/>
    </sheetView>
  </sheetViews>
  <sheetFormatPr defaultRowHeight="14.25" x14ac:dyDescent="0.45"/>
  <cols>
    <col min="1" max="1" width="9.1328125"/>
    <col min="2" max="2" width="13.3984375" bestFit="1" customWidth="1"/>
  </cols>
  <sheetData>
    <row r="1" spans="1:2" s="1" customFormat="1" x14ac:dyDescent="0.45">
      <c r="A1" s="1" t="s">
        <v>10291</v>
      </c>
      <c r="B1" s="1" t="s">
        <v>10290</v>
      </c>
    </row>
    <row r="2" spans="1:2" ht="15.75" x14ac:dyDescent="0.5">
      <c r="A2">
        <v>8</v>
      </c>
      <c r="B2" s="87" t="s">
        <v>10280</v>
      </c>
    </row>
    <row r="3" spans="1:2" ht="15.75" x14ac:dyDescent="0.5">
      <c r="A3">
        <v>9</v>
      </c>
      <c r="B3" s="87" t="s">
        <v>10279</v>
      </c>
    </row>
    <row r="4" spans="1:2" ht="15.75" x14ac:dyDescent="0.5">
      <c r="A4">
        <v>10</v>
      </c>
      <c r="B4" s="87" t="s">
        <v>10229</v>
      </c>
    </row>
    <row r="5" spans="1:2" ht="15.75" x14ac:dyDescent="0.5">
      <c r="A5">
        <v>20</v>
      </c>
      <c r="B5" s="87" t="s">
        <v>10230</v>
      </c>
    </row>
    <row r="6" spans="1:2" ht="15.75" x14ac:dyDescent="0.5">
      <c r="A6">
        <v>30</v>
      </c>
      <c r="B6" s="88" t="s">
        <v>10231</v>
      </c>
    </row>
    <row r="7" spans="1:2" ht="15.75" x14ac:dyDescent="0.5">
      <c r="A7">
        <v>40</v>
      </c>
      <c r="B7" s="88" t="s">
        <v>10232</v>
      </c>
    </row>
    <row r="8" spans="1:2" ht="15.75" x14ac:dyDescent="0.5">
      <c r="A8">
        <v>45</v>
      </c>
      <c r="B8" s="88" t="s">
        <v>10278</v>
      </c>
    </row>
    <row r="9" spans="1:2" ht="15.75" x14ac:dyDescent="0.5">
      <c r="A9">
        <v>50</v>
      </c>
      <c r="B9" s="88" t="s">
        <v>10233</v>
      </c>
    </row>
    <row r="10" spans="1:2" ht="15.75" x14ac:dyDescent="0.5">
      <c r="A10">
        <v>60</v>
      </c>
      <c r="B10" s="88" t="s">
        <v>10234</v>
      </c>
    </row>
    <row r="11" spans="1:2" ht="15.75" x14ac:dyDescent="0.5">
      <c r="A11">
        <v>69</v>
      </c>
      <c r="B11" s="88" t="s">
        <v>10259</v>
      </c>
    </row>
    <row r="12" spans="1:2" ht="15.75" x14ac:dyDescent="0.5">
      <c r="A12">
        <v>70</v>
      </c>
      <c r="B12" s="88" t="s">
        <v>10235</v>
      </c>
    </row>
    <row r="13" spans="1:2" ht="15.75" x14ac:dyDescent="0.5">
      <c r="A13">
        <v>80</v>
      </c>
      <c r="B13" s="88" t="s">
        <v>10236</v>
      </c>
    </row>
    <row r="14" spans="1:2" ht="15.75" x14ac:dyDescent="0.5">
      <c r="A14">
        <v>81</v>
      </c>
      <c r="B14" s="88" t="s">
        <v>10242</v>
      </c>
    </row>
    <row r="15" spans="1:2" ht="15.75" x14ac:dyDescent="0.5">
      <c r="A15">
        <v>90</v>
      </c>
      <c r="B15" s="88" t="s">
        <v>10243</v>
      </c>
    </row>
    <row r="16" spans="1:2" ht="15.75" x14ac:dyDescent="0.5">
      <c r="A16">
        <v>91</v>
      </c>
      <c r="B16" s="88" t="s">
        <v>10244</v>
      </c>
    </row>
    <row r="17" spans="1:2" ht="15.75" x14ac:dyDescent="0.5">
      <c r="A17">
        <v>100</v>
      </c>
      <c r="B17" s="88" t="s">
        <v>10245</v>
      </c>
    </row>
    <row r="18" spans="1:2" ht="15.75" x14ac:dyDescent="0.5">
      <c r="A18">
        <v>101</v>
      </c>
      <c r="B18" s="88" t="s">
        <v>10246</v>
      </c>
    </row>
    <row r="19" spans="1:2" ht="15.75" x14ac:dyDescent="0.5">
      <c r="A19">
        <v>110</v>
      </c>
      <c r="B19" s="88" t="s">
        <v>10247</v>
      </c>
    </row>
    <row r="20" spans="1:2" ht="15.75" x14ac:dyDescent="0.5">
      <c r="A20">
        <v>111</v>
      </c>
      <c r="B20" s="88" t="s">
        <v>10248</v>
      </c>
    </row>
    <row r="21" spans="1:2" ht="15.75" x14ac:dyDescent="0.5">
      <c r="A21">
        <v>120</v>
      </c>
      <c r="B21" s="88" t="s">
        <v>10249</v>
      </c>
    </row>
    <row r="22" spans="1:2" ht="15.75" x14ac:dyDescent="0.5">
      <c r="A22">
        <v>121</v>
      </c>
      <c r="B22" s="88" t="s">
        <v>10250</v>
      </c>
    </row>
    <row r="23" spans="1:2" ht="15.75" x14ac:dyDescent="0.5">
      <c r="A23">
        <v>130</v>
      </c>
      <c r="B23" s="88" t="s">
        <v>10251</v>
      </c>
    </row>
    <row r="24" spans="1:2" ht="15.75" x14ac:dyDescent="0.5">
      <c r="A24">
        <v>131</v>
      </c>
      <c r="B24" s="88" t="s">
        <v>10252</v>
      </c>
    </row>
    <row r="25" spans="1:2" ht="15.75" x14ac:dyDescent="0.5">
      <c r="A25">
        <v>140</v>
      </c>
      <c r="B25" s="88" t="s">
        <v>10253</v>
      </c>
    </row>
    <row r="26" spans="1:2" ht="15.75" x14ac:dyDescent="0.5">
      <c r="A26">
        <v>141</v>
      </c>
      <c r="B26" s="88" t="s">
        <v>10254</v>
      </c>
    </row>
    <row r="27" spans="1:2" ht="15.75" x14ac:dyDescent="0.5">
      <c r="A27">
        <v>150</v>
      </c>
      <c r="B27" s="88" t="s">
        <v>10255</v>
      </c>
    </row>
    <row r="28" spans="1:2" ht="15.75" x14ac:dyDescent="0.5">
      <c r="A28">
        <v>151</v>
      </c>
      <c r="B28" s="88" t="s">
        <v>10256</v>
      </c>
    </row>
    <row r="29" spans="1:2" ht="15.75" x14ac:dyDescent="0.5">
      <c r="A29">
        <v>160</v>
      </c>
      <c r="B29" s="88" t="s">
        <v>10257</v>
      </c>
    </row>
    <row r="30" spans="1:2" ht="15.75" x14ac:dyDescent="0.5">
      <c r="A30">
        <v>161</v>
      </c>
      <c r="B30" s="88" t="s">
        <v>10258</v>
      </c>
    </row>
    <row r="31" spans="1:2" ht="15.75" x14ac:dyDescent="0.5">
      <c r="A31">
        <v>170</v>
      </c>
      <c r="B31" s="88" t="s">
        <v>10237</v>
      </c>
    </row>
    <row r="32" spans="1:2" ht="15.75" x14ac:dyDescent="0.5">
      <c r="A32">
        <v>180</v>
      </c>
      <c r="B32" s="88" t="s">
        <v>10238</v>
      </c>
    </row>
    <row r="33" spans="1:2" ht="15.75" x14ac:dyDescent="0.5">
      <c r="A33">
        <v>190</v>
      </c>
      <c r="B33" s="87" t="s">
        <v>10239</v>
      </c>
    </row>
    <row r="34" spans="1:2" ht="15.75" x14ac:dyDescent="0.5">
      <c r="A34">
        <v>200</v>
      </c>
      <c r="B34" s="88" t="s">
        <v>10240</v>
      </c>
    </row>
    <row r="35" spans="1:2" ht="15.75" x14ac:dyDescent="0.5">
      <c r="A35">
        <v>210</v>
      </c>
      <c r="B35" s="88" t="s">
        <v>10241</v>
      </c>
    </row>
    <row r="36" spans="1:2" ht="15.75" x14ac:dyDescent="0.5">
      <c r="A36">
        <v>320</v>
      </c>
      <c r="B36" s="88" t="s">
        <v>10260</v>
      </c>
    </row>
    <row r="37" spans="1:2" ht="15.75" x14ac:dyDescent="0.5">
      <c r="A37">
        <v>330</v>
      </c>
      <c r="B37" s="88" t="s">
        <v>10261</v>
      </c>
    </row>
    <row r="38" spans="1:2" ht="15.75" x14ac:dyDescent="0.5">
      <c r="A38">
        <v>340</v>
      </c>
      <c r="B38" s="88" t="s">
        <v>10262</v>
      </c>
    </row>
    <row r="39" spans="1:2" ht="15.75" x14ac:dyDescent="0.5">
      <c r="A39">
        <v>341</v>
      </c>
      <c r="B39" s="88" t="s">
        <v>10265</v>
      </c>
    </row>
    <row r="40" spans="1:2" ht="15.75" x14ac:dyDescent="0.5">
      <c r="A40">
        <v>342</v>
      </c>
      <c r="B40" s="88" t="s">
        <v>10266</v>
      </c>
    </row>
    <row r="41" spans="1:2" ht="15.75" x14ac:dyDescent="0.5">
      <c r="A41">
        <v>343</v>
      </c>
      <c r="B41" s="88" t="s">
        <v>10267</v>
      </c>
    </row>
    <row r="42" spans="1:2" ht="15.75" x14ac:dyDescent="0.5">
      <c r="A42">
        <v>344</v>
      </c>
      <c r="B42" s="88" t="s">
        <v>10268</v>
      </c>
    </row>
    <row r="43" spans="1:2" ht="15.75" x14ac:dyDescent="0.5">
      <c r="A43">
        <v>345</v>
      </c>
      <c r="B43" s="88" t="s">
        <v>10269</v>
      </c>
    </row>
    <row r="44" spans="1:2" ht="15.75" x14ac:dyDescent="0.5">
      <c r="A44">
        <v>346</v>
      </c>
      <c r="B44" s="88" t="s">
        <v>10270</v>
      </c>
    </row>
    <row r="45" spans="1:2" ht="15.75" x14ac:dyDescent="0.5">
      <c r="A45">
        <v>347</v>
      </c>
      <c r="B45" s="88" t="s">
        <v>10271</v>
      </c>
    </row>
    <row r="46" spans="1:2" ht="15.75" x14ac:dyDescent="0.5">
      <c r="A46">
        <v>348</v>
      </c>
      <c r="B46" s="88" t="s">
        <v>10272</v>
      </c>
    </row>
    <row r="47" spans="1:2" ht="15.75" x14ac:dyDescent="0.5">
      <c r="A47">
        <v>350</v>
      </c>
      <c r="B47" s="88" t="s">
        <v>10263</v>
      </c>
    </row>
    <row r="48" spans="1:2" ht="15.75" x14ac:dyDescent="0.5">
      <c r="A48">
        <v>351</v>
      </c>
      <c r="B48" s="88" t="s">
        <v>10273</v>
      </c>
    </row>
    <row r="49" spans="1:2" ht="15.75" x14ac:dyDescent="0.5">
      <c r="A49">
        <v>352</v>
      </c>
      <c r="B49" s="88" t="s">
        <v>10274</v>
      </c>
    </row>
    <row r="50" spans="1:2" ht="15.75" x14ac:dyDescent="0.5">
      <c r="A50">
        <v>353</v>
      </c>
      <c r="B50" s="87" t="s">
        <v>10275</v>
      </c>
    </row>
    <row r="51" spans="1:2" ht="15.75" x14ac:dyDescent="0.5">
      <c r="A51">
        <v>360</v>
      </c>
      <c r="B51" s="88" t="s">
        <v>10264</v>
      </c>
    </row>
    <row r="52" spans="1:2" ht="15.75" x14ac:dyDescent="0.5">
      <c r="A52">
        <v>480</v>
      </c>
      <c r="B52" s="88" t="s">
        <v>10276</v>
      </c>
    </row>
    <row r="53" spans="1:2" ht="15.75" x14ac:dyDescent="0.5">
      <c r="A53">
        <v>490</v>
      </c>
      <c r="B53" s="88" t="s">
        <v>10277</v>
      </c>
    </row>
    <row r="54" spans="1:2" ht="15.75" x14ac:dyDescent="0.5">
      <c r="A54">
        <v>530</v>
      </c>
      <c r="B54" s="88" t="s">
        <v>10281</v>
      </c>
    </row>
  </sheetData>
  <sortState xmlns:xlrd2="http://schemas.microsoft.com/office/spreadsheetml/2017/richdata2" ref="A2:B54">
    <sortCondition ref="A2:A54"/>
  </sortState>
  <conditionalFormatting sqref="A1:A1048576">
    <cfRule type="duplicateValues" dxfId="7" priority="1"/>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N1430"/>
  <sheetViews>
    <sheetView topLeftCell="V1" zoomScale="85" zoomScaleNormal="85" workbookViewId="0">
      <pane ySplit="1" topLeftCell="A2" activePane="bottomLeft" state="frozen"/>
      <selection pane="bottomLeft" activeCell="AC16" sqref="AC16"/>
    </sheetView>
  </sheetViews>
  <sheetFormatPr defaultColWidth="9.1328125" defaultRowHeight="14.25" x14ac:dyDescent="0.45"/>
  <cols>
    <col min="1" max="1" width="46.73046875" bestFit="1" customWidth="1"/>
    <col min="2" max="40" width="11.86328125" customWidth="1"/>
  </cols>
  <sheetData>
    <row r="1" spans="1:40" s="1" customFormat="1" x14ac:dyDescent="0.45">
      <c r="A1" s="1" t="s">
        <v>124</v>
      </c>
      <c r="B1" s="1" t="str">
        <f>$A2</f>
        <v>Adult Community And Further Education Board</v>
      </c>
      <c r="C1" s="1" t="str">
        <f t="shared" ref="C1:H1" ca="1" si="0">OFFSET($A2,(MATCH(B1,$A:$A)-1),0)</f>
        <v>AMES Australia</v>
      </c>
      <c r="D1" s="1" t="str">
        <f t="shared" ca="1" si="0"/>
        <v>Australian Centre of Further Education</v>
      </c>
      <c r="E1" s="1" t="str">
        <f t="shared" ca="1" si="0"/>
        <v>Ballarat ACFE</v>
      </c>
      <c r="F1" s="1" t="str">
        <f t="shared" ca="1" si="0"/>
        <v>Barwon South Western Regional Council Of ACFE</v>
      </c>
      <c r="G1" s="1" t="str">
        <f t="shared" ca="1" si="0"/>
        <v>Bendigo Kangan Institute</v>
      </c>
      <c r="H1" s="1" t="str">
        <f t="shared" ca="1" si="0"/>
        <v>Box Hill Institute</v>
      </c>
      <c r="I1" s="1" t="str">
        <f t="shared" ref="I1:AN1" ca="1" si="1">OFFSET($A2,(MATCH(H1,$A:$A)-1),0)</f>
        <v>Castlemaine ACFE</v>
      </c>
      <c r="J1" s="1" t="str">
        <f t="shared" ca="1" si="1"/>
        <v>Centre for Adult Education</v>
      </c>
      <c r="K1" s="1" t="str">
        <f t="shared" ca="1" si="1"/>
        <v>Chisholm Institute</v>
      </c>
      <c r="L1" s="1" t="str">
        <f t="shared" ca="1" si="1"/>
        <v>Creswick ACFE</v>
      </c>
      <c r="M1" s="1" t="str">
        <f t="shared" ca="1" si="1"/>
        <v>Department of Education and Training (DET)</v>
      </c>
      <c r="N1" s="1" t="str">
        <f t="shared" ca="1" si="1"/>
        <v>Diamond Creek ACFE</v>
      </c>
      <c r="O1" s="1" t="str">
        <f t="shared" ca="1" si="1"/>
        <v>Diamond Creek Living and Learning Centre</v>
      </c>
      <c r="P1" s="1" t="str">
        <f t="shared" ca="1" si="1"/>
        <v>Disciplinary Appeals Board</v>
      </c>
      <c r="Q1" s="1" t="str">
        <f t="shared" ca="1" si="1"/>
        <v>Gordon Institute of TAFE</v>
      </c>
      <c r="R1" s="1" t="str">
        <f t="shared" ca="1" si="1"/>
        <v>GOTEC Limited</v>
      </c>
      <c r="S1" s="1" t="str">
        <f t="shared" ca="1" si="1"/>
        <v>Goulburn Ovens Institute of TAFE</v>
      </c>
      <c r="T1" s="1" t="str">
        <f t="shared" ca="1" si="1"/>
        <v>Holmesglen Institute</v>
      </c>
      <c r="U1" s="1" t="str">
        <f t="shared" ca="1" si="1"/>
        <v>International Fibre Centre Ltd</v>
      </c>
      <c r="V1" s="1" t="str">
        <f t="shared" ca="1" si="1"/>
        <v>Judicial College Of Victoria</v>
      </c>
      <c r="W1" s="1" t="str">
        <f t="shared" ca="1" si="1"/>
        <v>Melbourne ACFE</v>
      </c>
      <c r="X1" s="1" t="str">
        <f t="shared" ca="1" si="1"/>
        <v>Melbourne Polytechnic</v>
      </c>
      <c r="Y1" s="1" t="str">
        <f t="shared" ca="1" si="1"/>
        <v>Merit Protection Boards</v>
      </c>
      <c r="Z1" s="1" t="str">
        <f t="shared" ca="1" si="1"/>
        <v>Orbost ACFE</v>
      </c>
      <c r="AA1" s="1" t="str">
        <f t="shared" ca="1" si="1"/>
        <v>South West Institute of TAFE</v>
      </c>
      <c r="AB1" s="1" t="str">
        <f t="shared" ca="1" si="1"/>
        <v>Sunraysia Institute of TAFE</v>
      </c>
      <c r="AC1" s="1" t="str">
        <f t="shared" ca="1" si="1"/>
        <v>TAFE Gippsland</v>
      </c>
      <c r="AD1" s="1" t="str">
        <f t="shared" ca="1" si="1"/>
        <v>TAFE Online Pty Ltd</v>
      </c>
      <c r="AE1" s="1" t="str">
        <f t="shared" ca="1" si="1"/>
        <v>VET Development Centre Ltd</v>
      </c>
      <c r="AF1" s="1" t="str">
        <f t="shared" ca="1" si="1"/>
        <v>Victorian Curriculum And Assessment Authority</v>
      </c>
      <c r="AG1" s="1" t="str">
        <f t="shared" ca="1" si="1"/>
        <v>Victorian Institute Of Teaching</v>
      </c>
      <c r="AH1" s="1" t="str">
        <f t="shared" ca="1" si="1"/>
        <v>Victorian Registration &amp; Qualifications Authority</v>
      </c>
      <c r="AI1" s="1" t="str">
        <f t="shared" ca="1" si="1"/>
        <v>Victorian School Building Authority (VSBA)</v>
      </c>
      <c r="AJ1" s="1" t="str">
        <f t="shared" ca="1" si="1"/>
        <v>Wangaratta ACFE</v>
      </c>
      <c r="AK1" s="1" t="str">
        <f t="shared" ca="1" si="1"/>
        <v>Warrnambool ACFE</v>
      </c>
      <c r="AL1" s="1" t="str">
        <f t="shared" ca="1" si="1"/>
        <v>William Angliss Institute of TAFE</v>
      </c>
      <c r="AM1" s="1" t="str">
        <f t="shared" ca="1" si="1"/>
        <v>Wodonga ACFE</v>
      </c>
      <c r="AN1" s="1" t="str">
        <f t="shared" ca="1" si="1"/>
        <v>Wodonga Institute of TAFE</v>
      </c>
    </row>
    <row r="2" spans="1:40" x14ac:dyDescent="0.45">
      <c r="A2" t="str">
        <f>'State Depts'!E2</f>
        <v>Adult Community And Further Education Board</v>
      </c>
      <c r="G2" t="s">
        <v>2549</v>
      </c>
      <c r="AB2" t="s">
        <v>5309</v>
      </c>
      <c r="AC2" t="s">
        <v>10679</v>
      </c>
      <c r="AI2" t="s">
        <v>2265</v>
      </c>
      <c r="AL2" t="s">
        <v>5303</v>
      </c>
      <c r="AN2" t="s">
        <v>5306</v>
      </c>
    </row>
    <row r="3" spans="1:40" x14ac:dyDescent="0.45">
      <c r="A3" t="str">
        <f>'State Depts'!E3</f>
        <v>AMES Australia</v>
      </c>
      <c r="G3" t="s">
        <v>2550</v>
      </c>
      <c r="AC3" t="s">
        <v>10680</v>
      </c>
      <c r="AI3" t="s">
        <v>2266</v>
      </c>
      <c r="AL3" t="s">
        <v>5304</v>
      </c>
    </row>
    <row r="4" spans="1:40" x14ac:dyDescent="0.45">
      <c r="A4" t="str">
        <f>'State Depts'!E4</f>
        <v>Australian Centre of Further Education</v>
      </c>
      <c r="AC4" t="s">
        <v>10681</v>
      </c>
      <c r="AI4" t="s">
        <v>2272</v>
      </c>
      <c r="AL4" t="s">
        <v>5305</v>
      </c>
    </row>
    <row r="5" spans="1:40" x14ac:dyDescent="0.45">
      <c r="A5" t="str">
        <f>'State Depts'!E5</f>
        <v>Ballarat ACFE</v>
      </c>
      <c r="AC5" t="s">
        <v>10682</v>
      </c>
      <c r="AI5" t="s">
        <v>2282</v>
      </c>
    </row>
    <row r="6" spans="1:40" x14ac:dyDescent="0.45">
      <c r="A6" t="str">
        <f>'State Depts'!E6</f>
        <v>Barwon South Western Regional Council Of ACFE</v>
      </c>
      <c r="AC6" t="s">
        <v>10683</v>
      </c>
      <c r="AI6" t="s">
        <v>2283</v>
      </c>
    </row>
    <row r="7" spans="1:40" x14ac:dyDescent="0.45">
      <c r="A7" t="str">
        <f>'State Depts'!E7</f>
        <v>Bendigo Kangan Institute</v>
      </c>
      <c r="AC7" t="s">
        <v>10684</v>
      </c>
      <c r="AI7" t="s">
        <v>2285</v>
      </c>
    </row>
    <row r="8" spans="1:40" x14ac:dyDescent="0.45">
      <c r="A8" t="str">
        <f>'State Depts'!E8</f>
        <v>Box Hill Institute</v>
      </c>
      <c r="AC8" t="s">
        <v>10685</v>
      </c>
      <c r="AI8" t="s">
        <v>1453</v>
      </c>
    </row>
    <row r="9" spans="1:40" x14ac:dyDescent="0.45">
      <c r="A9" t="str">
        <f>'State Depts'!E9</f>
        <v>Castlemaine ACFE</v>
      </c>
      <c r="AC9" t="s">
        <v>10686</v>
      </c>
      <c r="AI9" t="s">
        <v>1468</v>
      </c>
    </row>
    <row r="10" spans="1:40" x14ac:dyDescent="0.45">
      <c r="A10" t="str">
        <f>'State Depts'!E10</f>
        <v>Centre for Adult Education</v>
      </c>
      <c r="AC10" t="s">
        <v>10687</v>
      </c>
      <c r="AI10" t="s">
        <v>2539</v>
      </c>
    </row>
    <row r="11" spans="1:40" x14ac:dyDescent="0.45">
      <c r="A11" t="str">
        <f>'State Depts'!E11</f>
        <v>Chisholm Institute</v>
      </c>
      <c r="AC11" t="s">
        <v>10688</v>
      </c>
      <c r="AI11" t="s">
        <v>1469</v>
      </c>
    </row>
    <row r="12" spans="1:40" x14ac:dyDescent="0.45">
      <c r="A12" t="str">
        <f>'State Depts'!E12</f>
        <v>Creswick ACFE</v>
      </c>
      <c r="AC12" t="s">
        <v>10689</v>
      </c>
      <c r="AI12" t="s">
        <v>1470</v>
      </c>
    </row>
    <row r="13" spans="1:40" x14ac:dyDescent="0.45">
      <c r="A13" t="str">
        <f>'State Depts'!E13</f>
        <v>Department of Education and Training (DET)</v>
      </c>
      <c r="AC13" t="s">
        <v>10692</v>
      </c>
      <c r="AI13" t="s">
        <v>1471</v>
      </c>
    </row>
    <row r="14" spans="1:40" x14ac:dyDescent="0.45">
      <c r="A14" t="str">
        <f>'State Depts'!E14</f>
        <v>Diamond Creek ACFE</v>
      </c>
      <c r="AC14" t="s">
        <v>10690</v>
      </c>
      <c r="AI14" t="s">
        <v>1490</v>
      </c>
    </row>
    <row r="15" spans="1:40" x14ac:dyDescent="0.45">
      <c r="A15" t="str">
        <f>'State Depts'!E15</f>
        <v>Diamond Creek Living and Learning Centre</v>
      </c>
      <c r="AC15" t="s">
        <v>10691</v>
      </c>
      <c r="AI15" t="s">
        <v>1502</v>
      </c>
    </row>
    <row r="16" spans="1:40" x14ac:dyDescent="0.45">
      <c r="A16" t="str">
        <f>'State Depts'!E16</f>
        <v>Disciplinary Appeals Board</v>
      </c>
      <c r="AI16" t="s">
        <v>2154</v>
      </c>
    </row>
    <row r="17" spans="1:35" x14ac:dyDescent="0.45">
      <c r="A17" t="str">
        <f>'State Depts'!E17</f>
        <v>Gordon Institute of TAFE</v>
      </c>
      <c r="AI17" t="s">
        <v>2155</v>
      </c>
    </row>
    <row r="18" spans="1:35" x14ac:dyDescent="0.45">
      <c r="A18" t="str">
        <f>'State Depts'!E18</f>
        <v>GOTEC Limited</v>
      </c>
      <c r="AI18" t="s">
        <v>2156</v>
      </c>
    </row>
    <row r="19" spans="1:35" x14ac:dyDescent="0.45">
      <c r="A19" t="str">
        <f>'State Depts'!E19</f>
        <v>Goulburn Ovens Institute of TAFE</v>
      </c>
      <c r="AI19" t="s">
        <v>2160</v>
      </c>
    </row>
    <row r="20" spans="1:35" x14ac:dyDescent="0.45">
      <c r="A20" t="str">
        <f>'State Depts'!E20</f>
        <v>Holmesglen Institute</v>
      </c>
      <c r="AI20" t="s">
        <v>2161</v>
      </c>
    </row>
    <row r="21" spans="1:35" x14ac:dyDescent="0.45">
      <c r="A21" t="str">
        <f>'State Depts'!E21</f>
        <v>International Fibre Centre Ltd</v>
      </c>
      <c r="AI21" t="s">
        <v>2157</v>
      </c>
    </row>
    <row r="22" spans="1:35" x14ac:dyDescent="0.45">
      <c r="A22" t="str">
        <f>'State Depts'!E22</f>
        <v>Judicial College Of Victoria</v>
      </c>
      <c r="AI22" t="s">
        <v>2166</v>
      </c>
    </row>
    <row r="23" spans="1:35" x14ac:dyDescent="0.45">
      <c r="A23" t="str">
        <f>'State Depts'!E23</f>
        <v>Melbourne ACFE</v>
      </c>
      <c r="AI23" t="s">
        <v>2163</v>
      </c>
    </row>
    <row r="24" spans="1:35" x14ac:dyDescent="0.45">
      <c r="A24" t="str">
        <f>'State Depts'!E24</f>
        <v>Melbourne Polytechnic</v>
      </c>
      <c r="AI24" t="s">
        <v>2164</v>
      </c>
    </row>
    <row r="25" spans="1:35" x14ac:dyDescent="0.45">
      <c r="A25" t="str">
        <f>'State Depts'!E25</f>
        <v>Merit Protection Boards</v>
      </c>
      <c r="AI25" t="s">
        <v>2165</v>
      </c>
    </row>
    <row r="26" spans="1:35" x14ac:dyDescent="0.45">
      <c r="A26" t="str">
        <f>'State Depts'!E26</f>
        <v>Orbost ACFE</v>
      </c>
      <c r="AI26" t="s">
        <v>1305</v>
      </c>
    </row>
    <row r="27" spans="1:35" x14ac:dyDescent="0.45">
      <c r="A27" t="str">
        <f>'State Depts'!E27</f>
        <v>South West Institute of TAFE</v>
      </c>
      <c r="AI27" t="s">
        <v>1306</v>
      </c>
    </row>
    <row r="28" spans="1:35" x14ac:dyDescent="0.45">
      <c r="A28" t="str">
        <f>'State Depts'!E28</f>
        <v>Sunraysia Institute of TAFE</v>
      </c>
      <c r="AI28" t="s">
        <v>1232</v>
      </c>
    </row>
    <row r="29" spans="1:35" x14ac:dyDescent="0.45">
      <c r="A29" t="str">
        <f>'State Depts'!E29</f>
        <v>TAFE Gippsland</v>
      </c>
      <c r="AI29" t="s">
        <v>2305</v>
      </c>
    </row>
    <row r="30" spans="1:35" x14ac:dyDescent="0.45">
      <c r="A30" t="str">
        <f>'State Depts'!E30</f>
        <v>TAFE Online Pty Ltd</v>
      </c>
      <c r="AI30" t="s">
        <v>2306</v>
      </c>
    </row>
    <row r="31" spans="1:35" x14ac:dyDescent="0.45">
      <c r="A31" t="str">
        <f>'State Depts'!E31</f>
        <v>VET Development Centre Ltd</v>
      </c>
      <c r="AI31" t="s">
        <v>2307</v>
      </c>
    </row>
    <row r="32" spans="1:35" x14ac:dyDescent="0.45">
      <c r="A32" t="str">
        <f>'State Depts'!E32</f>
        <v>Victorian Curriculum And Assessment Authority</v>
      </c>
      <c r="AI32" t="s">
        <v>2308</v>
      </c>
    </row>
    <row r="33" spans="1:35" x14ac:dyDescent="0.45">
      <c r="A33" t="str">
        <f>'State Depts'!E33</f>
        <v>Victorian Institute Of Teaching</v>
      </c>
      <c r="AI33" t="s">
        <v>2309</v>
      </c>
    </row>
    <row r="34" spans="1:35" x14ac:dyDescent="0.45">
      <c r="A34" t="str">
        <f>'State Depts'!E34</f>
        <v>Victorian Registration &amp; Qualifications Authority</v>
      </c>
      <c r="AI34" t="s">
        <v>2310</v>
      </c>
    </row>
    <row r="35" spans="1:35" x14ac:dyDescent="0.45">
      <c r="A35" t="str">
        <f>'State Depts'!E35</f>
        <v>Victorian School Building Authority (VSBA)</v>
      </c>
      <c r="AI35" t="s">
        <v>1686</v>
      </c>
    </row>
    <row r="36" spans="1:35" x14ac:dyDescent="0.45">
      <c r="A36" t="str">
        <f>'State Depts'!E36</f>
        <v>Wangaratta ACFE</v>
      </c>
      <c r="AI36" t="s">
        <v>1687</v>
      </c>
    </row>
    <row r="37" spans="1:35" x14ac:dyDescent="0.45">
      <c r="A37" t="str">
        <f>'State Depts'!E37</f>
        <v>Warrnambool ACFE</v>
      </c>
      <c r="AI37" t="s">
        <v>2540</v>
      </c>
    </row>
    <row r="38" spans="1:35" x14ac:dyDescent="0.45">
      <c r="A38" t="str">
        <f>'State Depts'!E38</f>
        <v>William Angliss Institute of TAFE</v>
      </c>
      <c r="AI38" t="s">
        <v>1688</v>
      </c>
    </row>
    <row r="39" spans="1:35" x14ac:dyDescent="0.45">
      <c r="A39" t="str">
        <f>'State Depts'!E39</f>
        <v>Wodonga ACFE</v>
      </c>
      <c r="AI39" t="s">
        <v>1690</v>
      </c>
    </row>
    <row r="40" spans="1:35" x14ac:dyDescent="0.45">
      <c r="A40" t="str">
        <f>'State Depts'!E40</f>
        <v>Wodonga Institute of TAFE</v>
      </c>
      <c r="AI40" t="s">
        <v>1679</v>
      </c>
    </row>
    <row r="41" spans="1:35" x14ac:dyDescent="0.45">
      <c r="AI41" t="s">
        <v>1680</v>
      </c>
    </row>
    <row r="42" spans="1:35" x14ac:dyDescent="0.45">
      <c r="AI42" t="s">
        <v>1681</v>
      </c>
    </row>
    <row r="43" spans="1:35" x14ac:dyDescent="0.45">
      <c r="AI43" t="s">
        <v>1666</v>
      </c>
    </row>
    <row r="44" spans="1:35" x14ac:dyDescent="0.45">
      <c r="AI44" t="s">
        <v>1667</v>
      </c>
    </row>
    <row r="45" spans="1:35" x14ac:dyDescent="0.45">
      <c r="AI45" t="s">
        <v>1668</v>
      </c>
    </row>
    <row r="46" spans="1:35" x14ac:dyDescent="0.45">
      <c r="AI46" t="s">
        <v>1669</v>
      </c>
    </row>
    <row r="47" spans="1:35" x14ac:dyDescent="0.45">
      <c r="AI47" t="s">
        <v>1670</v>
      </c>
    </row>
    <row r="48" spans="1:35" x14ac:dyDescent="0.45">
      <c r="AI48" t="s">
        <v>1671</v>
      </c>
    </row>
    <row r="49" spans="35:35" x14ac:dyDescent="0.45">
      <c r="AI49" t="s">
        <v>1672</v>
      </c>
    </row>
    <row r="50" spans="35:35" x14ac:dyDescent="0.45">
      <c r="AI50" t="s">
        <v>1271</v>
      </c>
    </row>
    <row r="51" spans="35:35" x14ac:dyDescent="0.45">
      <c r="AI51" t="s">
        <v>1272</v>
      </c>
    </row>
    <row r="52" spans="35:35" x14ac:dyDescent="0.45">
      <c r="AI52" t="s">
        <v>1292</v>
      </c>
    </row>
    <row r="53" spans="35:35" x14ac:dyDescent="0.45">
      <c r="AI53" t="s">
        <v>1293</v>
      </c>
    </row>
    <row r="54" spans="35:35" x14ac:dyDescent="0.45">
      <c r="AI54" t="s">
        <v>1689</v>
      </c>
    </row>
    <row r="55" spans="35:35" x14ac:dyDescent="0.45">
      <c r="AI55" t="s">
        <v>1723</v>
      </c>
    </row>
    <row r="56" spans="35:35" x14ac:dyDescent="0.45">
      <c r="AI56" t="s">
        <v>1724</v>
      </c>
    </row>
    <row r="57" spans="35:35" x14ac:dyDescent="0.45">
      <c r="AI57" t="s">
        <v>1706</v>
      </c>
    </row>
    <row r="58" spans="35:35" x14ac:dyDescent="0.45">
      <c r="AI58" t="s">
        <v>1709</v>
      </c>
    </row>
    <row r="59" spans="35:35" x14ac:dyDescent="0.45">
      <c r="AI59" t="s">
        <v>1710</v>
      </c>
    </row>
    <row r="60" spans="35:35" x14ac:dyDescent="0.45">
      <c r="AI60" t="s">
        <v>1711</v>
      </c>
    </row>
    <row r="61" spans="35:35" x14ac:dyDescent="0.45">
      <c r="AI61" t="s">
        <v>1712</v>
      </c>
    </row>
    <row r="62" spans="35:35" x14ac:dyDescent="0.45">
      <c r="AI62" t="s">
        <v>1713</v>
      </c>
    </row>
    <row r="63" spans="35:35" x14ac:dyDescent="0.45">
      <c r="AI63" t="s">
        <v>1715</v>
      </c>
    </row>
    <row r="64" spans="35:35" x14ac:dyDescent="0.45">
      <c r="AI64" t="s">
        <v>1716</v>
      </c>
    </row>
    <row r="65" spans="35:35" x14ac:dyDescent="0.45">
      <c r="AI65" t="s">
        <v>2301</v>
      </c>
    </row>
    <row r="66" spans="35:35" x14ac:dyDescent="0.45">
      <c r="AI66" t="s">
        <v>2302</v>
      </c>
    </row>
    <row r="67" spans="35:35" x14ac:dyDescent="0.45">
      <c r="AI67" t="s">
        <v>2303</v>
      </c>
    </row>
    <row r="68" spans="35:35" x14ac:dyDescent="0.45">
      <c r="AI68" t="s">
        <v>2304</v>
      </c>
    </row>
    <row r="69" spans="35:35" x14ac:dyDescent="0.45">
      <c r="AI69" t="s">
        <v>2311</v>
      </c>
    </row>
    <row r="70" spans="35:35" x14ac:dyDescent="0.45">
      <c r="AI70" t="s">
        <v>1257</v>
      </c>
    </row>
    <row r="71" spans="35:35" x14ac:dyDescent="0.45">
      <c r="AI71" t="s">
        <v>1258</v>
      </c>
    </row>
    <row r="72" spans="35:35" x14ac:dyDescent="0.45">
      <c r="AI72" t="s">
        <v>1259</v>
      </c>
    </row>
    <row r="73" spans="35:35" x14ac:dyDescent="0.45">
      <c r="AI73" t="s">
        <v>1266</v>
      </c>
    </row>
    <row r="74" spans="35:35" x14ac:dyDescent="0.45">
      <c r="AI74" t="s">
        <v>1267</v>
      </c>
    </row>
    <row r="75" spans="35:35" x14ac:dyDescent="0.45">
      <c r="AI75" t="s">
        <v>1300</v>
      </c>
    </row>
    <row r="76" spans="35:35" x14ac:dyDescent="0.45">
      <c r="AI76" t="s">
        <v>1233</v>
      </c>
    </row>
    <row r="77" spans="35:35" x14ac:dyDescent="0.45">
      <c r="AI77" t="s">
        <v>1234</v>
      </c>
    </row>
    <row r="78" spans="35:35" x14ac:dyDescent="0.45">
      <c r="AI78" t="s">
        <v>1238</v>
      </c>
    </row>
    <row r="79" spans="35:35" x14ac:dyDescent="0.45">
      <c r="AI79" t="s">
        <v>1239</v>
      </c>
    </row>
    <row r="80" spans="35:35" x14ac:dyDescent="0.45">
      <c r="AI80" t="s">
        <v>1682</v>
      </c>
    </row>
    <row r="81" spans="35:35" x14ac:dyDescent="0.45">
      <c r="AI81" t="s">
        <v>1683</v>
      </c>
    </row>
    <row r="82" spans="35:35" x14ac:dyDescent="0.45">
      <c r="AI82" t="s">
        <v>1684</v>
      </c>
    </row>
    <row r="83" spans="35:35" x14ac:dyDescent="0.45">
      <c r="AI83" t="s">
        <v>1685</v>
      </c>
    </row>
    <row r="84" spans="35:35" x14ac:dyDescent="0.45">
      <c r="AI84" t="s">
        <v>2312</v>
      </c>
    </row>
    <row r="85" spans="35:35" x14ac:dyDescent="0.45">
      <c r="AI85" t="s">
        <v>2313</v>
      </c>
    </row>
    <row r="86" spans="35:35" x14ac:dyDescent="0.45">
      <c r="AI86" t="s">
        <v>2314</v>
      </c>
    </row>
    <row r="87" spans="35:35" x14ac:dyDescent="0.45">
      <c r="AI87" t="s">
        <v>2327</v>
      </c>
    </row>
    <row r="88" spans="35:35" x14ac:dyDescent="0.45">
      <c r="AI88" t="s">
        <v>2328</v>
      </c>
    </row>
    <row r="89" spans="35:35" x14ac:dyDescent="0.45">
      <c r="AI89" t="s">
        <v>2334</v>
      </c>
    </row>
    <row r="90" spans="35:35" x14ac:dyDescent="0.45">
      <c r="AI90" t="s">
        <v>2335</v>
      </c>
    </row>
    <row r="91" spans="35:35" x14ac:dyDescent="0.45">
      <c r="AI91" t="s">
        <v>2337</v>
      </c>
    </row>
    <row r="92" spans="35:35" x14ac:dyDescent="0.45">
      <c r="AI92" t="s">
        <v>2338</v>
      </c>
    </row>
    <row r="93" spans="35:35" x14ac:dyDescent="0.45">
      <c r="AI93" t="s">
        <v>2339</v>
      </c>
    </row>
    <row r="94" spans="35:35" x14ac:dyDescent="0.45">
      <c r="AI94" t="s">
        <v>2344</v>
      </c>
    </row>
    <row r="95" spans="35:35" x14ac:dyDescent="0.45">
      <c r="AI95" t="s">
        <v>2345</v>
      </c>
    </row>
    <row r="96" spans="35:35" x14ac:dyDescent="0.45">
      <c r="AI96" t="s">
        <v>1849</v>
      </c>
    </row>
    <row r="97" spans="35:35" x14ac:dyDescent="0.45">
      <c r="AI97" t="s">
        <v>1850</v>
      </c>
    </row>
    <row r="98" spans="35:35" x14ac:dyDescent="0.45">
      <c r="AI98" t="s">
        <v>1851</v>
      </c>
    </row>
    <row r="99" spans="35:35" x14ac:dyDescent="0.45">
      <c r="AI99" t="s">
        <v>1874</v>
      </c>
    </row>
    <row r="100" spans="35:35" x14ac:dyDescent="0.45">
      <c r="AI100" t="s">
        <v>1852</v>
      </c>
    </row>
    <row r="101" spans="35:35" x14ac:dyDescent="0.45">
      <c r="AI101" t="s">
        <v>1875</v>
      </c>
    </row>
    <row r="102" spans="35:35" x14ac:dyDescent="0.45">
      <c r="AI102" t="s">
        <v>1853</v>
      </c>
    </row>
    <row r="103" spans="35:35" x14ac:dyDescent="0.45">
      <c r="AI103" t="s">
        <v>1854</v>
      </c>
    </row>
    <row r="104" spans="35:35" x14ac:dyDescent="0.45">
      <c r="AI104" t="s">
        <v>1855</v>
      </c>
    </row>
    <row r="105" spans="35:35" x14ac:dyDescent="0.45">
      <c r="AI105" t="s">
        <v>1856</v>
      </c>
    </row>
    <row r="106" spans="35:35" x14ac:dyDescent="0.45">
      <c r="AI106" t="s">
        <v>1859</v>
      </c>
    </row>
    <row r="107" spans="35:35" x14ac:dyDescent="0.45">
      <c r="AI107" t="s">
        <v>1868</v>
      </c>
    </row>
    <row r="108" spans="35:35" x14ac:dyDescent="0.45">
      <c r="AI108" t="s">
        <v>1867</v>
      </c>
    </row>
    <row r="109" spans="35:35" x14ac:dyDescent="0.45">
      <c r="AI109" t="s">
        <v>1882</v>
      </c>
    </row>
    <row r="110" spans="35:35" x14ac:dyDescent="0.45">
      <c r="AI110" t="s">
        <v>1844</v>
      </c>
    </row>
    <row r="111" spans="35:35" x14ac:dyDescent="0.45">
      <c r="AI111" t="s">
        <v>1845</v>
      </c>
    </row>
    <row r="112" spans="35:35" x14ac:dyDescent="0.45">
      <c r="AI112" t="s">
        <v>1846</v>
      </c>
    </row>
    <row r="113" spans="35:35" x14ac:dyDescent="0.45">
      <c r="AI113" t="s">
        <v>1847</v>
      </c>
    </row>
    <row r="114" spans="35:35" x14ac:dyDescent="0.45">
      <c r="AI114" t="s">
        <v>1857</v>
      </c>
    </row>
    <row r="115" spans="35:35" x14ac:dyDescent="0.45">
      <c r="AI115" t="s">
        <v>1858</v>
      </c>
    </row>
    <row r="116" spans="35:35" x14ac:dyDescent="0.45">
      <c r="AI116" t="s">
        <v>1861</v>
      </c>
    </row>
    <row r="117" spans="35:35" x14ac:dyDescent="0.45">
      <c r="AI117" t="s">
        <v>1862</v>
      </c>
    </row>
    <row r="118" spans="35:35" x14ac:dyDescent="0.45">
      <c r="AI118" t="s">
        <v>1863</v>
      </c>
    </row>
    <row r="119" spans="35:35" x14ac:dyDescent="0.45">
      <c r="AI119" t="s">
        <v>1864</v>
      </c>
    </row>
    <row r="120" spans="35:35" x14ac:dyDescent="0.45">
      <c r="AI120" t="s">
        <v>1865</v>
      </c>
    </row>
    <row r="121" spans="35:35" x14ac:dyDescent="0.45">
      <c r="AI121" t="s">
        <v>1866</v>
      </c>
    </row>
    <row r="122" spans="35:35" x14ac:dyDescent="0.45">
      <c r="AI122" t="s">
        <v>1869</v>
      </c>
    </row>
    <row r="123" spans="35:35" x14ac:dyDescent="0.45">
      <c r="AI123" t="s">
        <v>1870</v>
      </c>
    </row>
    <row r="124" spans="35:35" x14ac:dyDescent="0.45">
      <c r="AI124" t="s">
        <v>1871</v>
      </c>
    </row>
    <row r="125" spans="35:35" x14ac:dyDescent="0.45">
      <c r="AI125" t="s">
        <v>1872</v>
      </c>
    </row>
    <row r="126" spans="35:35" x14ac:dyDescent="0.45">
      <c r="AI126" t="s">
        <v>1511</v>
      </c>
    </row>
    <row r="127" spans="35:35" x14ac:dyDescent="0.45">
      <c r="AI127" t="s">
        <v>1544</v>
      </c>
    </row>
    <row r="128" spans="35:35" x14ac:dyDescent="0.45">
      <c r="AI128" t="s">
        <v>1545</v>
      </c>
    </row>
    <row r="129" spans="35:35" x14ac:dyDescent="0.45">
      <c r="AI129" t="s">
        <v>1553</v>
      </c>
    </row>
    <row r="130" spans="35:35" x14ac:dyDescent="0.45">
      <c r="AI130" t="s">
        <v>2551</v>
      </c>
    </row>
    <row r="131" spans="35:35" x14ac:dyDescent="0.45">
      <c r="AI131" t="s">
        <v>1193</v>
      </c>
    </row>
    <row r="132" spans="35:35" x14ac:dyDescent="0.45">
      <c r="AI132" t="s">
        <v>1194</v>
      </c>
    </row>
    <row r="133" spans="35:35" x14ac:dyDescent="0.45">
      <c r="AI133" t="s">
        <v>2541</v>
      </c>
    </row>
    <row r="134" spans="35:35" x14ac:dyDescent="0.45">
      <c r="AI134" t="s">
        <v>1195</v>
      </c>
    </row>
    <row r="135" spans="35:35" x14ac:dyDescent="0.45">
      <c r="AI135" t="s">
        <v>1212</v>
      </c>
    </row>
    <row r="136" spans="35:35" x14ac:dyDescent="0.45">
      <c r="AI136" t="s">
        <v>1213</v>
      </c>
    </row>
    <row r="137" spans="35:35" x14ac:dyDescent="0.45">
      <c r="AI137" t="s">
        <v>1214</v>
      </c>
    </row>
    <row r="138" spans="35:35" x14ac:dyDescent="0.45">
      <c r="AI138" t="s">
        <v>1224</v>
      </c>
    </row>
    <row r="139" spans="35:35" x14ac:dyDescent="0.45">
      <c r="AI139" t="s">
        <v>1127</v>
      </c>
    </row>
    <row r="140" spans="35:35" x14ac:dyDescent="0.45">
      <c r="AI140" t="s">
        <v>1215</v>
      </c>
    </row>
    <row r="141" spans="35:35" x14ac:dyDescent="0.45">
      <c r="AI141" t="s">
        <v>1216</v>
      </c>
    </row>
    <row r="142" spans="35:35" x14ac:dyDescent="0.45">
      <c r="AI142" t="s">
        <v>1128</v>
      </c>
    </row>
    <row r="143" spans="35:35" x14ac:dyDescent="0.45">
      <c r="AI143" t="s">
        <v>1129</v>
      </c>
    </row>
    <row r="144" spans="35:35" x14ac:dyDescent="0.45">
      <c r="AI144" t="s">
        <v>1130</v>
      </c>
    </row>
    <row r="145" spans="35:35" x14ac:dyDescent="0.45">
      <c r="AI145" t="s">
        <v>1225</v>
      </c>
    </row>
    <row r="146" spans="35:35" x14ac:dyDescent="0.45">
      <c r="AI146" t="s">
        <v>1196</v>
      </c>
    </row>
    <row r="147" spans="35:35" x14ac:dyDescent="0.45">
      <c r="AI147" t="s">
        <v>1197</v>
      </c>
    </row>
    <row r="148" spans="35:35" x14ac:dyDescent="0.45">
      <c r="AI148" t="s">
        <v>1691</v>
      </c>
    </row>
    <row r="149" spans="35:35" x14ac:dyDescent="0.45">
      <c r="AI149" t="s">
        <v>1692</v>
      </c>
    </row>
    <row r="150" spans="35:35" x14ac:dyDescent="0.45">
      <c r="AI150" t="s">
        <v>1693</v>
      </c>
    </row>
    <row r="151" spans="35:35" x14ac:dyDescent="0.45">
      <c r="AI151" t="s">
        <v>1694</v>
      </c>
    </row>
    <row r="152" spans="35:35" x14ac:dyDescent="0.45">
      <c r="AI152" t="s">
        <v>1695</v>
      </c>
    </row>
    <row r="153" spans="35:35" x14ac:dyDescent="0.45">
      <c r="AI153" t="s">
        <v>1698</v>
      </c>
    </row>
    <row r="154" spans="35:35" x14ac:dyDescent="0.45">
      <c r="AI154" t="s">
        <v>1699</v>
      </c>
    </row>
    <row r="155" spans="35:35" x14ac:dyDescent="0.45">
      <c r="AI155" t="s">
        <v>1703</v>
      </c>
    </row>
    <row r="156" spans="35:35" x14ac:dyDescent="0.45">
      <c r="AI156" t="s">
        <v>1714</v>
      </c>
    </row>
    <row r="157" spans="35:35" x14ac:dyDescent="0.45">
      <c r="AI157" t="s">
        <v>1704</v>
      </c>
    </row>
    <row r="158" spans="35:35" x14ac:dyDescent="0.45">
      <c r="AI158" t="s">
        <v>2158</v>
      </c>
    </row>
    <row r="159" spans="35:35" x14ac:dyDescent="0.45">
      <c r="AI159" t="s">
        <v>2159</v>
      </c>
    </row>
    <row r="160" spans="35:35" x14ac:dyDescent="0.45">
      <c r="AI160" t="s">
        <v>2162</v>
      </c>
    </row>
    <row r="161" spans="35:35" x14ac:dyDescent="0.45">
      <c r="AI161" t="s">
        <v>2063</v>
      </c>
    </row>
    <row r="162" spans="35:35" x14ac:dyDescent="0.45">
      <c r="AI162" t="s">
        <v>2064</v>
      </c>
    </row>
    <row r="163" spans="35:35" x14ac:dyDescent="0.45">
      <c r="AI163" t="s">
        <v>2053</v>
      </c>
    </row>
    <row r="164" spans="35:35" x14ac:dyDescent="0.45">
      <c r="AI164" t="s">
        <v>2054</v>
      </c>
    </row>
    <row r="165" spans="35:35" x14ac:dyDescent="0.45">
      <c r="AI165" t="s">
        <v>2055</v>
      </c>
    </row>
    <row r="166" spans="35:35" x14ac:dyDescent="0.45">
      <c r="AI166" t="s">
        <v>2056</v>
      </c>
    </row>
    <row r="167" spans="35:35" x14ac:dyDescent="0.45">
      <c r="AI167" t="s">
        <v>2057</v>
      </c>
    </row>
    <row r="168" spans="35:35" x14ac:dyDescent="0.45">
      <c r="AI168" t="s">
        <v>2058</v>
      </c>
    </row>
    <row r="169" spans="35:35" x14ac:dyDescent="0.45">
      <c r="AI169" t="s">
        <v>2059</v>
      </c>
    </row>
    <row r="170" spans="35:35" x14ac:dyDescent="0.45">
      <c r="AI170" t="s">
        <v>2060</v>
      </c>
    </row>
    <row r="171" spans="35:35" x14ac:dyDescent="0.45">
      <c r="AI171" t="s">
        <v>2061</v>
      </c>
    </row>
    <row r="172" spans="35:35" x14ac:dyDescent="0.45">
      <c r="AI172" t="s">
        <v>2062</v>
      </c>
    </row>
    <row r="173" spans="35:35" x14ac:dyDescent="0.45">
      <c r="AI173" t="s">
        <v>1757</v>
      </c>
    </row>
    <row r="174" spans="35:35" x14ac:dyDescent="0.45">
      <c r="AI174" t="s">
        <v>1742</v>
      </c>
    </row>
    <row r="175" spans="35:35" x14ac:dyDescent="0.45">
      <c r="AI175" t="s">
        <v>1728</v>
      </c>
    </row>
    <row r="176" spans="35:35" x14ac:dyDescent="0.45">
      <c r="AI176" t="s">
        <v>1743</v>
      </c>
    </row>
    <row r="177" spans="35:35" x14ac:dyDescent="0.45">
      <c r="AI177" t="s">
        <v>1745</v>
      </c>
    </row>
    <row r="178" spans="35:35" x14ac:dyDescent="0.45">
      <c r="AI178" t="s">
        <v>1465</v>
      </c>
    </row>
    <row r="179" spans="35:35" x14ac:dyDescent="0.45">
      <c r="AI179" t="s">
        <v>1466</v>
      </c>
    </row>
    <row r="180" spans="35:35" x14ac:dyDescent="0.45">
      <c r="AI180" t="s">
        <v>1467</v>
      </c>
    </row>
    <row r="181" spans="35:35" x14ac:dyDescent="0.45">
      <c r="AI181" t="s">
        <v>1512</v>
      </c>
    </row>
    <row r="182" spans="35:35" x14ac:dyDescent="0.45">
      <c r="AI182" t="s">
        <v>1516</v>
      </c>
    </row>
    <row r="183" spans="35:35" x14ac:dyDescent="0.45">
      <c r="AI183" t="s">
        <v>1517</v>
      </c>
    </row>
    <row r="184" spans="35:35" x14ac:dyDescent="0.45">
      <c r="AI184" t="s">
        <v>1518</v>
      </c>
    </row>
    <row r="185" spans="35:35" x14ac:dyDescent="0.45">
      <c r="AI185" t="s">
        <v>1519</v>
      </c>
    </row>
    <row r="186" spans="35:35" x14ac:dyDescent="0.45">
      <c r="AI186" t="s">
        <v>1520</v>
      </c>
    </row>
    <row r="187" spans="35:35" x14ac:dyDescent="0.45">
      <c r="AI187" t="s">
        <v>1521</v>
      </c>
    </row>
    <row r="188" spans="35:35" x14ac:dyDescent="0.45">
      <c r="AI188" t="s">
        <v>1530</v>
      </c>
    </row>
    <row r="189" spans="35:35" x14ac:dyDescent="0.45">
      <c r="AI189" t="s">
        <v>1539</v>
      </c>
    </row>
    <row r="190" spans="35:35" x14ac:dyDescent="0.45">
      <c r="AI190" t="s">
        <v>1546</v>
      </c>
    </row>
    <row r="191" spans="35:35" x14ac:dyDescent="0.45">
      <c r="AI191" t="s">
        <v>1547</v>
      </c>
    </row>
    <row r="192" spans="35:35" x14ac:dyDescent="0.45">
      <c r="AI192" t="s">
        <v>2249</v>
      </c>
    </row>
    <row r="193" spans="35:35" x14ac:dyDescent="0.45">
      <c r="AI193" t="s">
        <v>2250</v>
      </c>
    </row>
    <row r="194" spans="35:35" x14ac:dyDescent="0.45">
      <c r="AI194" t="s">
        <v>2251</v>
      </c>
    </row>
    <row r="195" spans="35:35" x14ac:dyDescent="0.45">
      <c r="AI195" t="s">
        <v>2252</v>
      </c>
    </row>
    <row r="196" spans="35:35" x14ac:dyDescent="0.45">
      <c r="AI196" t="s">
        <v>2269</v>
      </c>
    </row>
    <row r="197" spans="35:35" x14ac:dyDescent="0.45">
      <c r="AI197" t="s">
        <v>2270</v>
      </c>
    </row>
    <row r="198" spans="35:35" x14ac:dyDescent="0.45">
      <c r="AI198" t="s">
        <v>2271</v>
      </c>
    </row>
    <row r="199" spans="35:35" x14ac:dyDescent="0.45">
      <c r="AI199" t="s">
        <v>2274</v>
      </c>
    </row>
    <row r="200" spans="35:35" x14ac:dyDescent="0.45">
      <c r="AI200" t="s">
        <v>2275</v>
      </c>
    </row>
    <row r="201" spans="35:35" x14ac:dyDescent="0.45">
      <c r="AI201" t="s">
        <v>2277</v>
      </c>
    </row>
    <row r="202" spans="35:35" x14ac:dyDescent="0.45">
      <c r="AI202" t="s">
        <v>2278</v>
      </c>
    </row>
    <row r="203" spans="35:35" x14ac:dyDescent="0.45">
      <c r="AI203" t="s">
        <v>2279</v>
      </c>
    </row>
    <row r="204" spans="35:35" x14ac:dyDescent="0.45">
      <c r="AI204" t="s">
        <v>2280</v>
      </c>
    </row>
    <row r="205" spans="35:35" x14ac:dyDescent="0.45">
      <c r="AI205" t="s">
        <v>2281</v>
      </c>
    </row>
    <row r="206" spans="35:35" x14ac:dyDescent="0.45">
      <c r="AI206" t="s">
        <v>2284</v>
      </c>
    </row>
    <row r="207" spans="35:35" x14ac:dyDescent="0.45">
      <c r="AI207" t="s">
        <v>1548</v>
      </c>
    </row>
    <row r="208" spans="35:35" x14ac:dyDescent="0.45">
      <c r="AI208" t="s">
        <v>1549</v>
      </c>
    </row>
    <row r="209" spans="35:35" x14ac:dyDescent="0.45">
      <c r="AI209" t="s">
        <v>1554</v>
      </c>
    </row>
    <row r="210" spans="35:35" x14ac:dyDescent="0.45">
      <c r="AI210" t="s">
        <v>1563</v>
      </c>
    </row>
    <row r="211" spans="35:35" x14ac:dyDescent="0.45">
      <c r="AI211" t="s">
        <v>1564</v>
      </c>
    </row>
    <row r="212" spans="35:35" x14ac:dyDescent="0.45">
      <c r="AI212" t="s">
        <v>1565</v>
      </c>
    </row>
    <row r="213" spans="35:35" x14ac:dyDescent="0.45">
      <c r="AI213" t="s">
        <v>1566</v>
      </c>
    </row>
    <row r="214" spans="35:35" x14ac:dyDescent="0.45">
      <c r="AI214" t="s">
        <v>1575</v>
      </c>
    </row>
    <row r="215" spans="35:35" x14ac:dyDescent="0.45">
      <c r="AI215" t="s">
        <v>1576</v>
      </c>
    </row>
    <row r="216" spans="35:35" x14ac:dyDescent="0.45">
      <c r="AI216" t="s">
        <v>1577</v>
      </c>
    </row>
    <row r="217" spans="35:35" x14ac:dyDescent="0.45">
      <c r="AI217" t="s">
        <v>1578</v>
      </c>
    </row>
    <row r="218" spans="35:35" x14ac:dyDescent="0.45">
      <c r="AI218" t="s">
        <v>1588</v>
      </c>
    </row>
    <row r="219" spans="35:35" x14ac:dyDescent="0.45">
      <c r="AI219" t="s">
        <v>1589</v>
      </c>
    </row>
    <row r="220" spans="35:35" x14ac:dyDescent="0.45">
      <c r="AI220" t="s">
        <v>1590</v>
      </c>
    </row>
    <row r="221" spans="35:35" x14ac:dyDescent="0.45">
      <c r="AI221" t="s">
        <v>1591</v>
      </c>
    </row>
    <row r="222" spans="35:35" x14ac:dyDescent="0.45">
      <c r="AI222" t="s">
        <v>1598</v>
      </c>
    </row>
    <row r="223" spans="35:35" x14ac:dyDescent="0.45">
      <c r="AI223" t="s">
        <v>1599</v>
      </c>
    </row>
    <row r="224" spans="35:35" x14ac:dyDescent="0.45">
      <c r="AI224" t="s">
        <v>1454</v>
      </c>
    </row>
    <row r="225" spans="35:35" x14ac:dyDescent="0.45">
      <c r="AI225" t="s">
        <v>2086</v>
      </c>
    </row>
    <row r="226" spans="35:35" x14ac:dyDescent="0.45">
      <c r="AI226" t="s">
        <v>2087</v>
      </c>
    </row>
    <row r="227" spans="35:35" x14ac:dyDescent="0.45">
      <c r="AI227" t="s">
        <v>2088</v>
      </c>
    </row>
    <row r="228" spans="35:35" x14ac:dyDescent="0.45">
      <c r="AI228" t="s">
        <v>2089</v>
      </c>
    </row>
    <row r="229" spans="35:35" x14ac:dyDescent="0.45">
      <c r="AI229" t="s">
        <v>2090</v>
      </c>
    </row>
    <row r="230" spans="35:35" x14ac:dyDescent="0.45">
      <c r="AI230" t="s">
        <v>2091</v>
      </c>
    </row>
    <row r="231" spans="35:35" x14ac:dyDescent="0.45">
      <c r="AI231" t="s">
        <v>2092</v>
      </c>
    </row>
    <row r="232" spans="35:35" x14ac:dyDescent="0.45">
      <c r="AI232" t="s">
        <v>2093</v>
      </c>
    </row>
    <row r="233" spans="35:35" x14ac:dyDescent="0.45">
      <c r="AI233" t="s">
        <v>2094</v>
      </c>
    </row>
    <row r="234" spans="35:35" x14ac:dyDescent="0.45">
      <c r="AI234" t="s">
        <v>2095</v>
      </c>
    </row>
    <row r="235" spans="35:35" x14ac:dyDescent="0.45">
      <c r="AI235" t="s">
        <v>2096</v>
      </c>
    </row>
    <row r="236" spans="35:35" x14ac:dyDescent="0.45">
      <c r="AI236" t="s">
        <v>2097</v>
      </c>
    </row>
    <row r="237" spans="35:35" x14ac:dyDescent="0.45">
      <c r="AI237" t="s">
        <v>2098</v>
      </c>
    </row>
    <row r="238" spans="35:35" x14ac:dyDescent="0.45">
      <c r="AI238" t="s">
        <v>2099</v>
      </c>
    </row>
    <row r="239" spans="35:35" x14ac:dyDescent="0.45">
      <c r="AI239" t="s">
        <v>2100</v>
      </c>
    </row>
    <row r="240" spans="35:35" x14ac:dyDescent="0.45">
      <c r="AI240" t="s">
        <v>2101</v>
      </c>
    </row>
    <row r="241" spans="35:35" x14ac:dyDescent="0.45">
      <c r="AI241" t="s">
        <v>1933</v>
      </c>
    </row>
    <row r="242" spans="35:35" x14ac:dyDescent="0.45">
      <c r="AI242" t="s">
        <v>1934</v>
      </c>
    </row>
    <row r="243" spans="35:35" x14ac:dyDescent="0.45">
      <c r="AI243" t="s">
        <v>1936</v>
      </c>
    </row>
    <row r="244" spans="35:35" x14ac:dyDescent="0.45">
      <c r="AI244" t="s">
        <v>1938</v>
      </c>
    </row>
    <row r="245" spans="35:35" x14ac:dyDescent="0.45">
      <c r="AI245" t="s">
        <v>1939</v>
      </c>
    </row>
    <row r="246" spans="35:35" x14ac:dyDescent="0.45">
      <c r="AI246" t="s">
        <v>1940</v>
      </c>
    </row>
    <row r="247" spans="35:35" x14ac:dyDescent="0.45">
      <c r="AI247" t="s">
        <v>1951</v>
      </c>
    </row>
    <row r="248" spans="35:35" x14ac:dyDescent="0.45">
      <c r="AI248" t="s">
        <v>1886</v>
      </c>
    </row>
    <row r="249" spans="35:35" x14ac:dyDescent="0.45">
      <c r="AI249" t="s">
        <v>1887</v>
      </c>
    </row>
    <row r="250" spans="35:35" x14ac:dyDescent="0.45">
      <c r="AI250" t="s">
        <v>1895</v>
      </c>
    </row>
    <row r="251" spans="35:35" x14ac:dyDescent="0.45">
      <c r="AI251" t="s">
        <v>1656</v>
      </c>
    </row>
    <row r="252" spans="35:35" x14ac:dyDescent="0.45">
      <c r="AI252" t="s">
        <v>1658</v>
      </c>
    </row>
    <row r="253" spans="35:35" x14ac:dyDescent="0.45">
      <c r="AI253" t="s">
        <v>1659</v>
      </c>
    </row>
    <row r="254" spans="35:35" x14ac:dyDescent="0.45">
      <c r="AI254" t="s">
        <v>1660</v>
      </c>
    </row>
    <row r="255" spans="35:35" x14ac:dyDescent="0.45">
      <c r="AI255" t="s">
        <v>1661</v>
      </c>
    </row>
    <row r="256" spans="35:35" x14ac:dyDescent="0.45">
      <c r="AI256" t="s">
        <v>1606</v>
      </c>
    </row>
    <row r="257" spans="35:35" x14ac:dyDescent="0.45">
      <c r="AI257" t="s">
        <v>1607</v>
      </c>
    </row>
    <row r="258" spans="35:35" x14ac:dyDescent="0.45">
      <c r="AI258" t="s">
        <v>1608</v>
      </c>
    </row>
    <row r="259" spans="35:35" x14ac:dyDescent="0.45">
      <c r="AI259" t="s">
        <v>1613</v>
      </c>
    </row>
    <row r="260" spans="35:35" x14ac:dyDescent="0.45">
      <c r="AI260" t="s">
        <v>1618</v>
      </c>
    </row>
    <row r="261" spans="35:35" x14ac:dyDescent="0.45">
      <c r="AI261" t="s">
        <v>2119</v>
      </c>
    </row>
    <row r="262" spans="35:35" x14ac:dyDescent="0.45">
      <c r="AI262" t="s">
        <v>2120</v>
      </c>
    </row>
    <row r="263" spans="35:35" x14ac:dyDescent="0.45">
      <c r="AI263" t="s">
        <v>2121</v>
      </c>
    </row>
    <row r="264" spans="35:35" x14ac:dyDescent="0.45">
      <c r="AI264" t="s">
        <v>2122</v>
      </c>
    </row>
    <row r="265" spans="35:35" x14ac:dyDescent="0.45">
      <c r="AI265" t="s">
        <v>2123</v>
      </c>
    </row>
    <row r="266" spans="35:35" x14ac:dyDescent="0.45">
      <c r="AI266" t="s">
        <v>2124</v>
      </c>
    </row>
    <row r="267" spans="35:35" x14ac:dyDescent="0.45">
      <c r="AI267" t="s">
        <v>2125</v>
      </c>
    </row>
    <row r="268" spans="35:35" x14ac:dyDescent="0.45">
      <c r="AI268" t="s">
        <v>2126</v>
      </c>
    </row>
    <row r="269" spans="35:35" x14ac:dyDescent="0.45">
      <c r="AI269" t="s">
        <v>2127</v>
      </c>
    </row>
    <row r="270" spans="35:35" x14ac:dyDescent="0.45">
      <c r="AI270" t="s">
        <v>2128</v>
      </c>
    </row>
    <row r="271" spans="35:35" x14ac:dyDescent="0.45">
      <c r="AI271" t="s">
        <v>2129</v>
      </c>
    </row>
    <row r="272" spans="35:35" x14ac:dyDescent="0.45">
      <c r="AI272" t="s">
        <v>2130</v>
      </c>
    </row>
    <row r="273" spans="35:35" x14ac:dyDescent="0.45">
      <c r="AI273" t="s">
        <v>1382</v>
      </c>
    </row>
    <row r="274" spans="35:35" x14ac:dyDescent="0.45">
      <c r="AI274" t="s">
        <v>1383</v>
      </c>
    </row>
    <row r="275" spans="35:35" x14ac:dyDescent="0.45">
      <c r="AI275" t="s">
        <v>1384</v>
      </c>
    </row>
    <row r="276" spans="35:35" x14ac:dyDescent="0.45">
      <c r="AI276" t="s">
        <v>1346</v>
      </c>
    </row>
    <row r="277" spans="35:35" x14ac:dyDescent="0.45">
      <c r="AI277" t="s">
        <v>1356</v>
      </c>
    </row>
    <row r="278" spans="35:35" x14ac:dyDescent="0.45">
      <c r="AI278" t="s">
        <v>1360</v>
      </c>
    </row>
    <row r="279" spans="35:35" x14ac:dyDescent="0.45">
      <c r="AI279" t="s">
        <v>1367</v>
      </c>
    </row>
    <row r="280" spans="35:35" x14ac:dyDescent="0.45">
      <c r="AI280" t="s">
        <v>1370</v>
      </c>
    </row>
    <row r="281" spans="35:35" x14ac:dyDescent="0.45">
      <c r="AI281" t="s">
        <v>1371</v>
      </c>
    </row>
    <row r="282" spans="35:35" x14ac:dyDescent="0.45">
      <c r="AI282" t="s">
        <v>1372</v>
      </c>
    </row>
    <row r="283" spans="35:35" x14ac:dyDescent="0.45">
      <c r="AI283" t="s">
        <v>1385</v>
      </c>
    </row>
    <row r="284" spans="35:35" x14ac:dyDescent="0.45">
      <c r="AI284" t="s">
        <v>1386</v>
      </c>
    </row>
    <row r="285" spans="35:35" x14ac:dyDescent="0.45">
      <c r="AI285" t="s">
        <v>1387</v>
      </c>
    </row>
    <row r="286" spans="35:35" x14ac:dyDescent="0.45">
      <c r="AI286" t="s">
        <v>1673</v>
      </c>
    </row>
    <row r="287" spans="35:35" x14ac:dyDescent="0.45">
      <c r="AI287" t="s">
        <v>1674</v>
      </c>
    </row>
    <row r="288" spans="35:35" x14ac:dyDescent="0.45">
      <c r="AI288" t="s">
        <v>1675</v>
      </c>
    </row>
    <row r="289" spans="35:35" x14ac:dyDescent="0.45">
      <c r="AI289" t="s">
        <v>1393</v>
      </c>
    </row>
    <row r="290" spans="35:35" x14ac:dyDescent="0.45">
      <c r="AI290" t="s">
        <v>1394</v>
      </c>
    </row>
    <row r="291" spans="35:35" x14ac:dyDescent="0.45">
      <c r="AI291" t="s">
        <v>1395</v>
      </c>
    </row>
    <row r="292" spans="35:35" x14ac:dyDescent="0.45">
      <c r="AI292" t="s">
        <v>1401</v>
      </c>
    </row>
    <row r="293" spans="35:35" x14ac:dyDescent="0.45">
      <c r="AI293" t="s">
        <v>1412</v>
      </c>
    </row>
    <row r="294" spans="35:35" x14ac:dyDescent="0.45">
      <c r="AI294" t="s">
        <v>1413</v>
      </c>
    </row>
    <row r="295" spans="35:35" x14ac:dyDescent="0.45">
      <c r="AI295" t="s">
        <v>1436</v>
      </c>
    </row>
    <row r="296" spans="35:35" x14ac:dyDescent="0.45">
      <c r="AI296" t="s">
        <v>1437</v>
      </c>
    </row>
    <row r="297" spans="35:35" x14ac:dyDescent="0.45">
      <c r="AI297" t="s">
        <v>1347</v>
      </c>
    </row>
    <row r="298" spans="35:35" x14ac:dyDescent="0.45">
      <c r="AI298" t="s">
        <v>1357</v>
      </c>
    </row>
    <row r="299" spans="35:35" x14ac:dyDescent="0.45">
      <c r="AI299" t="s">
        <v>1358</v>
      </c>
    </row>
    <row r="300" spans="35:35" x14ac:dyDescent="0.45">
      <c r="AI300" t="s">
        <v>1361</v>
      </c>
    </row>
    <row r="301" spans="35:35" x14ac:dyDescent="0.45">
      <c r="AI301" t="s">
        <v>1362</v>
      </c>
    </row>
    <row r="302" spans="35:35" x14ac:dyDescent="0.45">
      <c r="AI302" t="s">
        <v>1970</v>
      </c>
    </row>
    <row r="303" spans="35:35" x14ac:dyDescent="0.45">
      <c r="AI303" t="s">
        <v>1971</v>
      </c>
    </row>
    <row r="304" spans="35:35" x14ac:dyDescent="0.45">
      <c r="AI304" t="s">
        <v>1972</v>
      </c>
    </row>
    <row r="305" spans="35:35" x14ac:dyDescent="0.45">
      <c r="AI305" t="s">
        <v>1973</v>
      </c>
    </row>
    <row r="306" spans="35:35" x14ac:dyDescent="0.45">
      <c r="AI306" t="s">
        <v>1974</v>
      </c>
    </row>
    <row r="307" spans="35:35" x14ac:dyDescent="0.45">
      <c r="AI307" t="s">
        <v>1931</v>
      </c>
    </row>
    <row r="308" spans="35:35" x14ac:dyDescent="0.45">
      <c r="AI308" t="s">
        <v>1932</v>
      </c>
    </row>
    <row r="309" spans="35:35" x14ac:dyDescent="0.45">
      <c r="AI309" t="s">
        <v>1976</v>
      </c>
    </row>
    <row r="310" spans="35:35" x14ac:dyDescent="0.45">
      <c r="AI310" t="s">
        <v>1892</v>
      </c>
    </row>
    <row r="311" spans="35:35" x14ac:dyDescent="0.45">
      <c r="AI311" t="s">
        <v>1893</v>
      </c>
    </row>
    <row r="312" spans="35:35" x14ac:dyDescent="0.45">
      <c r="AI312" t="s">
        <v>1894</v>
      </c>
    </row>
    <row r="313" spans="35:35" x14ac:dyDescent="0.45">
      <c r="AI313" t="s">
        <v>1898</v>
      </c>
    </row>
    <row r="314" spans="35:35" x14ac:dyDescent="0.45">
      <c r="AI314" t="s">
        <v>1775</v>
      </c>
    </row>
    <row r="315" spans="35:35" x14ac:dyDescent="0.45">
      <c r="AI315" t="s">
        <v>1776</v>
      </c>
    </row>
    <row r="316" spans="35:35" x14ac:dyDescent="0.45">
      <c r="AI316" t="s">
        <v>1781</v>
      </c>
    </row>
    <row r="317" spans="35:35" x14ac:dyDescent="0.45">
      <c r="AI317" t="s">
        <v>1785</v>
      </c>
    </row>
    <row r="318" spans="35:35" x14ac:dyDescent="0.45">
      <c r="AI318" t="s">
        <v>1801</v>
      </c>
    </row>
    <row r="319" spans="35:35" x14ac:dyDescent="0.45">
      <c r="AI319" t="s">
        <v>1802</v>
      </c>
    </row>
    <row r="320" spans="35:35" x14ac:dyDescent="0.45">
      <c r="AI320" t="s">
        <v>1803</v>
      </c>
    </row>
    <row r="321" spans="35:35" x14ac:dyDescent="0.45">
      <c r="AI321" t="s">
        <v>1810</v>
      </c>
    </row>
    <row r="322" spans="35:35" x14ac:dyDescent="0.45">
      <c r="AI322" t="s">
        <v>1811</v>
      </c>
    </row>
    <row r="323" spans="35:35" x14ac:dyDescent="0.45">
      <c r="AI323" t="s">
        <v>1812</v>
      </c>
    </row>
    <row r="324" spans="35:35" x14ac:dyDescent="0.45">
      <c r="AI324" t="s">
        <v>1813</v>
      </c>
    </row>
    <row r="325" spans="35:35" x14ac:dyDescent="0.45">
      <c r="AI325" t="s">
        <v>1819</v>
      </c>
    </row>
    <row r="326" spans="35:35" x14ac:dyDescent="0.45">
      <c r="AI326" t="s">
        <v>1821</v>
      </c>
    </row>
    <row r="327" spans="35:35" x14ac:dyDescent="0.45">
      <c r="AI327" t="s">
        <v>2171</v>
      </c>
    </row>
    <row r="328" spans="35:35" x14ac:dyDescent="0.45">
      <c r="AI328" t="s">
        <v>2182</v>
      </c>
    </row>
    <row r="329" spans="35:35" x14ac:dyDescent="0.45">
      <c r="AI329" t="s">
        <v>2183</v>
      </c>
    </row>
    <row r="330" spans="35:35" x14ac:dyDescent="0.45">
      <c r="AI330" t="s">
        <v>2202</v>
      </c>
    </row>
    <row r="331" spans="35:35" x14ac:dyDescent="0.45">
      <c r="AI331" t="s">
        <v>2203</v>
      </c>
    </row>
    <row r="332" spans="35:35" x14ac:dyDescent="0.45">
      <c r="AI332" t="s">
        <v>2204</v>
      </c>
    </row>
    <row r="333" spans="35:35" x14ac:dyDescent="0.45">
      <c r="AI333" t="s">
        <v>2205</v>
      </c>
    </row>
    <row r="334" spans="35:35" x14ac:dyDescent="0.45">
      <c r="AI334" t="s">
        <v>2209</v>
      </c>
    </row>
    <row r="335" spans="35:35" x14ac:dyDescent="0.45">
      <c r="AI335" t="s">
        <v>2215</v>
      </c>
    </row>
    <row r="336" spans="35:35" x14ac:dyDescent="0.45">
      <c r="AI336" t="s">
        <v>2216</v>
      </c>
    </row>
    <row r="337" spans="35:35" x14ac:dyDescent="0.45">
      <c r="AI337" t="s">
        <v>2217</v>
      </c>
    </row>
    <row r="338" spans="35:35" x14ac:dyDescent="0.45">
      <c r="AI338" t="s">
        <v>2218</v>
      </c>
    </row>
    <row r="339" spans="35:35" x14ac:dyDescent="0.45">
      <c r="AI339" t="s">
        <v>1422</v>
      </c>
    </row>
    <row r="340" spans="35:35" x14ac:dyDescent="0.45">
      <c r="AI340" t="s">
        <v>1423</v>
      </c>
    </row>
    <row r="341" spans="35:35" x14ac:dyDescent="0.45">
      <c r="AI341" t="s">
        <v>1354</v>
      </c>
    </row>
    <row r="342" spans="35:35" x14ac:dyDescent="0.45">
      <c r="AI342" t="s">
        <v>1355</v>
      </c>
    </row>
    <row r="343" spans="35:35" x14ac:dyDescent="0.45">
      <c r="AI343" t="s">
        <v>1363</v>
      </c>
    </row>
    <row r="344" spans="35:35" x14ac:dyDescent="0.45">
      <c r="AI344" t="s">
        <v>1364</v>
      </c>
    </row>
    <row r="345" spans="35:35" x14ac:dyDescent="0.45">
      <c r="AI345" t="s">
        <v>1368</v>
      </c>
    </row>
    <row r="346" spans="35:35" x14ac:dyDescent="0.45">
      <c r="AI346" t="s">
        <v>1373</v>
      </c>
    </row>
    <row r="347" spans="35:35" x14ac:dyDescent="0.45">
      <c r="AI347" t="s">
        <v>1374</v>
      </c>
    </row>
    <row r="348" spans="35:35" x14ac:dyDescent="0.45">
      <c r="AI348" t="s">
        <v>1402</v>
      </c>
    </row>
    <row r="349" spans="35:35" x14ac:dyDescent="0.45">
      <c r="AI349" t="s">
        <v>1414</v>
      </c>
    </row>
    <row r="350" spans="35:35" x14ac:dyDescent="0.45">
      <c r="AI350" t="s">
        <v>1415</v>
      </c>
    </row>
    <row r="351" spans="35:35" x14ac:dyDescent="0.45">
      <c r="AI351" t="s">
        <v>1416</v>
      </c>
    </row>
    <row r="352" spans="35:35" x14ac:dyDescent="0.45">
      <c r="AI352" t="s">
        <v>1429</v>
      </c>
    </row>
    <row r="353" spans="35:35" x14ac:dyDescent="0.45">
      <c r="AI353" t="s">
        <v>1198</v>
      </c>
    </row>
    <row r="354" spans="35:35" x14ac:dyDescent="0.45">
      <c r="AI354" t="s">
        <v>1199</v>
      </c>
    </row>
    <row r="355" spans="35:35" x14ac:dyDescent="0.45">
      <c r="AI355" t="s">
        <v>1200</v>
      </c>
    </row>
    <row r="356" spans="35:35" x14ac:dyDescent="0.45">
      <c r="AI356" t="s">
        <v>1201</v>
      </c>
    </row>
    <row r="357" spans="35:35" x14ac:dyDescent="0.45">
      <c r="AI357" t="s">
        <v>1226</v>
      </c>
    </row>
    <row r="358" spans="35:35" x14ac:dyDescent="0.45">
      <c r="AI358" t="s">
        <v>1227</v>
      </c>
    </row>
    <row r="359" spans="35:35" x14ac:dyDescent="0.45">
      <c r="AI359" t="s">
        <v>1136</v>
      </c>
    </row>
    <row r="360" spans="35:35" x14ac:dyDescent="0.45">
      <c r="AI360" t="s">
        <v>1137</v>
      </c>
    </row>
    <row r="361" spans="35:35" x14ac:dyDescent="0.45">
      <c r="AI361" t="s">
        <v>1164</v>
      </c>
    </row>
    <row r="362" spans="35:35" x14ac:dyDescent="0.45">
      <c r="AI362" t="s">
        <v>1169</v>
      </c>
    </row>
    <row r="363" spans="35:35" x14ac:dyDescent="0.45">
      <c r="AI363" t="s">
        <v>1170</v>
      </c>
    </row>
    <row r="364" spans="35:35" x14ac:dyDescent="0.45">
      <c r="AI364" t="s">
        <v>1171</v>
      </c>
    </row>
    <row r="365" spans="35:35" x14ac:dyDescent="0.45">
      <c r="AI365" t="s">
        <v>1172</v>
      </c>
    </row>
    <row r="366" spans="35:35" x14ac:dyDescent="0.45">
      <c r="AI366" t="s">
        <v>1173</v>
      </c>
    </row>
    <row r="367" spans="35:35" x14ac:dyDescent="0.45">
      <c r="AI367" t="s">
        <v>1174</v>
      </c>
    </row>
    <row r="368" spans="35:35" x14ac:dyDescent="0.45">
      <c r="AI368" t="s">
        <v>1175</v>
      </c>
    </row>
    <row r="369" spans="35:35" x14ac:dyDescent="0.45">
      <c r="AI369" t="s">
        <v>1150</v>
      </c>
    </row>
    <row r="370" spans="35:35" x14ac:dyDescent="0.45">
      <c r="AI370" t="s">
        <v>1182</v>
      </c>
    </row>
    <row r="371" spans="35:35" x14ac:dyDescent="0.45">
      <c r="AI371" t="s">
        <v>1202</v>
      </c>
    </row>
    <row r="372" spans="35:35" x14ac:dyDescent="0.45">
      <c r="AI372" t="s">
        <v>1203</v>
      </c>
    </row>
    <row r="373" spans="35:35" x14ac:dyDescent="0.45">
      <c r="AI373" t="s">
        <v>1204</v>
      </c>
    </row>
    <row r="374" spans="35:35" x14ac:dyDescent="0.45">
      <c r="AI374" t="s">
        <v>1205</v>
      </c>
    </row>
    <row r="375" spans="35:35" x14ac:dyDescent="0.45">
      <c r="AI375" t="s">
        <v>1217</v>
      </c>
    </row>
    <row r="376" spans="35:35" x14ac:dyDescent="0.45">
      <c r="AI376" t="s">
        <v>1218</v>
      </c>
    </row>
    <row r="377" spans="35:35" x14ac:dyDescent="0.45">
      <c r="AI377" t="s">
        <v>1219</v>
      </c>
    </row>
    <row r="378" spans="35:35" x14ac:dyDescent="0.45">
      <c r="AI378" t="s">
        <v>1228</v>
      </c>
    </row>
    <row r="379" spans="35:35" x14ac:dyDescent="0.45">
      <c r="AI379" t="s">
        <v>1121</v>
      </c>
    </row>
    <row r="380" spans="35:35" x14ac:dyDescent="0.45">
      <c r="AI380" t="s">
        <v>1697</v>
      </c>
    </row>
    <row r="381" spans="35:35" x14ac:dyDescent="0.45">
      <c r="AI381" t="s">
        <v>1718</v>
      </c>
    </row>
    <row r="382" spans="35:35" x14ac:dyDescent="0.45">
      <c r="AI382" t="s">
        <v>1719</v>
      </c>
    </row>
    <row r="383" spans="35:35" x14ac:dyDescent="0.45">
      <c r="AI383" t="s">
        <v>1700</v>
      </c>
    </row>
    <row r="384" spans="35:35" x14ac:dyDescent="0.45">
      <c r="AI384" t="s">
        <v>1701</v>
      </c>
    </row>
    <row r="385" spans="35:35" x14ac:dyDescent="0.45">
      <c r="AI385" t="s">
        <v>1702</v>
      </c>
    </row>
    <row r="386" spans="35:35" x14ac:dyDescent="0.45">
      <c r="AI386" t="s">
        <v>1705</v>
      </c>
    </row>
    <row r="387" spans="35:35" x14ac:dyDescent="0.45">
      <c r="AI387" t="s">
        <v>1707</v>
      </c>
    </row>
    <row r="388" spans="35:35" x14ac:dyDescent="0.45">
      <c r="AI388" t="s">
        <v>1708</v>
      </c>
    </row>
    <row r="389" spans="35:35" x14ac:dyDescent="0.45">
      <c r="AI389" t="s">
        <v>1829</v>
      </c>
    </row>
    <row r="390" spans="35:35" x14ac:dyDescent="0.45">
      <c r="AI390" t="s">
        <v>1762</v>
      </c>
    </row>
    <row r="391" spans="35:35" x14ac:dyDescent="0.45">
      <c r="AI391" t="s">
        <v>1763</v>
      </c>
    </row>
    <row r="392" spans="35:35" x14ac:dyDescent="0.45">
      <c r="AI392" t="s">
        <v>1764</v>
      </c>
    </row>
    <row r="393" spans="35:35" x14ac:dyDescent="0.45">
      <c r="AI393" t="s">
        <v>1768</v>
      </c>
    </row>
    <row r="394" spans="35:35" x14ac:dyDescent="0.45">
      <c r="AI394" t="s">
        <v>1769</v>
      </c>
    </row>
    <row r="395" spans="35:35" x14ac:dyDescent="0.45">
      <c r="AI395" t="s">
        <v>1770</v>
      </c>
    </row>
    <row r="396" spans="35:35" x14ac:dyDescent="0.45">
      <c r="AI396" t="s">
        <v>1777</v>
      </c>
    </row>
    <row r="397" spans="35:35" x14ac:dyDescent="0.45">
      <c r="AI397" t="s">
        <v>1778</v>
      </c>
    </row>
    <row r="398" spans="35:35" x14ac:dyDescent="0.45">
      <c r="AI398" t="s">
        <v>1779</v>
      </c>
    </row>
    <row r="399" spans="35:35" x14ac:dyDescent="0.45">
      <c r="AI399" t="s">
        <v>1782</v>
      </c>
    </row>
    <row r="400" spans="35:35" x14ac:dyDescent="0.45">
      <c r="AI400" t="s">
        <v>1789</v>
      </c>
    </row>
    <row r="401" spans="35:35" x14ac:dyDescent="0.45">
      <c r="AI401" t="s">
        <v>1790</v>
      </c>
    </row>
    <row r="402" spans="35:35" x14ac:dyDescent="0.45">
      <c r="AI402" t="s">
        <v>1804</v>
      </c>
    </row>
    <row r="403" spans="35:35" x14ac:dyDescent="0.45">
      <c r="AI403" t="s">
        <v>1805</v>
      </c>
    </row>
    <row r="404" spans="35:35" x14ac:dyDescent="0.45">
      <c r="AI404" t="s">
        <v>1806</v>
      </c>
    </row>
    <row r="405" spans="35:35" x14ac:dyDescent="0.45">
      <c r="AI405" t="s">
        <v>1807</v>
      </c>
    </row>
    <row r="406" spans="35:35" x14ac:dyDescent="0.45">
      <c r="AI406" t="s">
        <v>1814</v>
      </c>
    </row>
    <row r="407" spans="35:35" x14ac:dyDescent="0.45">
      <c r="AI407" t="s">
        <v>1815</v>
      </c>
    </row>
    <row r="408" spans="35:35" x14ac:dyDescent="0.45">
      <c r="AI408" t="s">
        <v>2232</v>
      </c>
    </row>
    <row r="409" spans="35:35" x14ac:dyDescent="0.45">
      <c r="AI409" t="s">
        <v>2235</v>
      </c>
    </row>
    <row r="410" spans="35:35" x14ac:dyDescent="0.45">
      <c r="AI410" t="s">
        <v>2236</v>
      </c>
    </row>
    <row r="411" spans="35:35" x14ac:dyDescent="0.45">
      <c r="AI411" t="s">
        <v>2243</v>
      </c>
    </row>
    <row r="412" spans="35:35" x14ac:dyDescent="0.45">
      <c r="AI412" t="s">
        <v>2244</v>
      </c>
    </row>
    <row r="413" spans="35:35" x14ac:dyDescent="0.45">
      <c r="AI413" t="s">
        <v>2245</v>
      </c>
    </row>
    <row r="414" spans="35:35" x14ac:dyDescent="0.45">
      <c r="AI414" t="s">
        <v>2170</v>
      </c>
    </row>
    <row r="415" spans="35:35" x14ac:dyDescent="0.45">
      <c r="AI415" t="s">
        <v>2176</v>
      </c>
    </row>
    <row r="416" spans="35:35" x14ac:dyDescent="0.45">
      <c r="AI416" t="s">
        <v>2177</v>
      </c>
    </row>
    <row r="417" spans="35:35" x14ac:dyDescent="0.45">
      <c r="AI417" t="s">
        <v>2178</v>
      </c>
    </row>
    <row r="418" spans="35:35" x14ac:dyDescent="0.45">
      <c r="AI418" t="s">
        <v>2179</v>
      </c>
    </row>
    <row r="419" spans="35:35" x14ac:dyDescent="0.45">
      <c r="AI419" t="s">
        <v>2180</v>
      </c>
    </row>
    <row r="420" spans="35:35" x14ac:dyDescent="0.45">
      <c r="AI420" t="s">
        <v>2181</v>
      </c>
    </row>
    <row r="421" spans="35:35" x14ac:dyDescent="0.45">
      <c r="AI421" t="s">
        <v>2188</v>
      </c>
    </row>
    <row r="422" spans="35:35" x14ac:dyDescent="0.45">
      <c r="AI422" t="s">
        <v>1888</v>
      </c>
    </row>
    <row r="423" spans="35:35" x14ac:dyDescent="0.45">
      <c r="AI423" t="s">
        <v>1935</v>
      </c>
    </row>
    <row r="424" spans="35:35" x14ac:dyDescent="0.45">
      <c r="AI424" t="s">
        <v>1897</v>
      </c>
    </row>
    <row r="425" spans="35:35" x14ac:dyDescent="0.45">
      <c r="AI425" t="s">
        <v>1937</v>
      </c>
    </row>
    <row r="426" spans="35:35" x14ac:dyDescent="0.45">
      <c r="AI426" t="s">
        <v>1900</v>
      </c>
    </row>
    <row r="427" spans="35:35" x14ac:dyDescent="0.45">
      <c r="AI427" t="s">
        <v>1901</v>
      </c>
    </row>
    <row r="428" spans="35:35" x14ac:dyDescent="0.45">
      <c r="AI428" t="s">
        <v>1941</v>
      </c>
    </row>
    <row r="429" spans="35:35" x14ac:dyDescent="0.45">
      <c r="AI429" t="s">
        <v>1911</v>
      </c>
    </row>
    <row r="430" spans="35:35" x14ac:dyDescent="0.45">
      <c r="AI430" t="s">
        <v>1909</v>
      </c>
    </row>
    <row r="431" spans="35:35" x14ac:dyDescent="0.45">
      <c r="AI431" t="s">
        <v>1910</v>
      </c>
    </row>
    <row r="432" spans="35:35" x14ac:dyDescent="0.45">
      <c r="AI432" t="s">
        <v>1441</v>
      </c>
    </row>
    <row r="433" spans="35:35" x14ac:dyDescent="0.45">
      <c r="AI433" t="s">
        <v>1442</v>
      </c>
    </row>
    <row r="434" spans="35:35" x14ac:dyDescent="0.45">
      <c r="AI434" t="s">
        <v>1445</v>
      </c>
    </row>
    <row r="435" spans="35:35" x14ac:dyDescent="0.45">
      <c r="AI435" t="s">
        <v>1446</v>
      </c>
    </row>
    <row r="436" spans="35:35" x14ac:dyDescent="0.45">
      <c r="AI436" t="s">
        <v>1348</v>
      </c>
    </row>
    <row r="437" spans="35:35" x14ac:dyDescent="0.45">
      <c r="AI437" t="s">
        <v>1376</v>
      </c>
    </row>
    <row r="438" spans="35:35" x14ac:dyDescent="0.45">
      <c r="AI438" t="s">
        <v>1377</v>
      </c>
    </row>
    <row r="439" spans="35:35" x14ac:dyDescent="0.45">
      <c r="AI439" t="s">
        <v>1378</v>
      </c>
    </row>
    <row r="440" spans="35:35" x14ac:dyDescent="0.45">
      <c r="AI440" t="s">
        <v>1379</v>
      </c>
    </row>
    <row r="441" spans="35:35" x14ac:dyDescent="0.45">
      <c r="AI441" t="s">
        <v>1832</v>
      </c>
    </row>
    <row r="442" spans="35:35" x14ac:dyDescent="0.45">
      <c r="AI442" t="s">
        <v>1834</v>
      </c>
    </row>
    <row r="443" spans="35:35" x14ac:dyDescent="0.45">
      <c r="AI443" t="s">
        <v>1827</v>
      </c>
    </row>
    <row r="444" spans="35:35" x14ac:dyDescent="0.45">
      <c r="AI444" t="s">
        <v>1773</v>
      </c>
    </row>
    <row r="445" spans="35:35" x14ac:dyDescent="0.45">
      <c r="AI445" t="s">
        <v>1780</v>
      </c>
    </row>
    <row r="446" spans="35:35" x14ac:dyDescent="0.45">
      <c r="AI446" t="s">
        <v>1835</v>
      </c>
    </row>
    <row r="447" spans="35:35" x14ac:dyDescent="0.45">
      <c r="AI447" t="s">
        <v>1836</v>
      </c>
    </row>
    <row r="448" spans="35:35" x14ac:dyDescent="0.45">
      <c r="AI448" t="s">
        <v>1774</v>
      </c>
    </row>
    <row r="449" spans="35:35" x14ac:dyDescent="0.45">
      <c r="AI449" t="s">
        <v>1783</v>
      </c>
    </row>
    <row r="450" spans="35:35" x14ac:dyDescent="0.45">
      <c r="AI450" t="s">
        <v>1784</v>
      </c>
    </row>
    <row r="451" spans="35:35" x14ac:dyDescent="0.45">
      <c r="AI451" t="s">
        <v>1787</v>
      </c>
    </row>
    <row r="452" spans="35:35" x14ac:dyDescent="0.45">
      <c r="AI452" t="s">
        <v>1791</v>
      </c>
    </row>
    <row r="453" spans="35:35" x14ac:dyDescent="0.45">
      <c r="AI453" t="s">
        <v>1792</v>
      </c>
    </row>
    <row r="454" spans="35:35" x14ac:dyDescent="0.45">
      <c r="AI454" t="s">
        <v>1793</v>
      </c>
    </row>
    <row r="455" spans="35:35" x14ac:dyDescent="0.45">
      <c r="AI455" t="s">
        <v>1794</v>
      </c>
    </row>
    <row r="456" spans="35:35" x14ac:dyDescent="0.45">
      <c r="AI456" t="s">
        <v>1795</v>
      </c>
    </row>
    <row r="457" spans="35:35" x14ac:dyDescent="0.45">
      <c r="AI457" t="s">
        <v>1796</v>
      </c>
    </row>
    <row r="458" spans="35:35" x14ac:dyDescent="0.45">
      <c r="AI458" t="s">
        <v>1808</v>
      </c>
    </row>
    <row r="459" spans="35:35" x14ac:dyDescent="0.45">
      <c r="AI459" t="s">
        <v>1809</v>
      </c>
    </row>
    <row r="460" spans="35:35" x14ac:dyDescent="0.45">
      <c r="AI460" t="s">
        <v>2287</v>
      </c>
    </row>
    <row r="461" spans="35:35" x14ac:dyDescent="0.45">
      <c r="AI461" t="s">
        <v>2290</v>
      </c>
    </row>
    <row r="462" spans="35:35" x14ac:dyDescent="0.45">
      <c r="AI462" t="s">
        <v>2291</v>
      </c>
    </row>
    <row r="463" spans="35:35" x14ac:dyDescent="0.45">
      <c r="AI463" t="s">
        <v>2294</v>
      </c>
    </row>
    <row r="464" spans="35:35" x14ac:dyDescent="0.45">
      <c r="AI464" t="s">
        <v>2295</v>
      </c>
    </row>
    <row r="465" spans="35:35" x14ac:dyDescent="0.45">
      <c r="AI465" t="s">
        <v>2299</v>
      </c>
    </row>
    <row r="466" spans="35:35" x14ac:dyDescent="0.45">
      <c r="AI466" t="s">
        <v>2300</v>
      </c>
    </row>
    <row r="467" spans="35:35" x14ac:dyDescent="0.45">
      <c r="AI467" t="s">
        <v>2253</v>
      </c>
    </row>
    <row r="468" spans="35:35" x14ac:dyDescent="0.45">
      <c r="AI468" t="s">
        <v>2254</v>
      </c>
    </row>
    <row r="469" spans="35:35" x14ac:dyDescent="0.45">
      <c r="AI469" t="s">
        <v>2542</v>
      </c>
    </row>
    <row r="470" spans="35:35" x14ac:dyDescent="0.45">
      <c r="AI470" t="s">
        <v>1247</v>
      </c>
    </row>
    <row r="471" spans="35:35" x14ac:dyDescent="0.45">
      <c r="AI471" t="s">
        <v>1248</v>
      </c>
    </row>
    <row r="472" spans="35:35" x14ac:dyDescent="0.45">
      <c r="AI472" t="s">
        <v>1249</v>
      </c>
    </row>
    <row r="473" spans="35:35" x14ac:dyDescent="0.45">
      <c r="AI473" t="s">
        <v>1240</v>
      </c>
    </row>
    <row r="474" spans="35:35" x14ac:dyDescent="0.45">
      <c r="AI474" t="s">
        <v>1241</v>
      </c>
    </row>
    <row r="475" spans="35:35" x14ac:dyDescent="0.45">
      <c r="AI475" t="s">
        <v>1250</v>
      </c>
    </row>
    <row r="476" spans="35:35" x14ac:dyDescent="0.45">
      <c r="AI476" t="s">
        <v>1251</v>
      </c>
    </row>
    <row r="477" spans="35:35" x14ac:dyDescent="0.45">
      <c r="AI477" t="s">
        <v>1252</v>
      </c>
    </row>
    <row r="478" spans="35:35" x14ac:dyDescent="0.45">
      <c r="AI478" t="s">
        <v>1253</v>
      </c>
    </row>
    <row r="479" spans="35:35" x14ac:dyDescent="0.45">
      <c r="AI479" t="s">
        <v>1254</v>
      </c>
    </row>
    <row r="480" spans="35:35" x14ac:dyDescent="0.45">
      <c r="AI480" t="s">
        <v>1255</v>
      </c>
    </row>
    <row r="481" spans="35:35" x14ac:dyDescent="0.45">
      <c r="AI481" t="s">
        <v>1260</v>
      </c>
    </row>
    <row r="482" spans="35:35" x14ac:dyDescent="0.45">
      <c r="AI482" t="s">
        <v>1261</v>
      </c>
    </row>
    <row r="483" spans="35:35" x14ac:dyDescent="0.45">
      <c r="AI483" t="s">
        <v>1388</v>
      </c>
    </row>
    <row r="484" spans="35:35" x14ac:dyDescent="0.45">
      <c r="AI484" t="s">
        <v>1417</v>
      </c>
    </row>
    <row r="485" spans="35:35" x14ac:dyDescent="0.45">
      <c r="AI485" t="s">
        <v>1418</v>
      </c>
    </row>
    <row r="486" spans="35:35" x14ac:dyDescent="0.45">
      <c r="AI486" t="s">
        <v>1419</v>
      </c>
    </row>
    <row r="487" spans="35:35" x14ac:dyDescent="0.45">
      <c r="AI487" t="s">
        <v>1430</v>
      </c>
    </row>
    <row r="488" spans="35:35" x14ac:dyDescent="0.45">
      <c r="AI488" t="s">
        <v>1438</v>
      </c>
    </row>
    <row r="489" spans="35:35" x14ac:dyDescent="0.45">
      <c r="AI489" t="s">
        <v>1349</v>
      </c>
    </row>
    <row r="490" spans="35:35" x14ac:dyDescent="0.45">
      <c r="AI490" t="s">
        <v>2286</v>
      </c>
    </row>
    <row r="491" spans="35:35" x14ac:dyDescent="0.45">
      <c r="AI491" t="s">
        <v>2288</v>
      </c>
    </row>
    <row r="492" spans="35:35" x14ac:dyDescent="0.45">
      <c r="AI492" t="s">
        <v>2289</v>
      </c>
    </row>
    <row r="493" spans="35:35" x14ac:dyDescent="0.45">
      <c r="AI493" t="s">
        <v>2292</v>
      </c>
    </row>
    <row r="494" spans="35:35" x14ac:dyDescent="0.45">
      <c r="AI494" t="s">
        <v>2293</v>
      </c>
    </row>
    <row r="495" spans="35:35" x14ac:dyDescent="0.45">
      <c r="AI495" t="s">
        <v>2296</v>
      </c>
    </row>
    <row r="496" spans="35:35" x14ac:dyDescent="0.45">
      <c r="AI496" t="s">
        <v>2297</v>
      </c>
    </row>
    <row r="497" spans="35:35" x14ac:dyDescent="0.45">
      <c r="AI497" t="s">
        <v>2246</v>
      </c>
    </row>
    <row r="498" spans="35:35" x14ac:dyDescent="0.45">
      <c r="AI498" t="s">
        <v>2247</v>
      </c>
    </row>
    <row r="499" spans="35:35" x14ac:dyDescent="0.45">
      <c r="AI499" t="s">
        <v>2219</v>
      </c>
    </row>
    <row r="500" spans="35:35" x14ac:dyDescent="0.45">
      <c r="AI500" t="s">
        <v>2220</v>
      </c>
    </row>
    <row r="501" spans="35:35" x14ac:dyDescent="0.45">
      <c r="AI501" t="s">
        <v>2221</v>
      </c>
    </row>
    <row r="502" spans="35:35" x14ac:dyDescent="0.45">
      <c r="AI502" t="s">
        <v>2224</v>
      </c>
    </row>
    <row r="503" spans="35:35" x14ac:dyDescent="0.45">
      <c r="AI503" t="s">
        <v>2225</v>
      </c>
    </row>
    <row r="504" spans="35:35" x14ac:dyDescent="0.45">
      <c r="AI504" t="s">
        <v>2226</v>
      </c>
    </row>
    <row r="505" spans="35:35" x14ac:dyDescent="0.45">
      <c r="AI505" t="s">
        <v>2237</v>
      </c>
    </row>
    <row r="506" spans="35:35" x14ac:dyDescent="0.45">
      <c r="AI506" t="s">
        <v>2238</v>
      </c>
    </row>
    <row r="507" spans="35:35" x14ac:dyDescent="0.45">
      <c r="AI507" t="s">
        <v>2239</v>
      </c>
    </row>
    <row r="508" spans="35:35" x14ac:dyDescent="0.45">
      <c r="AI508" t="s">
        <v>2240</v>
      </c>
    </row>
    <row r="509" spans="35:35" x14ac:dyDescent="0.45">
      <c r="AI509" t="s">
        <v>2241</v>
      </c>
    </row>
    <row r="510" spans="35:35" x14ac:dyDescent="0.45">
      <c r="AI510" t="s">
        <v>2242</v>
      </c>
    </row>
    <row r="511" spans="35:35" x14ac:dyDescent="0.45">
      <c r="AI511" t="s">
        <v>2172</v>
      </c>
    </row>
    <row r="512" spans="35:35" x14ac:dyDescent="0.45">
      <c r="AI512" t="s">
        <v>2173</v>
      </c>
    </row>
    <row r="513" spans="35:35" x14ac:dyDescent="0.45">
      <c r="AI513" t="s">
        <v>2543</v>
      </c>
    </row>
    <row r="514" spans="35:35" x14ac:dyDescent="0.45">
      <c r="AI514" t="s">
        <v>2174</v>
      </c>
    </row>
    <row r="515" spans="35:35" x14ac:dyDescent="0.45">
      <c r="AI515" t="s">
        <v>1677</v>
      </c>
    </row>
    <row r="516" spans="35:35" x14ac:dyDescent="0.45">
      <c r="AI516" t="s">
        <v>1678</v>
      </c>
    </row>
    <row r="517" spans="35:35" x14ac:dyDescent="0.45">
      <c r="AI517" t="s">
        <v>1676</v>
      </c>
    </row>
    <row r="518" spans="35:35" x14ac:dyDescent="0.45">
      <c r="AI518" t="s">
        <v>2326</v>
      </c>
    </row>
    <row r="519" spans="35:35" x14ac:dyDescent="0.45">
      <c r="AI519" t="s">
        <v>2343</v>
      </c>
    </row>
    <row r="520" spans="35:35" x14ac:dyDescent="0.45">
      <c r="AI520" t="s">
        <v>2346</v>
      </c>
    </row>
    <row r="521" spans="35:35" x14ac:dyDescent="0.45">
      <c r="AI521" t="s">
        <v>2347</v>
      </c>
    </row>
    <row r="522" spans="35:35" x14ac:dyDescent="0.45">
      <c r="AI522" t="s">
        <v>2348</v>
      </c>
    </row>
    <row r="523" spans="35:35" x14ac:dyDescent="0.45">
      <c r="AI523" t="s">
        <v>2354</v>
      </c>
    </row>
    <row r="524" spans="35:35" x14ac:dyDescent="0.45">
      <c r="AI524" t="s">
        <v>2355</v>
      </c>
    </row>
    <row r="525" spans="35:35" x14ac:dyDescent="0.45">
      <c r="AI525" t="s">
        <v>2356</v>
      </c>
    </row>
    <row r="526" spans="35:35" x14ac:dyDescent="0.45">
      <c r="AI526" t="s">
        <v>2359</v>
      </c>
    </row>
    <row r="527" spans="35:35" x14ac:dyDescent="0.45">
      <c r="AI527" t="s">
        <v>2360</v>
      </c>
    </row>
    <row r="528" spans="35:35" x14ac:dyDescent="0.45">
      <c r="AI528" t="s">
        <v>5919</v>
      </c>
    </row>
    <row r="529" spans="35:35" x14ac:dyDescent="0.45">
      <c r="AI529" t="s">
        <v>1750</v>
      </c>
    </row>
    <row r="530" spans="35:35" x14ac:dyDescent="0.45">
      <c r="AI530" t="s">
        <v>1751</v>
      </c>
    </row>
    <row r="531" spans="35:35" x14ac:dyDescent="0.45">
      <c r="AI531" t="s">
        <v>1752</v>
      </c>
    </row>
    <row r="532" spans="35:35" x14ac:dyDescent="0.45">
      <c r="AI532" t="s">
        <v>1753</v>
      </c>
    </row>
    <row r="533" spans="35:35" x14ac:dyDescent="0.45">
      <c r="AI533" t="s">
        <v>1755</v>
      </c>
    </row>
    <row r="534" spans="35:35" x14ac:dyDescent="0.45">
      <c r="AI534" t="s">
        <v>1756</v>
      </c>
    </row>
    <row r="535" spans="35:35" x14ac:dyDescent="0.45">
      <c r="AI535" t="s">
        <v>1758</v>
      </c>
    </row>
    <row r="536" spans="35:35" x14ac:dyDescent="0.45">
      <c r="AI536" t="s">
        <v>1759</v>
      </c>
    </row>
    <row r="537" spans="35:35" x14ac:dyDescent="0.45">
      <c r="AI537" t="s">
        <v>1760</v>
      </c>
    </row>
    <row r="538" spans="35:35" x14ac:dyDescent="0.45">
      <c r="AI538" t="s">
        <v>1746</v>
      </c>
    </row>
    <row r="539" spans="35:35" x14ac:dyDescent="0.45">
      <c r="AI539" t="s">
        <v>1747</v>
      </c>
    </row>
    <row r="540" spans="35:35" x14ac:dyDescent="0.45">
      <c r="AI540" t="s">
        <v>1748</v>
      </c>
    </row>
    <row r="541" spans="35:35" x14ac:dyDescent="0.45">
      <c r="AI541" t="s">
        <v>1761</v>
      </c>
    </row>
    <row r="542" spans="35:35" x14ac:dyDescent="0.45">
      <c r="AI542" t="s">
        <v>1735</v>
      </c>
    </row>
    <row r="543" spans="35:35" x14ac:dyDescent="0.45">
      <c r="AI543" t="s">
        <v>1736</v>
      </c>
    </row>
    <row r="544" spans="35:35" x14ac:dyDescent="0.45">
      <c r="AI544" t="s">
        <v>1737</v>
      </c>
    </row>
    <row r="545" spans="35:35" x14ac:dyDescent="0.45">
      <c r="AI545" t="s">
        <v>1738</v>
      </c>
    </row>
    <row r="546" spans="35:35" x14ac:dyDescent="0.45">
      <c r="AI546" t="s">
        <v>1739</v>
      </c>
    </row>
    <row r="547" spans="35:35" x14ac:dyDescent="0.45">
      <c r="AI547" t="s">
        <v>1740</v>
      </c>
    </row>
    <row r="548" spans="35:35" x14ac:dyDescent="0.45">
      <c r="AI548" t="s">
        <v>1749</v>
      </c>
    </row>
    <row r="549" spans="35:35" x14ac:dyDescent="0.45">
      <c r="AI549" t="s">
        <v>2150</v>
      </c>
    </row>
    <row r="550" spans="35:35" x14ac:dyDescent="0.45">
      <c r="AI550" t="s">
        <v>2151</v>
      </c>
    </row>
    <row r="551" spans="35:35" x14ac:dyDescent="0.45">
      <c r="AI551" t="s">
        <v>2152</v>
      </c>
    </row>
    <row r="552" spans="35:35" x14ac:dyDescent="0.45">
      <c r="AI552" t="s">
        <v>2153</v>
      </c>
    </row>
    <row r="553" spans="35:35" x14ac:dyDescent="0.45">
      <c r="AI553" t="s">
        <v>2081</v>
      </c>
    </row>
    <row r="554" spans="35:35" x14ac:dyDescent="0.45">
      <c r="AI554" t="s">
        <v>2082</v>
      </c>
    </row>
    <row r="555" spans="35:35" x14ac:dyDescent="0.45">
      <c r="AI555" t="s">
        <v>2083</v>
      </c>
    </row>
    <row r="556" spans="35:35" x14ac:dyDescent="0.45">
      <c r="AI556" t="s">
        <v>2084</v>
      </c>
    </row>
    <row r="557" spans="35:35" x14ac:dyDescent="0.45">
      <c r="AI557" t="s">
        <v>2085</v>
      </c>
    </row>
    <row r="558" spans="35:35" x14ac:dyDescent="0.45">
      <c r="AI558" t="s">
        <v>2102</v>
      </c>
    </row>
    <row r="559" spans="35:35" x14ac:dyDescent="0.45">
      <c r="AI559" t="s">
        <v>2103</v>
      </c>
    </row>
    <row r="560" spans="35:35" x14ac:dyDescent="0.45">
      <c r="AI560" t="s">
        <v>2104</v>
      </c>
    </row>
    <row r="561" spans="35:35" x14ac:dyDescent="0.45">
      <c r="AI561" t="s">
        <v>2105</v>
      </c>
    </row>
    <row r="562" spans="35:35" x14ac:dyDescent="0.45">
      <c r="AI562" t="s">
        <v>2258</v>
      </c>
    </row>
    <row r="563" spans="35:35" x14ac:dyDescent="0.45">
      <c r="AI563" t="s">
        <v>2259</v>
      </c>
    </row>
    <row r="564" spans="35:35" x14ac:dyDescent="0.45">
      <c r="AI564" t="s">
        <v>2260</v>
      </c>
    </row>
    <row r="565" spans="35:35" x14ac:dyDescent="0.45">
      <c r="AI565" t="s">
        <v>2261</v>
      </c>
    </row>
    <row r="566" spans="35:35" x14ac:dyDescent="0.45">
      <c r="AI566" t="s">
        <v>2262</v>
      </c>
    </row>
    <row r="567" spans="35:35" x14ac:dyDescent="0.45">
      <c r="AI567" t="s">
        <v>2263</v>
      </c>
    </row>
    <row r="568" spans="35:35" x14ac:dyDescent="0.45">
      <c r="AI568" t="s">
        <v>2267</v>
      </c>
    </row>
    <row r="569" spans="35:35" x14ac:dyDescent="0.45">
      <c r="AI569" t="s">
        <v>2268</v>
      </c>
    </row>
    <row r="570" spans="35:35" x14ac:dyDescent="0.45">
      <c r="AI570" t="s">
        <v>2273</v>
      </c>
    </row>
    <row r="571" spans="35:35" x14ac:dyDescent="0.45">
      <c r="AI571" t="s">
        <v>2276</v>
      </c>
    </row>
    <row r="572" spans="35:35" x14ac:dyDescent="0.45">
      <c r="AI572" t="s">
        <v>2065</v>
      </c>
    </row>
    <row r="573" spans="35:35" x14ac:dyDescent="0.45">
      <c r="AI573" t="s">
        <v>2066</v>
      </c>
    </row>
    <row r="574" spans="35:35" x14ac:dyDescent="0.45">
      <c r="AI574" t="s">
        <v>2067</v>
      </c>
    </row>
    <row r="575" spans="35:35" x14ac:dyDescent="0.45">
      <c r="AI575" t="s">
        <v>2134</v>
      </c>
    </row>
    <row r="576" spans="35:35" x14ac:dyDescent="0.45">
      <c r="AI576" t="s">
        <v>2135</v>
      </c>
    </row>
    <row r="577" spans="35:35" x14ac:dyDescent="0.45">
      <c r="AI577" t="s">
        <v>2136</v>
      </c>
    </row>
    <row r="578" spans="35:35" x14ac:dyDescent="0.45">
      <c r="AI578" t="s">
        <v>2137</v>
      </c>
    </row>
    <row r="579" spans="35:35" x14ac:dyDescent="0.45">
      <c r="AI579" t="s">
        <v>1325</v>
      </c>
    </row>
    <row r="580" spans="35:35" x14ac:dyDescent="0.45">
      <c r="AI580" t="s">
        <v>1326</v>
      </c>
    </row>
    <row r="581" spans="35:35" x14ac:dyDescent="0.45">
      <c r="AI581" t="s">
        <v>1330</v>
      </c>
    </row>
    <row r="582" spans="35:35" x14ac:dyDescent="0.45">
      <c r="AI582" t="s">
        <v>1331</v>
      </c>
    </row>
    <row r="583" spans="35:35" x14ac:dyDescent="0.45">
      <c r="AI583" t="s">
        <v>1332</v>
      </c>
    </row>
    <row r="584" spans="35:35" x14ac:dyDescent="0.45">
      <c r="AI584" t="s">
        <v>1333</v>
      </c>
    </row>
    <row r="585" spans="35:35" x14ac:dyDescent="0.45">
      <c r="AI585" t="s">
        <v>1337</v>
      </c>
    </row>
    <row r="586" spans="35:35" x14ac:dyDescent="0.45">
      <c r="AI586" t="s">
        <v>1338</v>
      </c>
    </row>
    <row r="587" spans="35:35" x14ac:dyDescent="0.45">
      <c r="AI587" t="s">
        <v>1339</v>
      </c>
    </row>
    <row r="588" spans="35:35" x14ac:dyDescent="0.45">
      <c r="AI588" t="s">
        <v>1340</v>
      </c>
    </row>
    <row r="589" spans="35:35" x14ac:dyDescent="0.45">
      <c r="AI589" t="s">
        <v>1341</v>
      </c>
    </row>
    <row r="590" spans="35:35" x14ac:dyDescent="0.45">
      <c r="AI590" t="s">
        <v>1342</v>
      </c>
    </row>
    <row r="591" spans="35:35" x14ac:dyDescent="0.45">
      <c r="AI591" t="s">
        <v>1343</v>
      </c>
    </row>
    <row r="592" spans="35:35" x14ac:dyDescent="0.45">
      <c r="AI592" t="s">
        <v>1344</v>
      </c>
    </row>
    <row r="593" spans="35:35" x14ac:dyDescent="0.45">
      <c r="AI593" t="s">
        <v>1345</v>
      </c>
    </row>
    <row r="594" spans="35:35" x14ac:dyDescent="0.45">
      <c r="AI594" t="s">
        <v>1319</v>
      </c>
    </row>
    <row r="595" spans="35:35" x14ac:dyDescent="0.45">
      <c r="AI595" t="s">
        <v>1320</v>
      </c>
    </row>
    <row r="596" spans="35:35" x14ac:dyDescent="0.45">
      <c r="AI596" t="s">
        <v>1321</v>
      </c>
    </row>
    <row r="597" spans="35:35" x14ac:dyDescent="0.45">
      <c r="AI597" t="s">
        <v>2138</v>
      </c>
    </row>
    <row r="598" spans="35:35" x14ac:dyDescent="0.45">
      <c r="AI598" t="s">
        <v>2139</v>
      </c>
    </row>
    <row r="599" spans="35:35" x14ac:dyDescent="0.45">
      <c r="AI599" t="s">
        <v>2140</v>
      </c>
    </row>
    <row r="600" spans="35:35" x14ac:dyDescent="0.45">
      <c r="AI600" t="s">
        <v>2141</v>
      </c>
    </row>
    <row r="601" spans="35:35" x14ac:dyDescent="0.45">
      <c r="AI601" t="s">
        <v>2142</v>
      </c>
    </row>
    <row r="602" spans="35:35" x14ac:dyDescent="0.45">
      <c r="AI602" t="s">
        <v>2143</v>
      </c>
    </row>
    <row r="603" spans="35:35" x14ac:dyDescent="0.45">
      <c r="AI603" t="s">
        <v>2144</v>
      </c>
    </row>
    <row r="604" spans="35:35" x14ac:dyDescent="0.45">
      <c r="AI604" t="s">
        <v>2145</v>
      </c>
    </row>
    <row r="605" spans="35:35" x14ac:dyDescent="0.45">
      <c r="AI605" t="s">
        <v>2146</v>
      </c>
    </row>
    <row r="606" spans="35:35" x14ac:dyDescent="0.45">
      <c r="AI606" t="s">
        <v>2147</v>
      </c>
    </row>
    <row r="607" spans="35:35" x14ac:dyDescent="0.45">
      <c r="AI607" t="s">
        <v>2148</v>
      </c>
    </row>
    <row r="608" spans="35:35" x14ac:dyDescent="0.45">
      <c r="AI608" t="s">
        <v>2149</v>
      </c>
    </row>
    <row r="609" spans="35:35" x14ac:dyDescent="0.45">
      <c r="AI609" t="s">
        <v>2106</v>
      </c>
    </row>
    <row r="610" spans="35:35" x14ac:dyDescent="0.45">
      <c r="AI610" t="s">
        <v>2107</v>
      </c>
    </row>
    <row r="611" spans="35:35" x14ac:dyDescent="0.45">
      <c r="AI611" t="s">
        <v>2068</v>
      </c>
    </row>
    <row r="612" spans="35:35" x14ac:dyDescent="0.45">
      <c r="AI612" t="s">
        <v>2131</v>
      </c>
    </row>
    <row r="613" spans="35:35" x14ac:dyDescent="0.45">
      <c r="AI613" t="s">
        <v>2132</v>
      </c>
    </row>
    <row r="614" spans="35:35" x14ac:dyDescent="0.45">
      <c r="AI614" t="s">
        <v>2133</v>
      </c>
    </row>
    <row r="615" spans="35:35" x14ac:dyDescent="0.45">
      <c r="AI615" t="s">
        <v>2069</v>
      </c>
    </row>
    <row r="616" spans="35:35" x14ac:dyDescent="0.45">
      <c r="AI616" t="s">
        <v>2070</v>
      </c>
    </row>
    <row r="617" spans="35:35" x14ac:dyDescent="0.45">
      <c r="AI617" t="s">
        <v>2071</v>
      </c>
    </row>
    <row r="618" spans="35:35" x14ac:dyDescent="0.45">
      <c r="AI618" t="s">
        <v>2372</v>
      </c>
    </row>
    <row r="619" spans="35:35" x14ac:dyDescent="0.45">
      <c r="AI619" t="s">
        <v>2382</v>
      </c>
    </row>
    <row r="620" spans="35:35" x14ac:dyDescent="0.45">
      <c r="AI620" t="s">
        <v>2383</v>
      </c>
    </row>
    <row r="621" spans="35:35" x14ac:dyDescent="0.45">
      <c r="AI621" t="s">
        <v>2316</v>
      </c>
    </row>
    <row r="622" spans="35:35" x14ac:dyDescent="0.45">
      <c r="AI622" t="s">
        <v>2317</v>
      </c>
    </row>
    <row r="623" spans="35:35" x14ac:dyDescent="0.45">
      <c r="AI623" t="s">
        <v>2319</v>
      </c>
    </row>
    <row r="624" spans="35:35" x14ac:dyDescent="0.45">
      <c r="AI624" t="s">
        <v>2320</v>
      </c>
    </row>
    <row r="625" spans="35:35" x14ac:dyDescent="0.45">
      <c r="AI625" t="s">
        <v>2321</v>
      </c>
    </row>
    <row r="626" spans="35:35" x14ac:dyDescent="0.45">
      <c r="AI626" t="s">
        <v>2349</v>
      </c>
    </row>
    <row r="627" spans="35:35" x14ac:dyDescent="0.45">
      <c r="AI627" t="s">
        <v>2373</v>
      </c>
    </row>
    <row r="628" spans="35:35" x14ac:dyDescent="0.45">
      <c r="AI628" t="s">
        <v>2175</v>
      </c>
    </row>
    <row r="629" spans="35:35" x14ac:dyDescent="0.45">
      <c r="AI629" t="s">
        <v>2184</v>
      </c>
    </row>
    <row r="630" spans="35:35" x14ac:dyDescent="0.45">
      <c r="AI630" t="s">
        <v>2185</v>
      </c>
    </row>
    <row r="631" spans="35:35" x14ac:dyDescent="0.45">
      <c r="AI631" t="s">
        <v>2189</v>
      </c>
    </row>
    <row r="632" spans="35:35" x14ac:dyDescent="0.45">
      <c r="AI632" t="s">
        <v>2190</v>
      </c>
    </row>
    <row r="633" spans="35:35" x14ac:dyDescent="0.45">
      <c r="AI633" t="s">
        <v>2192</v>
      </c>
    </row>
    <row r="634" spans="35:35" x14ac:dyDescent="0.45">
      <c r="AI634" t="s">
        <v>2193</v>
      </c>
    </row>
    <row r="635" spans="35:35" x14ac:dyDescent="0.45">
      <c r="AI635" t="s">
        <v>2194</v>
      </c>
    </row>
    <row r="636" spans="35:35" x14ac:dyDescent="0.45">
      <c r="AI636" t="s">
        <v>2195</v>
      </c>
    </row>
    <row r="637" spans="35:35" x14ac:dyDescent="0.45">
      <c r="AI637" t="s">
        <v>2196</v>
      </c>
    </row>
    <row r="638" spans="35:35" x14ac:dyDescent="0.45">
      <c r="AI638" t="s">
        <v>2197</v>
      </c>
    </row>
    <row r="639" spans="35:35" x14ac:dyDescent="0.45">
      <c r="AI639" t="s">
        <v>2198</v>
      </c>
    </row>
    <row r="640" spans="35:35" x14ac:dyDescent="0.45">
      <c r="AI640" t="s">
        <v>2199</v>
      </c>
    </row>
    <row r="641" spans="35:35" x14ac:dyDescent="0.45">
      <c r="AI641" t="s">
        <v>2206</v>
      </c>
    </row>
    <row r="642" spans="35:35" x14ac:dyDescent="0.45">
      <c r="AI642" t="s">
        <v>1133</v>
      </c>
    </row>
    <row r="643" spans="35:35" x14ac:dyDescent="0.45">
      <c r="AI643" t="s">
        <v>1156</v>
      </c>
    </row>
    <row r="644" spans="35:35" x14ac:dyDescent="0.45">
      <c r="AI644" t="s">
        <v>1157</v>
      </c>
    </row>
    <row r="645" spans="35:35" x14ac:dyDescent="0.45">
      <c r="AI645" t="s">
        <v>1158</v>
      </c>
    </row>
    <row r="646" spans="35:35" x14ac:dyDescent="0.45">
      <c r="AI646" t="s">
        <v>1162</v>
      </c>
    </row>
    <row r="647" spans="35:35" x14ac:dyDescent="0.45">
      <c r="AI647" t="s">
        <v>1178</v>
      </c>
    </row>
    <row r="648" spans="35:35" x14ac:dyDescent="0.45">
      <c r="AI648" t="s">
        <v>1179</v>
      </c>
    </row>
    <row r="649" spans="35:35" x14ac:dyDescent="0.45">
      <c r="AI649" t="s">
        <v>1183</v>
      </c>
    </row>
    <row r="650" spans="35:35" x14ac:dyDescent="0.45">
      <c r="AI650" t="s">
        <v>1184</v>
      </c>
    </row>
    <row r="651" spans="35:35" x14ac:dyDescent="0.45">
      <c r="AI651" t="s">
        <v>1185</v>
      </c>
    </row>
    <row r="652" spans="35:35" x14ac:dyDescent="0.45">
      <c r="AI652" t="s">
        <v>1186</v>
      </c>
    </row>
    <row r="653" spans="35:35" x14ac:dyDescent="0.45">
      <c r="AI653" t="s">
        <v>1447</v>
      </c>
    </row>
    <row r="654" spans="35:35" x14ac:dyDescent="0.45">
      <c r="AI654" t="s">
        <v>1350</v>
      </c>
    </row>
    <row r="655" spans="35:35" x14ac:dyDescent="0.45">
      <c r="AI655" t="s">
        <v>1351</v>
      </c>
    </row>
    <row r="656" spans="35:35" x14ac:dyDescent="0.45">
      <c r="AI656" t="s">
        <v>1352</v>
      </c>
    </row>
    <row r="657" spans="35:35" x14ac:dyDescent="0.45">
      <c r="AI657" t="s">
        <v>1353</v>
      </c>
    </row>
    <row r="658" spans="35:35" x14ac:dyDescent="0.45">
      <c r="AI658" t="s">
        <v>1443</v>
      </c>
    </row>
    <row r="659" spans="35:35" x14ac:dyDescent="0.45">
      <c r="AI659" t="s">
        <v>1448</v>
      </c>
    </row>
    <row r="660" spans="35:35" x14ac:dyDescent="0.45">
      <c r="AI660" t="s">
        <v>1449</v>
      </c>
    </row>
    <row r="661" spans="35:35" x14ac:dyDescent="0.45">
      <c r="AI661" t="s">
        <v>1451</v>
      </c>
    </row>
    <row r="662" spans="35:35" x14ac:dyDescent="0.45">
      <c r="AI662" t="s">
        <v>1452</v>
      </c>
    </row>
    <row r="663" spans="35:35" x14ac:dyDescent="0.45">
      <c r="AI663" t="s">
        <v>1930</v>
      </c>
    </row>
    <row r="664" spans="35:35" x14ac:dyDescent="0.45">
      <c r="AI664" t="s">
        <v>1889</v>
      </c>
    </row>
    <row r="665" spans="35:35" x14ac:dyDescent="0.45">
      <c r="AI665" t="s">
        <v>1890</v>
      </c>
    </row>
    <row r="666" spans="35:35" x14ac:dyDescent="0.45">
      <c r="AI666" t="s">
        <v>1891</v>
      </c>
    </row>
    <row r="667" spans="35:35" x14ac:dyDescent="0.45">
      <c r="AI667" t="s">
        <v>1975</v>
      </c>
    </row>
    <row r="668" spans="35:35" x14ac:dyDescent="0.45">
      <c r="AI668" t="s">
        <v>1754</v>
      </c>
    </row>
    <row r="669" spans="35:35" x14ac:dyDescent="0.45">
      <c r="AI669" t="s">
        <v>1725</v>
      </c>
    </row>
    <row r="670" spans="35:35" x14ac:dyDescent="0.45">
      <c r="AI670" t="s">
        <v>1726</v>
      </c>
    </row>
    <row r="671" spans="35:35" x14ac:dyDescent="0.45">
      <c r="AI671" t="s">
        <v>1727</v>
      </c>
    </row>
    <row r="672" spans="35:35" x14ac:dyDescent="0.45">
      <c r="AI672" t="s">
        <v>1744</v>
      </c>
    </row>
    <row r="673" spans="35:35" x14ac:dyDescent="0.45">
      <c r="AI673" t="s">
        <v>1729</v>
      </c>
    </row>
    <row r="674" spans="35:35" x14ac:dyDescent="0.45">
      <c r="AI674" t="s">
        <v>1730</v>
      </c>
    </row>
    <row r="675" spans="35:35" x14ac:dyDescent="0.45">
      <c r="AI675" t="s">
        <v>1731</v>
      </c>
    </row>
    <row r="676" spans="35:35" x14ac:dyDescent="0.45">
      <c r="AI676" t="s">
        <v>1732</v>
      </c>
    </row>
    <row r="677" spans="35:35" x14ac:dyDescent="0.45">
      <c r="AI677" t="s">
        <v>1733</v>
      </c>
    </row>
    <row r="678" spans="35:35" x14ac:dyDescent="0.45">
      <c r="AI678" t="s">
        <v>1734</v>
      </c>
    </row>
    <row r="679" spans="35:35" x14ac:dyDescent="0.45">
      <c r="AI679" t="s">
        <v>1741</v>
      </c>
    </row>
    <row r="680" spans="35:35" x14ac:dyDescent="0.45">
      <c r="AI680" t="s">
        <v>1979</v>
      </c>
    </row>
    <row r="681" spans="35:35" x14ac:dyDescent="0.45">
      <c r="AI681" t="s">
        <v>1980</v>
      </c>
    </row>
    <row r="682" spans="35:35" x14ac:dyDescent="0.45">
      <c r="AI682" t="s">
        <v>1981</v>
      </c>
    </row>
    <row r="683" spans="35:35" x14ac:dyDescent="0.45">
      <c r="AI683" t="s">
        <v>1982</v>
      </c>
    </row>
    <row r="684" spans="35:35" x14ac:dyDescent="0.45">
      <c r="AI684" t="s">
        <v>1983</v>
      </c>
    </row>
    <row r="685" spans="35:35" x14ac:dyDescent="0.45">
      <c r="AI685" t="s">
        <v>1984</v>
      </c>
    </row>
    <row r="686" spans="35:35" x14ac:dyDescent="0.45">
      <c r="AI686" t="s">
        <v>1985</v>
      </c>
    </row>
    <row r="687" spans="35:35" x14ac:dyDescent="0.45">
      <c r="AI687" t="s">
        <v>1988</v>
      </c>
    </row>
    <row r="688" spans="35:35" x14ac:dyDescent="0.45">
      <c r="AI688" t="s">
        <v>1989</v>
      </c>
    </row>
    <row r="689" spans="35:35" x14ac:dyDescent="0.45">
      <c r="AI689" t="s">
        <v>1990</v>
      </c>
    </row>
    <row r="690" spans="35:35" x14ac:dyDescent="0.45">
      <c r="AI690" t="s">
        <v>1991</v>
      </c>
    </row>
    <row r="691" spans="35:35" x14ac:dyDescent="0.45">
      <c r="AI691" t="s">
        <v>1993</v>
      </c>
    </row>
    <row r="692" spans="35:35" x14ac:dyDescent="0.45">
      <c r="AI692" t="s">
        <v>1994</v>
      </c>
    </row>
    <row r="693" spans="35:35" x14ac:dyDescent="0.45">
      <c r="AI693" t="s">
        <v>1995</v>
      </c>
    </row>
    <row r="694" spans="35:35" x14ac:dyDescent="0.45">
      <c r="AI694" t="s">
        <v>1996</v>
      </c>
    </row>
    <row r="695" spans="35:35" x14ac:dyDescent="0.45">
      <c r="AI695" t="s">
        <v>1998</v>
      </c>
    </row>
    <row r="696" spans="35:35" x14ac:dyDescent="0.45">
      <c r="AI696" t="s">
        <v>2000</v>
      </c>
    </row>
    <row r="697" spans="35:35" x14ac:dyDescent="0.45">
      <c r="AI697" t="s">
        <v>2001</v>
      </c>
    </row>
    <row r="698" spans="35:35" x14ac:dyDescent="0.45">
      <c r="AI698" t="s">
        <v>2298</v>
      </c>
    </row>
    <row r="699" spans="35:35" x14ac:dyDescent="0.45">
      <c r="AI699" t="s">
        <v>2248</v>
      </c>
    </row>
    <row r="700" spans="35:35" x14ac:dyDescent="0.45">
      <c r="AI700" t="s">
        <v>2255</v>
      </c>
    </row>
    <row r="701" spans="35:35" x14ac:dyDescent="0.45">
      <c r="AI701" t="s">
        <v>2256</v>
      </c>
    </row>
    <row r="702" spans="35:35" x14ac:dyDescent="0.45">
      <c r="AI702" t="s">
        <v>2257</v>
      </c>
    </row>
    <row r="703" spans="35:35" x14ac:dyDescent="0.45">
      <c r="AI703" t="s">
        <v>2264</v>
      </c>
    </row>
    <row r="704" spans="35:35" x14ac:dyDescent="0.45">
      <c r="AI704" t="s">
        <v>2395</v>
      </c>
    </row>
    <row r="705" spans="35:35" x14ac:dyDescent="0.45">
      <c r="AI705" t="s">
        <v>2396</v>
      </c>
    </row>
    <row r="706" spans="35:35" x14ac:dyDescent="0.45">
      <c r="AI706" t="s">
        <v>2397</v>
      </c>
    </row>
    <row r="707" spans="35:35" x14ac:dyDescent="0.45">
      <c r="AI707" t="s">
        <v>2389</v>
      </c>
    </row>
    <row r="708" spans="35:35" x14ac:dyDescent="0.45">
      <c r="AI708" t="s">
        <v>2390</v>
      </c>
    </row>
    <row r="709" spans="35:35" x14ac:dyDescent="0.45">
      <c r="AI709" t="s">
        <v>2391</v>
      </c>
    </row>
    <row r="710" spans="35:35" x14ac:dyDescent="0.45">
      <c r="AI710" t="s">
        <v>2392</v>
      </c>
    </row>
    <row r="711" spans="35:35" x14ac:dyDescent="0.45">
      <c r="AI711" t="s">
        <v>2393</v>
      </c>
    </row>
    <row r="712" spans="35:35" x14ac:dyDescent="0.45">
      <c r="AI712" t="s">
        <v>2394</v>
      </c>
    </row>
    <row r="713" spans="35:35" x14ac:dyDescent="0.45">
      <c r="AI713" t="s">
        <v>2450</v>
      </c>
    </row>
    <row r="714" spans="35:35" x14ac:dyDescent="0.45">
      <c r="AI714" t="s">
        <v>2451</v>
      </c>
    </row>
    <row r="715" spans="35:35" x14ac:dyDescent="0.45">
      <c r="AI715" t="s">
        <v>2452</v>
      </c>
    </row>
    <row r="716" spans="35:35" x14ac:dyDescent="0.45">
      <c r="AI716" t="s">
        <v>2453</v>
      </c>
    </row>
    <row r="717" spans="35:35" x14ac:dyDescent="0.45">
      <c r="AI717" t="s">
        <v>2455</v>
      </c>
    </row>
    <row r="718" spans="35:35" x14ac:dyDescent="0.45">
      <c r="AI718" t="s">
        <v>2456</v>
      </c>
    </row>
    <row r="719" spans="35:35" x14ac:dyDescent="0.45">
      <c r="AI719" t="s">
        <v>2409</v>
      </c>
    </row>
    <row r="720" spans="35:35" x14ac:dyDescent="0.45">
      <c r="AI720" t="s">
        <v>2410</v>
      </c>
    </row>
    <row r="721" spans="35:35" x14ac:dyDescent="0.45">
      <c r="AI721" t="s">
        <v>2411</v>
      </c>
    </row>
    <row r="722" spans="35:35" x14ac:dyDescent="0.45">
      <c r="AI722" t="s">
        <v>2418</v>
      </c>
    </row>
    <row r="723" spans="35:35" x14ac:dyDescent="0.45">
      <c r="AI723" t="s">
        <v>2419</v>
      </c>
    </row>
    <row r="724" spans="35:35" x14ac:dyDescent="0.45">
      <c r="AI724" t="s">
        <v>2401</v>
      </c>
    </row>
    <row r="725" spans="35:35" x14ac:dyDescent="0.45">
      <c r="AI725" t="s">
        <v>2402</v>
      </c>
    </row>
    <row r="726" spans="35:35" x14ac:dyDescent="0.45">
      <c r="AI726" t="s">
        <v>2403</v>
      </c>
    </row>
    <row r="727" spans="35:35" x14ac:dyDescent="0.45">
      <c r="AI727" t="s">
        <v>1927</v>
      </c>
    </row>
    <row r="728" spans="35:35" x14ac:dyDescent="0.45">
      <c r="AI728" t="s">
        <v>1928</v>
      </c>
    </row>
    <row r="729" spans="35:35" x14ac:dyDescent="0.45">
      <c r="AI729" t="s">
        <v>1929</v>
      </c>
    </row>
    <row r="730" spans="35:35" x14ac:dyDescent="0.45">
      <c r="AI730" t="s">
        <v>1952</v>
      </c>
    </row>
    <row r="731" spans="35:35" x14ac:dyDescent="0.45">
      <c r="AI731" t="s">
        <v>1953</v>
      </c>
    </row>
    <row r="732" spans="35:35" x14ac:dyDescent="0.45">
      <c r="AI732" t="s">
        <v>1954</v>
      </c>
    </row>
    <row r="733" spans="35:35" x14ac:dyDescent="0.45">
      <c r="AI733" t="s">
        <v>1955</v>
      </c>
    </row>
    <row r="734" spans="35:35" x14ac:dyDescent="0.45">
      <c r="AI734" t="s">
        <v>1956</v>
      </c>
    </row>
    <row r="735" spans="35:35" x14ac:dyDescent="0.45">
      <c r="AI735" t="s">
        <v>1957</v>
      </c>
    </row>
    <row r="736" spans="35:35" x14ac:dyDescent="0.45">
      <c r="AI736" t="s">
        <v>1958</v>
      </c>
    </row>
    <row r="737" spans="35:35" x14ac:dyDescent="0.45">
      <c r="AI737" t="s">
        <v>1959</v>
      </c>
    </row>
    <row r="738" spans="35:35" x14ac:dyDescent="0.45">
      <c r="AI738" t="s">
        <v>1960</v>
      </c>
    </row>
    <row r="739" spans="35:35" x14ac:dyDescent="0.45">
      <c r="AI739" t="s">
        <v>1896</v>
      </c>
    </row>
    <row r="740" spans="35:35" x14ac:dyDescent="0.45">
      <c r="AI740" t="s">
        <v>1942</v>
      </c>
    </row>
    <row r="741" spans="35:35" x14ac:dyDescent="0.45">
      <c r="AI741" t="s">
        <v>1943</v>
      </c>
    </row>
    <row r="742" spans="35:35" x14ac:dyDescent="0.45">
      <c r="AI742" t="s">
        <v>1944</v>
      </c>
    </row>
    <row r="743" spans="35:35" x14ac:dyDescent="0.45">
      <c r="AI743" t="s">
        <v>1945</v>
      </c>
    </row>
    <row r="744" spans="35:35" x14ac:dyDescent="0.45">
      <c r="AI744" t="s">
        <v>1946</v>
      </c>
    </row>
    <row r="745" spans="35:35" x14ac:dyDescent="0.45">
      <c r="AI745" t="s">
        <v>1947</v>
      </c>
    </row>
    <row r="746" spans="35:35" x14ac:dyDescent="0.45">
      <c r="AI746" t="s">
        <v>1948</v>
      </c>
    </row>
    <row r="747" spans="35:35" x14ac:dyDescent="0.45">
      <c r="AI747" t="s">
        <v>2544</v>
      </c>
    </row>
    <row r="748" spans="35:35" x14ac:dyDescent="0.45">
      <c r="AI748" t="s">
        <v>1949</v>
      </c>
    </row>
    <row r="749" spans="35:35" x14ac:dyDescent="0.45">
      <c r="AI749" t="s">
        <v>1999</v>
      </c>
    </row>
    <row r="750" spans="35:35" x14ac:dyDescent="0.45">
      <c r="AI750" t="s">
        <v>1978</v>
      </c>
    </row>
    <row r="751" spans="35:35" x14ac:dyDescent="0.45">
      <c r="AI751" t="s">
        <v>2007</v>
      </c>
    </row>
    <row r="752" spans="35:35" x14ac:dyDescent="0.45">
      <c r="AI752" t="s">
        <v>2008</v>
      </c>
    </row>
    <row r="753" spans="35:35" x14ac:dyDescent="0.45">
      <c r="AI753" t="s">
        <v>2009</v>
      </c>
    </row>
    <row r="754" spans="35:35" x14ac:dyDescent="0.45">
      <c r="AI754" t="s">
        <v>1977</v>
      </c>
    </row>
    <row r="755" spans="35:35" x14ac:dyDescent="0.45">
      <c r="AI755" t="s">
        <v>2002</v>
      </c>
    </row>
    <row r="756" spans="35:35" x14ac:dyDescent="0.45">
      <c r="AI756" t="s">
        <v>1992</v>
      </c>
    </row>
    <row r="757" spans="35:35" x14ac:dyDescent="0.45">
      <c r="AI757" t="s">
        <v>1997</v>
      </c>
    </row>
    <row r="758" spans="35:35" x14ac:dyDescent="0.45">
      <c r="AI758" t="s">
        <v>1986</v>
      </c>
    </row>
    <row r="759" spans="35:35" x14ac:dyDescent="0.45">
      <c r="AI759" t="s">
        <v>1987</v>
      </c>
    </row>
    <row r="760" spans="35:35" x14ac:dyDescent="0.45">
      <c r="AI760" t="s">
        <v>2005</v>
      </c>
    </row>
    <row r="761" spans="35:35" x14ac:dyDescent="0.45">
      <c r="AI761" t="s">
        <v>2006</v>
      </c>
    </row>
    <row r="762" spans="35:35" x14ac:dyDescent="0.45">
      <c r="AI762" t="s">
        <v>2010</v>
      </c>
    </row>
    <row r="763" spans="35:35" x14ac:dyDescent="0.45">
      <c r="AI763" t="s">
        <v>2011</v>
      </c>
    </row>
    <row r="764" spans="35:35" x14ac:dyDescent="0.45">
      <c r="AI764" t="s">
        <v>2003</v>
      </c>
    </row>
    <row r="765" spans="35:35" x14ac:dyDescent="0.45">
      <c r="AI765" t="s">
        <v>2004</v>
      </c>
    </row>
    <row r="766" spans="35:35" x14ac:dyDescent="0.45">
      <c r="AI766" t="s">
        <v>1837</v>
      </c>
    </row>
    <row r="767" spans="35:35" x14ac:dyDescent="0.45">
      <c r="AI767" t="s">
        <v>1873</v>
      </c>
    </row>
    <row r="768" spans="35:35" x14ac:dyDescent="0.45">
      <c r="AI768" t="s">
        <v>1848</v>
      </c>
    </row>
    <row r="769" spans="35:35" x14ac:dyDescent="0.45">
      <c r="AI769" t="s">
        <v>1876</v>
      </c>
    </row>
    <row r="770" spans="35:35" x14ac:dyDescent="0.45">
      <c r="AI770" t="s">
        <v>1877</v>
      </c>
    </row>
    <row r="771" spans="35:35" x14ac:dyDescent="0.45">
      <c r="AI771" t="s">
        <v>1878</v>
      </c>
    </row>
    <row r="772" spans="35:35" x14ac:dyDescent="0.45">
      <c r="AI772" t="s">
        <v>1765</v>
      </c>
    </row>
    <row r="773" spans="35:35" x14ac:dyDescent="0.45">
      <c r="AI773" t="s">
        <v>1822</v>
      </c>
    </row>
    <row r="774" spans="35:35" x14ac:dyDescent="0.45">
      <c r="AI774" t="s">
        <v>1825</v>
      </c>
    </row>
    <row r="775" spans="35:35" x14ac:dyDescent="0.45">
      <c r="AI775" t="s">
        <v>2384</v>
      </c>
    </row>
    <row r="776" spans="35:35" x14ac:dyDescent="0.45">
      <c r="AI776" t="s">
        <v>2318</v>
      </c>
    </row>
    <row r="777" spans="35:35" x14ac:dyDescent="0.45">
      <c r="AI777" t="s">
        <v>2322</v>
      </c>
    </row>
    <row r="778" spans="35:35" x14ac:dyDescent="0.45">
      <c r="AI778" t="s">
        <v>1720</v>
      </c>
    </row>
    <row r="779" spans="35:35" x14ac:dyDescent="0.45">
      <c r="AI779" t="s">
        <v>1722</v>
      </c>
    </row>
    <row r="780" spans="35:35" x14ac:dyDescent="0.45">
      <c r="AI780" t="s">
        <v>1721</v>
      </c>
    </row>
    <row r="781" spans="35:35" x14ac:dyDescent="0.45">
      <c r="AI781" t="s">
        <v>1717</v>
      </c>
    </row>
    <row r="782" spans="35:35" x14ac:dyDescent="0.45">
      <c r="AI782" t="s">
        <v>1262</v>
      </c>
    </row>
    <row r="783" spans="35:35" x14ac:dyDescent="0.45">
      <c r="AI783" t="s">
        <v>1263</v>
      </c>
    </row>
    <row r="784" spans="35:35" x14ac:dyDescent="0.45">
      <c r="AI784" t="s">
        <v>1268</v>
      </c>
    </row>
    <row r="785" spans="35:35" x14ac:dyDescent="0.45">
      <c r="AI785" t="s">
        <v>1273</v>
      </c>
    </row>
    <row r="786" spans="35:35" x14ac:dyDescent="0.45">
      <c r="AI786" t="s">
        <v>1275</v>
      </c>
    </row>
    <row r="787" spans="35:35" x14ac:dyDescent="0.45">
      <c r="AI787" t="s">
        <v>1276</v>
      </c>
    </row>
    <row r="788" spans="35:35" x14ac:dyDescent="0.45">
      <c r="AI788" t="s">
        <v>1278</v>
      </c>
    </row>
    <row r="789" spans="35:35" x14ac:dyDescent="0.45">
      <c r="AI789" t="s">
        <v>1281</v>
      </c>
    </row>
    <row r="790" spans="35:35" x14ac:dyDescent="0.45">
      <c r="AI790" t="s">
        <v>1282</v>
      </c>
    </row>
    <row r="791" spans="35:35" x14ac:dyDescent="0.45">
      <c r="AI791" t="s">
        <v>1283</v>
      </c>
    </row>
    <row r="792" spans="35:35" x14ac:dyDescent="0.45">
      <c r="AI792" t="s">
        <v>1284</v>
      </c>
    </row>
    <row r="793" spans="35:35" x14ac:dyDescent="0.45">
      <c r="AI793" t="s">
        <v>1285</v>
      </c>
    </row>
    <row r="794" spans="35:35" x14ac:dyDescent="0.45">
      <c r="AI794" t="s">
        <v>1286</v>
      </c>
    </row>
    <row r="795" spans="35:35" x14ac:dyDescent="0.45">
      <c r="AI795" t="s">
        <v>1287</v>
      </c>
    </row>
    <row r="796" spans="35:35" x14ac:dyDescent="0.45">
      <c r="AI796" t="s">
        <v>1288</v>
      </c>
    </row>
    <row r="797" spans="35:35" x14ac:dyDescent="0.45">
      <c r="AI797" t="s">
        <v>1289</v>
      </c>
    </row>
    <row r="798" spans="35:35" x14ac:dyDescent="0.45">
      <c r="AI798" t="s">
        <v>1767</v>
      </c>
    </row>
    <row r="799" spans="35:35" x14ac:dyDescent="0.45">
      <c r="AI799" t="s">
        <v>1788</v>
      </c>
    </row>
    <row r="800" spans="35:35" x14ac:dyDescent="0.45">
      <c r="AI800" t="s">
        <v>1797</v>
      </c>
    </row>
    <row r="801" spans="35:35" x14ac:dyDescent="0.45">
      <c r="AI801" t="s">
        <v>1798</v>
      </c>
    </row>
    <row r="802" spans="35:35" x14ac:dyDescent="0.45">
      <c r="AI802" t="s">
        <v>1799</v>
      </c>
    </row>
    <row r="803" spans="35:35" x14ac:dyDescent="0.45">
      <c r="AI803" t="s">
        <v>1800</v>
      </c>
    </row>
    <row r="804" spans="35:35" x14ac:dyDescent="0.45">
      <c r="AI804" t="s">
        <v>1816</v>
      </c>
    </row>
    <row r="805" spans="35:35" x14ac:dyDescent="0.45">
      <c r="AI805" t="s">
        <v>1817</v>
      </c>
    </row>
    <row r="806" spans="35:35" x14ac:dyDescent="0.45">
      <c r="AI806" t="s">
        <v>1818</v>
      </c>
    </row>
    <row r="807" spans="35:35" x14ac:dyDescent="0.45">
      <c r="AI807" t="s">
        <v>1406</v>
      </c>
    </row>
    <row r="808" spans="35:35" x14ac:dyDescent="0.45">
      <c r="AI808" t="s">
        <v>1407</v>
      </c>
    </row>
    <row r="809" spans="35:35" x14ac:dyDescent="0.45">
      <c r="AI809" t="s">
        <v>1408</v>
      </c>
    </row>
    <row r="810" spans="35:35" x14ac:dyDescent="0.45">
      <c r="AI810" t="s">
        <v>1409</v>
      </c>
    </row>
    <row r="811" spans="35:35" x14ac:dyDescent="0.45">
      <c r="AI811" t="s">
        <v>1410</v>
      </c>
    </row>
    <row r="812" spans="35:35" x14ac:dyDescent="0.45">
      <c r="AI812" t="s">
        <v>1424</v>
      </c>
    </row>
    <row r="813" spans="35:35" x14ac:dyDescent="0.45">
      <c r="AI813" t="s">
        <v>2545</v>
      </c>
    </row>
    <row r="814" spans="35:35" x14ac:dyDescent="0.45">
      <c r="AI814" t="s">
        <v>2546</v>
      </c>
    </row>
    <row r="815" spans="35:35" x14ac:dyDescent="0.45">
      <c r="AI815" t="s">
        <v>1425</v>
      </c>
    </row>
    <row r="816" spans="35:35" x14ac:dyDescent="0.45">
      <c r="AI816" t="s">
        <v>1433</v>
      </c>
    </row>
    <row r="817" spans="35:35" x14ac:dyDescent="0.45">
      <c r="AI817" t="s">
        <v>1434</v>
      </c>
    </row>
    <row r="818" spans="35:35" x14ac:dyDescent="0.45">
      <c r="AI818" t="s">
        <v>1435</v>
      </c>
    </row>
    <row r="819" spans="35:35" x14ac:dyDescent="0.45">
      <c r="AI819" t="s">
        <v>1439</v>
      </c>
    </row>
    <row r="820" spans="35:35" x14ac:dyDescent="0.45">
      <c r="AI820" t="s">
        <v>1440</v>
      </c>
    </row>
    <row r="821" spans="35:35" x14ac:dyDescent="0.45">
      <c r="AI821" t="s">
        <v>1444</v>
      </c>
    </row>
    <row r="822" spans="35:35" x14ac:dyDescent="0.45">
      <c r="AI822" t="s">
        <v>1151</v>
      </c>
    </row>
    <row r="823" spans="35:35" x14ac:dyDescent="0.45">
      <c r="AI823" t="s">
        <v>1152</v>
      </c>
    </row>
    <row r="824" spans="35:35" x14ac:dyDescent="0.45">
      <c r="AI824" t="s">
        <v>1159</v>
      </c>
    </row>
    <row r="825" spans="35:35" x14ac:dyDescent="0.45">
      <c r="AI825" t="s">
        <v>1160</v>
      </c>
    </row>
    <row r="826" spans="35:35" x14ac:dyDescent="0.45">
      <c r="AI826" t="s">
        <v>1161</v>
      </c>
    </row>
    <row r="827" spans="35:35" x14ac:dyDescent="0.45">
      <c r="AI827" t="s">
        <v>1163</v>
      </c>
    </row>
    <row r="828" spans="35:35" x14ac:dyDescent="0.45">
      <c r="AI828" t="s">
        <v>1166</v>
      </c>
    </row>
    <row r="829" spans="35:35" x14ac:dyDescent="0.45">
      <c r="AI829" t="s">
        <v>1167</v>
      </c>
    </row>
    <row r="830" spans="35:35" x14ac:dyDescent="0.45">
      <c r="AI830" t="s">
        <v>1176</v>
      </c>
    </row>
    <row r="831" spans="35:35" x14ac:dyDescent="0.45">
      <c r="AI831" t="s">
        <v>1177</v>
      </c>
    </row>
    <row r="832" spans="35:35" x14ac:dyDescent="0.45">
      <c r="AI832" t="s">
        <v>1180</v>
      </c>
    </row>
    <row r="833" spans="35:35" x14ac:dyDescent="0.45">
      <c r="AI833" t="s">
        <v>1181</v>
      </c>
    </row>
    <row r="834" spans="35:35" x14ac:dyDescent="0.45">
      <c r="AI834" t="s">
        <v>1277</v>
      </c>
    </row>
    <row r="835" spans="35:35" x14ac:dyDescent="0.45">
      <c r="AI835" t="s">
        <v>1279</v>
      </c>
    </row>
    <row r="836" spans="35:35" x14ac:dyDescent="0.45">
      <c r="AI836" t="s">
        <v>1280</v>
      </c>
    </row>
    <row r="837" spans="35:35" x14ac:dyDescent="0.45">
      <c r="AI837" t="s">
        <v>1290</v>
      </c>
    </row>
    <row r="838" spans="35:35" x14ac:dyDescent="0.45">
      <c r="AI838" t="s">
        <v>1291</v>
      </c>
    </row>
    <row r="839" spans="35:35" x14ac:dyDescent="0.45">
      <c r="AI839" t="s">
        <v>1296</v>
      </c>
    </row>
    <row r="840" spans="35:35" x14ac:dyDescent="0.45">
      <c r="AI840" t="s">
        <v>1298</v>
      </c>
    </row>
    <row r="841" spans="35:35" x14ac:dyDescent="0.45">
      <c r="AI841" t="s">
        <v>1299</v>
      </c>
    </row>
    <row r="842" spans="35:35" x14ac:dyDescent="0.45">
      <c r="AI842" t="s">
        <v>2398</v>
      </c>
    </row>
    <row r="843" spans="35:35" x14ac:dyDescent="0.45">
      <c r="AI843" t="s">
        <v>2399</v>
      </c>
    </row>
    <row r="844" spans="35:35" x14ac:dyDescent="0.45">
      <c r="AI844" t="s">
        <v>2400</v>
      </c>
    </row>
    <row r="845" spans="35:35" x14ac:dyDescent="0.45">
      <c r="AI845" t="s">
        <v>2430</v>
      </c>
    </row>
    <row r="846" spans="35:35" x14ac:dyDescent="0.45">
      <c r="AI846" t="s">
        <v>2431</v>
      </c>
    </row>
    <row r="847" spans="35:35" x14ac:dyDescent="0.45">
      <c r="AI847" t="s">
        <v>2432</v>
      </c>
    </row>
    <row r="848" spans="35:35" x14ac:dyDescent="0.45">
      <c r="AI848" t="s">
        <v>1562</v>
      </c>
    </row>
    <row r="849" spans="35:35" x14ac:dyDescent="0.45">
      <c r="AI849" t="s">
        <v>1573</v>
      </c>
    </row>
    <row r="850" spans="35:35" x14ac:dyDescent="0.45">
      <c r="AI850" t="s">
        <v>1574</v>
      </c>
    </row>
    <row r="851" spans="35:35" x14ac:dyDescent="0.45">
      <c r="AI851" t="s">
        <v>1587</v>
      </c>
    </row>
    <row r="852" spans="35:35" x14ac:dyDescent="0.45">
      <c r="AI852" t="s">
        <v>1472</v>
      </c>
    </row>
    <row r="853" spans="35:35" x14ac:dyDescent="0.45">
      <c r="AI853" t="s">
        <v>1473</v>
      </c>
    </row>
    <row r="854" spans="35:35" x14ac:dyDescent="0.45">
      <c r="AI854" t="s">
        <v>1474</v>
      </c>
    </row>
    <row r="855" spans="35:35" x14ac:dyDescent="0.45">
      <c r="AI855" t="s">
        <v>1475</v>
      </c>
    </row>
    <row r="856" spans="35:35" x14ac:dyDescent="0.45">
      <c r="AI856" t="s">
        <v>1476</v>
      </c>
    </row>
    <row r="857" spans="35:35" x14ac:dyDescent="0.45">
      <c r="AI857" t="s">
        <v>1483</v>
      </c>
    </row>
    <row r="858" spans="35:35" x14ac:dyDescent="0.45">
      <c r="AI858" t="s">
        <v>1310</v>
      </c>
    </row>
    <row r="859" spans="35:35" x14ac:dyDescent="0.45">
      <c r="AI859" t="s">
        <v>1311</v>
      </c>
    </row>
    <row r="860" spans="35:35" x14ac:dyDescent="0.45">
      <c r="AI860" t="s">
        <v>1312</v>
      </c>
    </row>
    <row r="861" spans="35:35" x14ac:dyDescent="0.45">
      <c r="AI861" t="s">
        <v>1313</v>
      </c>
    </row>
    <row r="862" spans="35:35" x14ac:dyDescent="0.45">
      <c r="AI862" t="s">
        <v>1314</v>
      </c>
    </row>
    <row r="863" spans="35:35" x14ac:dyDescent="0.45">
      <c r="AI863" t="s">
        <v>1315</v>
      </c>
    </row>
    <row r="864" spans="35:35" x14ac:dyDescent="0.45">
      <c r="AI864" t="s">
        <v>1316</v>
      </c>
    </row>
    <row r="865" spans="35:35" x14ac:dyDescent="0.45">
      <c r="AI865" t="s">
        <v>1318</v>
      </c>
    </row>
    <row r="866" spans="35:35" x14ac:dyDescent="0.45">
      <c r="AI866" t="s">
        <v>1327</v>
      </c>
    </row>
    <row r="867" spans="35:35" x14ac:dyDescent="0.45">
      <c r="AI867" t="s">
        <v>1328</v>
      </c>
    </row>
    <row r="868" spans="35:35" x14ac:dyDescent="0.45">
      <c r="AI868" t="s">
        <v>1329</v>
      </c>
    </row>
    <row r="869" spans="35:35" x14ac:dyDescent="0.45">
      <c r="AI869" t="s">
        <v>1335</v>
      </c>
    </row>
    <row r="870" spans="35:35" x14ac:dyDescent="0.45">
      <c r="AI870" t="s">
        <v>1336</v>
      </c>
    </row>
    <row r="871" spans="35:35" x14ac:dyDescent="0.45">
      <c r="AI871" t="s">
        <v>1317</v>
      </c>
    </row>
    <row r="872" spans="35:35" x14ac:dyDescent="0.45">
      <c r="AI872" t="s">
        <v>1322</v>
      </c>
    </row>
    <row r="873" spans="35:35" x14ac:dyDescent="0.45">
      <c r="AI873" t="s">
        <v>1323</v>
      </c>
    </row>
    <row r="874" spans="35:35" x14ac:dyDescent="0.45">
      <c r="AI874" t="s">
        <v>1324</v>
      </c>
    </row>
    <row r="875" spans="35:35" x14ac:dyDescent="0.45">
      <c r="AI875" t="s">
        <v>1334</v>
      </c>
    </row>
    <row r="876" spans="35:35" x14ac:dyDescent="0.45">
      <c r="AI876" t="s">
        <v>1294</v>
      </c>
    </row>
    <row r="877" spans="35:35" x14ac:dyDescent="0.45">
      <c r="AI877" t="s">
        <v>1295</v>
      </c>
    </row>
    <row r="878" spans="35:35" x14ac:dyDescent="0.45">
      <c r="AI878" t="s">
        <v>1297</v>
      </c>
    </row>
    <row r="879" spans="35:35" x14ac:dyDescent="0.45">
      <c r="AI879" t="s">
        <v>1301</v>
      </c>
    </row>
    <row r="880" spans="35:35" x14ac:dyDescent="0.45">
      <c r="AI880" t="s">
        <v>1302</v>
      </c>
    </row>
    <row r="881" spans="35:35" x14ac:dyDescent="0.45">
      <c r="AI881" t="s">
        <v>1303</v>
      </c>
    </row>
    <row r="882" spans="35:35" x14ac:dyDescent="0.45">
      <c r="AI882" t="s">
        <v>1304</v>
      </c>
    </row>
    <row r="883" spans="35:35" x14ac:dyDescent="0.45">
      <c r="AI883" t="s">
        <v>1307</v>
      </c>
    </row>
    <row r="884" spans="35:35" x14ac:dyDescent="0.45">
      <c r="AI884" t="s">
        <v>1308</v>
      </c>
    </row>
    <row r="885" spans="35:35" x14ac:dyDescent="0.45">
      <c r="AI885" t="s">
        <v>1309</v>
      </c>
    </row>
    <row r="886" spans="35:35" x14ac:dyDescent="0.45">
      <c r="AI886" t="s">
        <v>1235</v>
      </c>
    </row>
    <row r="887" spans="35:35" x14ac:dyDescent="0.45">
      <c r="AI887" t="s">
        <v>1236</v>
      </c>
    </row>
    <row r="888" spans="35:35" x14ac:dyDescent="0.45">
      <c r="AI888" t="s">
        <v>1237</v>
      </c>
    </row>
    <row r="889" spans="35:35" x14ac:dyDescent="0.45">
      <c r="AI889" t="s">
        <v>1242</v>
      </c>
    </row>
    <row r="890" spans="35:35" x14ac:dyDescent="0.45">
      <c r="AI890" t="s">
        <v>1243</v>
      </c>
    </row>
    <row r="891" spans="35:35" x14ac:dyDescent="0.45">
      <c r="AI891" t="s">
        <v>1244</v>
      </c>
    </row>
    <row r="892" spans="35:35" x14ac:dyDescent="0.45">
      <c r="AI892" t="s">
        <v>1245</v>
      </c>
    </row>
    <row r="893" spans="35:35" x14ac:dyDescent="0.45">
      <c r="AI893" t="s">
        <v>1246</v>
      </c>
    </row>
    <row r="894" spans="35:35" x14ac:dyDescent="0.45">
      <c r="AI894" t="s">
        <v>1359</v>
      </c>
    </row>
    <row r="895" spans="35:35" x14ac:dyDescent="0.45">
      <c r="AI895" t="s">
        <v>1365</v>
      </c>
    </row>
    <row r="896" spans="35:35" x14ac:dyDescent="0.45">
      <c r="AI896" t="s">
        <v>1366</v>
      </c>
    </row>
    <row r="897" spans="35:35" x14ac:dyDescent="0.45">
      <c r="AI897" t="s">
        <v>1369</v>
      </c>
    </row>
    <row r="898" spans="35:35" x14ac:dyDescent="0.45">
      <c r="AI898" t="s">
        <v>1375</v>
      </c>
    </row>
    <row r="899" spans="35:35" x14ac:dyDescent="0.45">
      <c r="AI899" t="s">
        <v>1380</v>
      </c>
    </row>
    <row r="900" spans="35:35" x14ac:dyDescent="0.45">
      <c r="AI900" t="s">
        <v>1381</v>
      </c>
    </row>
    <row r="901" spans="35:35" x14ac:dyDescent="0.45">
      <c r="AI901" t="s">
        <v>1389</v>
      </c>
    </row>
    <row r="902" spans="35:35" x14ac:dyDescent="0.45">
      <c r="AI902" t="s">
        <v>1390</v>
      </c>
    </row>
    <row r="903" spans="35:35" x14ac:dyDescent="0.45">
      <c r="AI903" t="s">
        <v>1391</v>
      </c>
    </row>
    <row r="904" spans="35:35" x14ac:dyDescent="0.45">
      <c r="AI904" t="s">
        <v>1392</v>
      </c>
    </row>
    <row r="905" spans="35:35" x14ac:dyDescent="0.45">
      <c r="AI905" t="s">
        <v>1396</v>
      </c>
    </row>
    <row r="906" spans="35:35" x14ac:dyDescent="0.45">
      <c r="AI906" t="s">
        <v>1397</v>
      </c>
    </row>
    <row r="907" spans="35:35" x14ac:dyDescent="0.45">
      <c r="AI907" t="s">
        <v>1403</v>
      </c>
    </row>
    <row r="908" spans="35:35" x14ac:dyDescent="0.45">
      <c r="AI908" t="s">
        <v>1404</v>
      </c>
    </row>
    <row r="909" spans="35:35" x14ac:dyDescent="0.45">
      <c r="AI909" t="s">
        <v>1405</v>
      </c>
    </row>
    <row r="910" spans="35:35" x14ac:dyDescent="0.45">
      <c r="AI910" t="s">
        <v>1420</v>
      </c>
    </row>
    <row r="911" spans="35:35" x14ac:dyDescent="0.45">
      <c r="AI911" t="s">
        <v>1421</v>
      </c>
    </row>
    <row r="912" spans="35:35" x14ac:dyDescent="0.45">
      <c r="AI912" t="s">
        <v>2350</v>
      </c>
    </row>
    <row r="913" spans="35:35" x14ac:dyDescent="0.45">
      <c r="AI913" t="s">
        <v>2361</v>
      </c>
    </row>
    <row r="914" spans="35:35" x14ac:dyDescent="0.45">
      <c r="AI914" t="s">
        <v>2362</v>
      </c>
    </row>
    <row r="915" spans="35:35" x14ac:dyDescent="0.45">
      <c r="AI915" t="s">
        <v>2363</v>
      </c>
    </row>
    <row r="916" spans="35:35" x14ac:dyDescent="0.45">
      <c r="AI916" t="s">
        <v>2368</v>
      </c>
    </row>
    <row r="917" spans="35:35" x14ac:dyDescent="0.45">
      <c r="AI917" t="s">
        <v>2369</v>
      </c>
    </row>
    <row r="918" spans="35:35" x14ac:dyDescent="0.45">
      <c r="AI918" t="s">
        <v>2370</v>
      </c>
    </row>
    <row r="919" spans="35:35" x14ac:dyDescent="0.45">
      <c r="AI919" t="s">
        <v>2371</v>
      </c>
    </row>
    <row r="920" spans="35:35" x14ac:dyDescent="0.45">
      <c r="AI920" t="s">
        <v>2374</v>
      </c>
    </row>
    <row r="921" spans="35:35" x14ac:dyDescent="0.45">
      <c r="AI921" t="s">
        <v>2375</v>
      </c>
    </row>
    <row r="922" spans="35:35" x14ac:dyDescent="0.45">
      <c r="AI922" t="s">
        <v>2376</v>
      </c>
    </row>
    <row r="923" spans="35:35" x14ac:dyDescent="0.45">
      <c r="AI923" t="s">
        <v>2377</v>
      </c>
    </row>
    <row r="924" spans="35:35" x14ac:dyDescent="0.45">
      <c r="AI924" t="s">
        <v>2380</v>
      </c>
    </row>
    <row r="925" spans="35:35" x14ac:dyDescent="0.45">
      <c r="AI925" t="s">
        <v>2446</v>
      </c>
    </row>
    <row r="926" spans="35:35" x14ac:dyDescent="0.45">
      <c r="AI926" t="s">
        <v>2447</v>
      </c>
    </row>
    <row r="927" spans="35:35" x14ac:dyDescent="0.45">
      <c r="AI927" t="s">
        <v>2448</v>
      </c>
    </row>
    <row r="928" spans="35:35" x14ac:dyDescent="0.45">
      <c r="AI928" t="s">
        <v>2449</v>
      </c>
    </row>
    <row r="929" spans="35:35" x14ac:dyDescent="0.45">
      <c r="AI929" t="s">
        <v>2454</v>
      </c>
    </row>
    <row r="930" spans="35:35" x14ac:dyDescent="0.45">
      <c r="AI930" t="s">
        <v>2404</v>
      </c>
    </row>
    <row r="931" spans="35:35" x14ac:dyDescent="0.45">
      <c r="AI931" t="s">
        <v>2405</v>
      </c>
    </row>
    <row r="932" spans="35:35" x14ac:dyDescent="0.45">
      <c r="AI932" t="s">
        <v>2406</v>
      </c>
    </row>
    <row r="933" spans="35:35" x14ac:dyDescent="0.45">
      <c r="AI933" t="s">
        <v>2407</v>
      </c>
    </row>
    <row r="934" spans="35:35" x14ac:dyDescent="0.45">
      <c r="AI934" t="s">
        <v>2408</v>
      </c>
    </row>
    <row r="935" spans="35:35" x14ac:dyDescent="0.45">
      <c r="AI935" t="s">
        <v>1503</v>
      </c>
    </row>
    <row r="936" spans="35:35" x14ac:dyDescent="0.45">
      <c r="AI936" t="s">
        <v>1504</v>
      </c>
    </row>
    <row r="937" spans="35:35" x14ac:dyDescent="0.45">
      <c r="AI937" t="s">
        <v>1505</v>
      </c>
    </row>
    <row r="938" spans="35:35" x14ac:dyDescent="0.45">
      <c r="AI938" t="s">
        <v>1522</v>
      </c>
    </row>
    <row r="939" spans="35:35" x14ac:dyDescent="0.45">
      <c r="AI939" t="s">
        <v>1540</v>
      </c>
    </row>
    <row r="940" spans="35:35" x14ac:dyDescent="0.45">
      <c r="AI940" t="s">
        <v>1550</v>
      </c>
    </row>
    <row r="941" spans="35:35" x14ac:dyDescent="0.45">
      <c r="AI941" t="s">
        <v>1964</v>
      </c>
    </row>
    <row r="942" spans="35:35" x14ac:dyDescent="0.45">
      <c r="AI942" t="s">
        <v>1965</v>
      </c>
    </row>
    <row r="943" spans="35:35" x14ac:dyDescent="0.45">
      <c r="AI943" t="s">
        <v>1966</v>
      </c>
    </row>
    <row r="944" spans="35:35" x14ac:dyDescent="0.45">
      <c r="AI944" t="s">
        <v>1967</v>
      </c>
    </row>
    <row r="945" spans="35:35" x14ac:dyDescent="0.45">
      <c r="AI945" t="s">
        <v>1950</v>
      </c>
    </row>
    <row r="946" spans="35:35" x14ac:dyDescent="0.45">
      <c r="AI946" t="s">
        <v>1923</v>
      </c>
    </row>
    <row r="947" spans="35:35" x14ac:dyDescent="0.45">
      <c r="AI947" t="s">
        <v>1924</v>
      </c>
    </row>
    <row r="948" spans="35:35" x14ac:dyDescent="0.45">
      <c r="AI948" t="s">
        <v>2552</v>
      </c>
    </row>
    <row r="949" spans="35:35" x14ac:dyDescent="0.45">
      <c r="AI949" t="s">
        <v>1925</v>
      </c>
    </row>
    <row r="950" spans="35:35" x14ac:dyDescent="0.45">
      <c r="AI950" t="s">
        <v>2547</v>
      </c>
    </row>
    <row r="951" spans="35:35" x14ac:dyDescent="0.45">
      <c r="AI951" t="s">
        <v>1926</v>
      </c>
    </row>
    <row r="952" spans="35:35" x14ac:dyDescent="0.45">
      <c r="AI952" t="s">
        <v>1968</v>
      </c>
    </row>
    <row r="953" spans="35:35" x14ac:dyDescent="0.45">
      <c r="AI953" t="s">
        <v>1899</v>
      </c>
    </row>
    <row r="954" spans="35:35" x14ac:dyDescent="0.45">
      <c r="AI954" t="s">
        <v>1969</v>
      </c>
    </row>
    <row r="955" spans="35:35" x14ac:dyDescent="0.45">
      <c r="AI955" t="s">
        <v>1902</v>
      </c>
    </row>
    <row r="956" spans="35:35" x14ac:dyDescent="0.45">
      <c r="AI956" t="s">
        <v>1903</v>
      </c>
    </row>
    <row r="957" spans="35:35" x14ac:dyDescent="0.45">
      <c r="AI957" t="s">
        <v>1904</v>
      </c>
    </row>
    <row r="958" spans="35:35" x14ac:dyDescent="0.45">
      <c r="AI958" t="s">
        <v>1905</v>
      </c>
    </row>
    <row r="959" spans="35:35" x14ac:dyDescent="0.45">
      <c r="AI959" t="s">
        <v>1916</v>
      </c>
    </row>
    <row r="960" spans="35:35" x14ac:dyDescent="0.45">
      <c r="AI960" t="s">
        <v>2072</v>
      </c>
    </row>
    <row r="961" spans="35:35" x14ac:dyDescent="0.45">
      <c r="AI961" t="s">
        <v>2076</v>
      </c>
    </row>
    <row r="962" spans="35:35" x14ac:dyDescent="0.45">
      <c r="AI962" t="s">
        <v>2077</v>
      </c>
    </row>
    <row r="963" spans="35:35" x14ac:dyDescent="0.45">
      <c r="AI963" t="s">
        <v>2078</v>
      </c>
    </row>
    <row r="964" spans="35:35" x14ac:dyDescent="0.45">
      <c r="AI964" t="s">
        <v>2079</v>
      </c>
    </row>
    <row r="965" spans="35:35" x14ac:dyDescent="0.45">
      <c r="AI965" t="s">
        <v>2080</v>
      </c>
    </row>
    <row r="966" spans="35:35" x14ac:dyDescent="0.45">
      <c r="AI966" t="s">
        <v>2108</v>
      </c>
    </row>
    <row r="967" spans="35:35" x14ac:dyDescent="0.45">
      <c r="AI967" t="s">
        <v>2109</v>
      </c>
    </row>
    <row r="968" spans="35:35" x14ac:dyDescent="0.45">
      <c r="AI968" t="s">
        <v>2110</v>
      </c>
    </row>
    <row r="969" spans="35:35" x14ac:dyDescent="0.45">
      <c r="AI969" t="s">
        <v>2111</v>
      </c>
    </row>
    <row r="970" spans="35:35" x14ac:dyDescent="0.45">
      <c r="AI970" t="s">
        <v>2112</v>
      </c>
    </row>
    <row r="971" spans="35:35" x14ac:dyDescent="0.45">
      <c r="AI971" t="s">
        <v>1917</v>
      </c>
    </row>
    <row r="972" spans="35:35" x14ac:dyDescent="0.45">
      <c r="AI972" t="s">
        <v>1918</v>
      </c>
    </row>
    <row r="973" spans="35:35" x14ac:dyDescent="0.45">
      <c r="AI973" t="s">
        <v>1912</v>
      </c>
    </row>
    <row r="974" spans="35:35" x14ac:dyDescent="0.45">
      <c r="AI974" t="s">
        <v>1913</v>
      </c>
    </row>
    <row r="975" spans="35:35" x14ac:dyDescent="0.45">
      <c r="AI975" t="s">
        <v>1914</v>
      </c>
    </row>
    <row r="976" spans="35:35" x14ac:dyDescent="0.45">
      <c r="AI976" t="s">
        <v>1915</v>
      </c>
    </row>
    <row r="977" spans="35:35" x14ac:dyDescent="0.45">
      <c r="AI977" t="s">
        <v>1919</v>
      </c>
    </row>
    <row r="978" spans="35:35" x14ac:dyDescent="0.45">
      <c r="AI978" t="s">
        <v>1920</v>
      </c>
    </row>
    <row r="979" spans="35:35" x14ac:dyDescent="0.45">
      <c r="AI979" t="s">
        <v>1921</v>
      </c>
    </row>
    <row r="980" spans="35:35" x14ac:dyDescent="0.45">
      <c r="AI980" t="s">
        <v>1922</v>
      </c>
    </row>
    <row r="981" spans="35:35" x14ac:dyDescent="0.45">
      <c r="AI981" t="s">
        <v>1906</v>
      </c>
    </row>
    <row r="982" spans="35:35" x14ac:dyDescent="0.45">
      <c r="AI982" t="s">
        <v>1907</v>
      </c>
    </row>
    <row r="983" spans="35:35" x14ac:dyDescent="0.45">
      <c r="AI983" t="s">
        <v>1908</v>
      </c>
    </row>
    <row r="984" spans="35:35" x14ac:dyDescent="0.45">
      <c r="AI984" t="s">
        <v>1963</v>
      </c>
    </row>
    <row r="985" spans="35:35" x14ac:dyDescent="0.45">
      <c r="AI985" t="s">
        <v>1961</v>
      </c>
    </row>
    <row r="986" spans="35:35" x14ac:dyDescent="0.45">
      <c r="AI986" t="s">
        <v>1962</v>
      </c>
    </row>
    <row r="987" spans="35:35" x14ac:dyDescent="0.45">
      <c r="AI987" t="s">
        <v>1206</v>
      </c>
    </row>
    <row r="988" spans="35:35" x14ac:dyDescent="0.45">
      <c r="AI988" t="s">
        <v>1207</v>
      </c>
    </row>
    <row r="989" spans="35:35" x14ac:dyDescent="0.45">
      <c r="AI989" t="s">
        <v>1229</v>
      </c>
    </row>
    <row r="990" spans="35:35" x14ac:dyDescent="0.45">
      <c r="AI990" t="s">
        <v>1122</v>
      </c>
    </row>
    <row r="991" spans="35:35" x14ac:dyDescent="0.45">
      <c r="AI991" t="s">
        <v>1123</v>
      </c>
    </row>
    <row r="992" spans="35:35" x14ac:dyDescent="0.45">
      <c r="AI992" t="s">
        <v>1131</v>
      </c>
    </row>
    <row r="993" spans="35:35" x14ac:dyDescent="0.45">
      <c r="AI993" t="s">
        <v>1132</v>
      </c>
    </row>
    <row r="994" spans="35:35" x14ac:dyDescent="0.45">
      <c r="AI994" t="s">
        <v>1165</v>
      </c>
    </row>
    <row r="995" spans="35:35" x14ac:dyDescent="0.45">
      <c r="AI995" t="s">
        <v>1139</v>
      </c>
    </row>
    <row r="996" spans="35:35" x14ac:dyDescent="0.45">
      <c r="AI996" t="s">
        <v>1140</v>
      </c>
    </row>
    <row r="997" spans="35:35" x14ac:dyDescent="0.45">
      <c r="AI997" t="s">
        <v>1147</v>
      </c>
    </row>
    <row r="998" spans="35:35" x14ac:dyDescent="0.45">
      <c r="AI998" t="s">
        <v>1148</v>
      </c>
    </row>
    <row r="999" spans="35:35" x14ac:dyDescent="0.45">
      <c r="AI999" t="s">
        <v>1149</v>
      </c>
    </row>
    <row r="1000" spans="35:35" x14ac:dyDescent="0.45">
      <c r="AI1000" t="s">
        <v>1153</v>
      </c>
    </row>
    <row r="1001" spans="35:35" x14ac:dyDescent="0.45">
      <c r="AI1001" t="s">
        <v>1154</v>
      </c>
    </row>
    <row r="1002" spans="35:35" x14ac:dyDescent="0.45">
      <c r="AI1002" t="s">
        <v>1155</v>
      </c>
    </row>
    <row r="1003" spans="35:35" x14ac:dyDescent="0.45">
      <c r="AI1003" t="s">
        <v>1168</v>
      </c>
    </row>
    <row r="1004" spans="35:35" x14ac:dyDescent="0.45">
      <c r="AI1004" t="s">
        <v>2433</v>
      </c>
    </row>
    <row r="1005" spans="35:35" x14ac:dyDescent="0.45">
      <c r="AI1005" t="s">
        <v>2457</v>
      </c>
    </row>
    <row r="1006" spans="35:35" x14ac:dyDescent="0.45">
      <c r="AI1006" t="s">
        <v>2458</v>
      </c>
    </row>
    <row r="1007" spans="35:35" x14ac:dyDescent="0.45">
      <c r="AI1007" t="s">
        <v>2459</v>
      </c>
    </row>
    <row r="1008" spans="35:35" x14ac:dyDescent="0.45">
      <c r="AI1008" t="s">
        <v>2434</v>
      </c>
    </row>
    <row r="1009" spans="35:35" x14ac:dyDescent="0.45">
      <c r="AI1009" t="s">
        <v>2435</v>
      </c>
    </row>
    <row r="1010" spans="35:35" x14ac:dyDescent="0.45">
      <c r="AI1010" t="s">
        <v>2436</v>
      </c>
    </row>
    <row r="1011" spans="35:35" x14ac:dyDescent="0.45">
      <c r="AI1011" t="s">
        <v>2437</v>
      </c>
    </row>
    <row r="1012" spans="35:35" x14ac:dyDescent="0.45">
      <c r="AI1012" t="s">
        <v>2438</v>
      </c>
    </row>
    <row r="1013" spans="35:35" x14ac:dyDescent="0.45">
      <c r="AI1013" t="s">
        <v>2460</v>
      </c>
    </row>
    <row r="1014" spans="35:35" x14ac:dyDescent="0.45">
      <c r="AI1014" t="s">
        <v>2461</v>
      </c>
    </row>
    <row r="1015" spans="35:35" x14ac:dyDescent="0.45">
      <c r="AI1015" t="s">
        <v>2439</v>
      </c>
    </row>
    <row r="1016" spans="35:35" x14ac:dyDescent="0.45">
      <c r="AI1016" t="s">
        <v>2440</v>
      </c>
    </row>
    <row r="1017" spans="35:35" x14ac:dyDescent="0.45">
      <c r="AI1017" t="s">
        <v>2441</v>
      </c>
    </row>
    <row r="1018" spans="35:35" x14ac:dyDescent="0.45">
      <c r="AI1018" t="s">
        <v>2412</v>
      </c>
    </row>
    <row r="1019" spans="35:35" x14ac:dyDescent="0.45">
      <c r="AI1019" t="s">
        <v>2413</v>
      </c>
    </row>
    <row r="1020" spans="35:35" x14ac:dyDescent="0.45">
      <c r="AI1020" t="s">
        <v>2329</v>
      </c>
    </row>
    <row r="1021" spans="35:35" x14ac:dyDescent="0.45">
      <c r="AI1021" t="s">
        <v>2323</v>
      </c>
    </row>
    <row r="1022" spans="35:35" x14ac:dyDescent="0.45">
      <c r="AI1022" t="s">
        <v>2324</v>
      </c>
    </row>
    <row r="1023" spans="35:35" x14ac:dyDescent="0.45">
      <c r="AI1023" t="s">
        <v>2330</v>
      </c>
    </row>
    <row r="1024" spans="35:35" x14ac:dyDescent="0.45">
      <c r="AI1024" t="s">
        <v>2331</v>
      </c>
    </row>
    <row r="1025" spans="35:35" x14ac:dyDescent="0.45">
      <c r="AI1025" t="s">
        <v>2336</v>
      </c>
    </row>
    <row r="1026" spans="35:35" x14ac:dyDescent="0.45">
      <c r="AI1026" t="s">
        <v>2340</v>
      </c>
    </row>
    <row r="1027" spans="35:35" x14ac:dyDescent="0.45">
      <c r="AI1027" t="s">
        <v>2341</v>
      </c>
    </row>
    <row r="1028" spans="35:35" x14ac:dyDescent="0.45">
      <c r="AI1028" t="s">
        <v>2342</v>
      </c>
    </row>
    <row r="1029" spans="35:35" x14ac:dyDescent="0.45">
      <c r="AI1029" t="s">
        <v>2351</v>
      </c>
    </row>
    <row r="1030" spans="35:35" x14ac:dyDescent="0.45">
      <c r="AI1030" t="s">
        <v>2352</v>
      </c>
    </row>
    <row r="1031" spans="35:35" x14ac:dyDescent="0.45">
      <c r="AI1031" t="s">
        <v>2476</v>
      </c>
    </row>
    <row r="1032" spans="35:35" x14ac:dyDescent="0.45">
      <c r="AI1032" t="s">
        <v>2477</v>
      </c>
    </row>
    <row r="1033" spans="35:35" x14ac:dyDescent="0.45">
      <c r="AI1033" t="s">
        <v>2478</v>
      </c>
    </row>
    <row r="1034" spans="35:35" x14ac:dyDescent="0.45">
      <c r="AI1034" t="s">
        <v>2479</v>
      </c>
    </row>
    <row r="1035" spans="35:35" x14ac:dyDescent="0.45">
      <c r="AI1035" t="s">
        <v>2480</v>
      </c>
    </row>
    <row r="1036" spans="35:35" x14ac:dyDescent="0.45">
      <c r="AI1036" t="s">
        <v>2481</v>
      </c>
    </row>
    <row r="1037" spans="35:35" x14ac:dyDescent="0.45">
      <c r="AI1037" t="s">
        <v>2482</v>
      </c>
    </row>
    <row r="1038" spans="35:35" x14ac:dyDescent="0.45">
      <c r="AI1038" t="s">
        <v>2483</v>
      </c>
    </row>
    <row r="1039" spans="35:35" x14ac:dyDescent="0.45">
      <c r="AI1039" t="s">
        <v>2484</v>
      </c>
    </row>
    <row r="1040" spans="35:35" x14ac:dyDescent="0.45">
      <c r="AI1040" t="s">
        <v>2485</v>
      </c>
    </row>
    <row r="1041" spans="35:35" x14ac:dyDescent="0.45">
      <c r="AI1041" t="s">
        <v>2548</v>
      </c>
    </row>
    <row r="1042" spans="35:35" x14ac:dyDescent="0.45">
      <c r="AI1042" t="s">
        <v>2486</v>
      </c>
    </row>
    <row r="1043" spans="35:35" x14ac:dyDescent="0.45">
      <c r="AI1043" t="s">
        <v>2487</v>
      </c>
    </row>
    <row r="1044" spans="35:35" x14ac:dyDescent="0.45">
      <c r="AI1044" t="s">
        <v>2423</v>
      </c>
    </row>
    <row r="1045" spans="35:35" x14ac:dyDescent="0.45">
      <c r="AI1045" t="s">
        <v>2424</v>
      </c>
    </row>
    <row r="1046" spans="35:35" x14ac:dyDescent="0.45">
      <c r="AI1046" t="s">
        <v>2425</v>
      </c>
    </row>
    <row r="1047" spans="35:35" x14ac:dyDescent="0.45">
      <c r="AI1047" t="s">
        <v>2426</v>
      </c>
    </row>
    <row r="1048" spans="35:35" x14ac:dyDescent="0.45">
      <c r="AI1048" t="s">
        <v>2427</v>
      </c>
    </row>
    <row r="1049" spans="35:35" x14ac:dyDescent="0.45">
      <c r="AI1049" t="s">
        <v>2428</v>
      </c>
    </row>
    <row r="1050" spans="35:35" x14ac:dyDescent="0.45">
      <c r="AI1050" t="s">
        <v>2429</v>
      </c>
    </row>
    <row r="1051" spans="35:35" x14ac:dyDescent="0.45">
      <c r="AI1051" t="s">
        <v>2414</v>
      </c>
    </row>
    <row r="1052" spans="35:35" x14ac:dyDescent="0.45">
      <c r="AI1052" t="s">
        <v>2415</v>
      </c>
    </row>
    <row r="1053" spans="35:35" x14ac:dyDescent="0.45">
      <c r="AI1053" t="s">
        <v>2416</v>
      </c>
    </row>
    <row r="1054" spans="35:35" x14ac:dyDescent="0.45">
      <c r="AI1054" t="s">
        <v>2417</v>
      </c>
    </row>
    <row r="1055" spans="35:35" x14ac:dyDescent="0.45">
      <c r="AI1055" t="s">
        <v>2442</v>
      </c>
    </row>
    <row r="1056" spans="35:35" x14ac:dyDescent="0.45">
      <c r="AI1056" t="s">
        <v>2443</v>
      </c>
    </row>
    <row r="1057" spans="35:35" x14ac:dyDescent="0.45">
      <c r="AI1057" t="s">
        <v>2444</v>
      </c>
    </row>
    <row r="1058" spans="35:35" x14ac:dyDescent="0.45">
      <c r="AI1058" t="s">
        <v>2464</v>
      </c>
    </row>
    <row r="1059" spans="35:35" x14ac:dyDescent="0.45">
      <c r="AI1059" t="s">
        <v>2465</v>
      </c>
    </row>
    <row r="1060" spans="35:35" x14ac:dyDescent="0.45">
      <c r="AI1060" t="s">
        <v>2466</v>
      </c>
    </row>
    <row r="1061" spans="35:35" x14ac:dyDescent="0.45">
      <c r="AI1061" t="s">
        <v>2467</v>
      </c>
    </row>
    <row r="1062" spans="35:35" x14ac:dyDescent="0.45">
      <c r="AI1062" t="s">
        <v>2468</v>
      </c>
    </row>
    <row r="1063" spans="35:35" x14ac:dyDescent="0.45">
      <c r="AI1063" t="s">
        <v>2495</v>
      </c>
    </row>
    <row r="1064" spans="35:35" x14ac:dyDescent="0.45">
      <c r="AI1064" t="s">
        <v>2496</v>
      </c>
    </row>
    <row r="1065" spans="35:35" x14ac:dyDescent="0.45">
      <c r="AI1065" t="s">
        <v>2497</v>
      </c>
    </row>
    <row r="1066" spans="35:35" x14ac:dyDescent="0.45">
      <c r="AI1066" t="s">
        <v>2498</v>
      </c>
    </row>
    <row r="1067" spans="35:35" x14ac:dyDescent="0.45">
      <c r="AI1067" t="s">
        <v>2473</v>
      </c>
    </row>
    <row r="1068" spans="35:35" x14ac:dyDescent="0.45">
      <c r="AI1068" t="s">
        <v>2474</v>
      </c>
    </row>
    <row r="1069" spans="35:35" x14ac:dyDescent="0.45">
      <c r="AI1069" t="s">
        <v>2475</v>
      </c>
    </row>
    <row r="1070" spans="35:35" x14ac:dyDescent="0.45">
      <c r="AI1070" t="s">
        <v>2113</v>
      </c>
    </row>
    <row r="1071" spans="35:35" x14ac:dyDescent="0.45">
      <c r="AI1071" t="s">
        <v>2114</v>
      </c>
    </row>
    <row r="1072" spans="35:35" x14ac:dyDescent="0.45">
      <c r="AI1072" t="s">
        <v>2115</v>
      </c>
    </row>
    <row r="1073" spans="35:35" x14ac:dyDescent="0.45">
      <c r="AI1073" t="s">
        <v>2116</v>
      </c>
    </row>
    <row r="1074" spans="35:35" x14ac:dyDescent="0.45">
      <c r="AI1074" t="s">
        <v>2117</v>
      </c>
    </row>
    <row r="1075" spans="35:35" x14ac:dyDescent="0.45">
      <c r="AI1075" t="s">
        <v>2118</v>
      </c>
    </row>
    <row r="1076" spans="35:35" x14ac:dyDescent="0.45">
      <c r="AI1076" t="s">
        <v>2073</v>
      </c>
    </row>
    <row r="1077" spans="35:35" x14ac:dyDescent="0.45">
      <c r="AI1077" t="s">
        <v>2074</v>
      </c>
    </row>
    <row r="1078" spans="35:35" x14ac:dyDescent="0.45">
      <c r="AI1078" t="s">
        <v>2075</v>
      </c>
    </row>
    <row r="1079" spans="35:35" x14ac:dyDescent="0.45">
      <c r="AI1079" t="s">
        <v>1187</v>
      </c>
    </row>
    <row r="1080" spans="35:35" x14ac:dyDescent="0.45">
      <c r="AI1080" t="s">
        <v>1188</v>
      </c>
    </row>
    <row r="1081" spans="35:35" x14ac:dyDescent="0.45">
      <c r="AI1081" t="s">
        <v>1189</v>
      </c>
    </row>
    <row r="1082" spans="35:35" x14ac:dyDescent="0.45">
      <c r="AI1082" t="s">
        <v>1208</v>
      </c>
    </row>
    <row r="1083" spans="35:35" x14ac:dyDescent="0.45">
      <c r="AI1083" t="s">
        <v>1611</v>
      </c>
    </row>
    <row r="1084" spans="35:35" x14ac:dyDescent="0.45">
      <c r="AI1084" t="s">
        <v>1614</v>
      </c>
    </row>
    <row r="1085" spans="35:35" x14ac:dyDescent="0.45">
      <c r="AI1085" t="s">
        <v>1615</v>
      </c>
    </row>
    <row r="1086" spans="35:35" x14ac:dyDescent="0.45">
      <c r="AI1086" t="s">
        <v>1616</v>
      </c>
    </row>
    <row r="1087" spans="35:35" x14ac:dyDescent="0.45">
      <c r="AI1087" t="s">
        <v>1619</v>
      </c>
    </row>
    <row r="1088" spans="35:35" x14ac:dyDescent="0.45">
      <c r="AI1088" t="s">
        <v>1620</v>
      </c>
    </row>
    <row r="1089" spans="35:35" x14ac:dyDescent="0.45">
      <c r="AI1089" t="s">
        <v>1626</v>
      </c>
    </row>
    <row r="1090" spans="35:35" x14ac:dyDescent="0.45">
      <c r="AI1090" t="s">
        <v>1627</v>
      </c>
    </row>
    <row r="1091" spans="35:35" x14ac:dyDescent="0.45">
      <c r="AI1091" t="s">
        <v>2420</v>
      </c>
    </row>
    <row r="1092" spans="35:35" x14ac:dyDescent="0.45">
      <c r="AI1092" t="s">
        <v>2421</v>
      </c>
    </row>
    <row r="1093" spans="35:35" x14ac:dyDescent="0.45">
      <c r="AI1093" t="s">
        <v>2422</v>
      </c>
    </row>
    <row r="1094" spans="35:35" x14ac:dyDescent="0.45">
      <c r="AI1094" t="s">
        <v>2445</v>
      </c>
    </row>
    <row r="1095" spans="35:35" x14ac:dyDescent="0.45">
      <c r="AI1095" t="s">
        <v>1879</v>
      </c>
    </row>
    <row r="1096" spans="35:35" x14ac:dyDescent="0.45">
      <c r="AI1096" t="s">
        <v>1880</v>
      </c>
    </row>
    <row r="1097" spans="35:35" x14ac:dyDescent="0.45">
      <c r="AI1097" t="s">
        <v>1881</v>
      </c>
    </row>
    <row r="1098" spans="35:35" x14ac:dyDescent="0.45">
      <c r="AI1098" t="s">
        <v>1883</v>
      </c>
    </row>
    <row r="1099" spans="35:35" x14ac:dyDescent="0.45">
      <c r="AI1099" t="s">
        <v>1884</v>
      </c>
    </row>
    <row r="1100" spans="35:35" x14ac:dyDescent="0.45">
      <c r="AI1100" t="s">
        <v>1885</v>
      </c>
    </row>
    <row r="1101" spans="35:35" x14ac:dyDescent="0.45">
      <c r="AI1101" t="s">
        <v>1840</v>
      </c>
    </row>
    <row r="1102" spans="35:35" x14ac:dyDescent="0.45">
      <c r="AI1102" t="s">
        <v>1841</v>
      </c>
    </row>
    <row r="1103" spans="35:35" x14ac:dyDescent="0.45">
      <c r="AI1103" t="s">
        <v>1842</v>
      </c>
    </row>
    <row r="1104" spans="35:35" x14ac:dyDescent="0.45">
      <c r="AI1104" t="s">
        <v>1843</v>
      </c>
    </row>
    <row r="1105" spans="35:35" x14ac:dyDescent="0.45">
      <c r="AI1105" t="s">
        <v>1860</v>
      </c>
    </row>
    <row r="1106" spans="35:35" x14ac:dyDescent="0.45">
      <c r="AI1106" t="s">
        <v>1838</v>
      </c>
    </row>
    <row r="1107" spans="35:35" x14ac:dyDescent="0.45">
      <c r="AI1107" t="s">
        <v>2186</v>
      </c>
    </row>
    <row r="1108" spans="35:35" x14ac:dyDescent="0.45">
      <c r="AI1108" t="s">
        <v>2187</v>
      </c>
    </row>
    <row r="1109" spans="35:35" x14ac:dyDescent="0.45">
      <c r="AI1109" t="s">
        <v>2191</v>
      </c>
    </row>
    <row r="1110" spans="35:35" x14ac:dyDescent="0.45">
      <c r="AI1110" t="s">
        <v>2200</v>
      </c>
    </row>
    <row r="1111" spans="35:35" x14ac:dyDescent="0.45">
      <c r="AI1111" t="s">
        <v>2201</v>
      </c>
    </row>
    <row r="1112" spans="35:35" x14ac:dyDescent="0.45">
      <c r="AI1112" t="s">
        <v>2207</v>
      </c>
    </row>
    <row r="1113" spans="35:35" x14ac:dyDescent="0.45">
      <c r="AI1113" t="s">
        <v>2208</v>
      </c>
    </row>
    <row r="1114" spans="35:35" x14ac:dyDescent="0.45">
      <c r="AI1114" t="s">
        <v>2210</v>
      </c>
    </row>
    <row r="1115" spans="35:35" x14ac:dyDescent="0.45">
      <c r="AI1115" t="s">
        <v>2211</v>
      </c>
    </row>
    <row r="1116" spans="35:35" x14ac:dyDescent="0.45">
      <c r="AI1116" t="s">
        <v>2212</v>
      </c>
    </row>
    <row r="1117" spans="35:35" x14ac:dyDescent="0.45">
      <c r="AI1117" t="s">
        <v>2213</v>
      </c>
    </row>
    <row r="1118" spans="35:35" x14ac:dyDescent="0.45">
      <c r="AI1118" t="s">
        <v>2214</v>
      </c>
    </row>
    <row r="1119" spans="35:35" x14ac:dyDescent="0.45">
      <c r="AI1119" t="s">
        <v>1555</v>
      </c>
    </row>
    <row r="1120" spans="35:35" x14ac:dyDescent="0.45">
      <c r="AI1120" t="s">
        <v>1556</v>
      </c>
    </row>
    <row r="1121" spans="35:35" x14ac:dyDescent="0.45">
      <c r="AI1121" t="s">
        <v>1579</v>
      </c>
    </row>
    <row r="1122" spans="35:35" x14ac:dyDescent="0.45">
      <c r="AI1122" t="s">
        <v>1580</v>
      </c>
    </row>
    <row r="1123" spans="35:35" x14ac:dyDescent="0.45">
      <c r="AI1123" t="s">
        <v>1581</v>
      </c>
    </row>
    <row r="1124" spans="35:35" x14ac:dyDescent="0.45">
      <c r="AI1124" t="s">
        <v>1592</v>
      </c>
    </row>
    <row r="1125" spans="35:35" x14ac:dyDescent="0.45">
      <c r="AI1125" t="s">
        <v>1600</v>
      </c>
    </row>
    <row r="1126" spans="35:35" x14ac:dyDescent="0.45">
      <c r="AI1126" t="s">
        <v>1601</v>
      </c>
    </row>
    <row r="1127" spans="35:35" x14ac:dyDescent="0.45">
      <c r="AI1127" t="s">
        <v>1455</v>
      </c>
    </row>
    <row r="1128" spans="35:35" x14ac:dyDescent="0.45">
      <c r="AI1128" t="s">
        <v>1456</v>
      </c>
    </row>
    <row r="1129" spans="35:35" x14ac:dyDescent="0.45">
      <c r="AI1129" t="s">
        <v>1457</v>
      </c>
    </row>
    <row r="1130" spans="35:35" x14ac:dyDescent="0.45">
      <c r="AI1130" t="s">
        <v>1458</v>
      </c>
    </row>
    <row r="1131" spans="35:35" x14ac:dyDescent="0.45">
      <c r="AI1131" t="s">
        <v>1459</v>
      </c>
    </row>
    <row r="1132" spans="35:35" x14ac:dyDescent="0.45">
      <c r="AI1132" t="s">
        <v>1477</v>
      </c>
    </row>
    <row r="1133" spans="35:35" x14ac:dyDescent="0.45">
      <c r="AI1133" t="s">
        <v>1478</v>
      </c>
    </row>
    <row r="1134" spans="35:35" x14ac:dyDescent="0.45">
      <c r="AI1134" t="s">
        <v>1649</v>
      </c>
    </row>
    <row r="1135" spans="35:35" x14ac:dyDescent="0.45">
      <c r="AI1135" t="s">
        <v>1650</v>
      </c>
    </row>
    <row r="1136" spans="35:35" x14ac:dyDescent="0.45">
      <c r="AI1136" t="s">
        <v>1651</v>
      </c>
    </row>
    <row r="1137" spans="35:35" x14ac:dyDescent="0.45">
      <c r="AI1137" t="s">
        <v>1652</v>
      </c>
    </row>
    <row r="1138" spans="35:35" x14ac:dyDescent="0.45">
      <c r="AI1138" t="s">
        <v>1655</v>
      </c>
    </row>
    <row r="1139" spans="35:35" x14ac:dyDescent="0.45">
      <c r="AI1139" t="s">
        <v>1657</v>
      </c>
    </row>
    <row r="1140" spans="35:35" x14ac:dyDescent="0.45">
      <c r="AI1140" t="s">
        <v>1604</v>
      </c>
    </row>
    <row r="1141" spans="35:35" x14ac:dyDescent="0.45">
      <c r="AI1141" t="s">
        <v>1605</v>
      </c>
    </row>
    <row r="1142" spans="35:35" x14ac:dyDescent="0.45">
      <c r="AI1142" t="s">
        <v>1612</v>
      </c>
    </row>
    <row r="1143" spans="35:35" x14ac:dyDescent="0.45">
      <c r="AI1143" t="s">
        <v>1820</v>
      </c>
    </row>
    <row r="1144" spans="35:35" x14ac:dyDescent="0.45">
      <c r="AI1144" t="s">
        <v>1823</v>
      </c>
    </row>
    <row r="1145" spans="35:35" x14ac:dyDescent="0.45">
      <c r="AI1145" t="s">
        <v>1824</v>
      </c>
    </row>
    <row r="1146" spans="35:35" x14ac:dyDescent="0.45">
      <c r="AI1146" t="s">
        <v>1828</v>
      </c>
    </row>
    <row r="1147" spans="35:35" x14ac:dyDescent="0.45">
      <c r="AI1147" t="s">
        <v>1833</v>
      </c>
    </row>
    <row r="1148" spans="35:35" x14ac:dyDescent="0.45">
      <c r="AI1148" t="s">
        <v>1830</v>
      </c>
    </row>
    <row r="1149" spans="35:35" x14ac:dyDescent="0.45">
      <c r="AI1149" t="s">
        <v>1662</v>
      </c>
    </row>
    <row r="1150" spans="35:35" x14ac:dyDescent="0.45">
      <c r="AI1150" t="s">
        <v>1663</v>
      </c>
    </row>
    <row r="1151" spans="35:35" x14ac:dyDescent="0.45">
      <c r="AI1151" t="s">
        <v>1664</v>
      </c>
    </row>
    <row r="1152" spans="35:35" x14ac:dyDescent="0.45">
      <c r="AI1152" t="s">
        <v>1665</v>
      </c>
    </row>
    <row r="1153" spans="35:35" x14ac:dyDescent="0.45">
      <c r="AI1153" t="s">
        <v>1609</v>
      </c>
    </row>
    <row r="1154" spans="35:35" x14ac:dyDescent="0.45">
      <c r="AI1154" t="s">
        <v>1610</v>
      </c>
    </row>
    <row r="1155" spans="35:35" x14ac:dyDescent="0.45">
      <c r="AI1155" t="s">
        <v>1633</v>
      </c>
    </row>
    <row r="1156" spans="35:35" x14ac:dyDescent="0.45">
      <c r="AI1156" t="s">
        <v>1638</v>
      </c>
    </row>
    <row r="1157" spans="35:35" x14ac:dyDescent="0.45">
      <c r="AI1157" t="s">
        <v>1641</v>
      </c>
    </row>
    <row r="1158" spans="35:35" x14ac:dyDescent="0.45">
      <c r="AI1158" t="s">
        <v>1643</v>
      </c>
    </row>
    <row r="1159" spans="35:35" x14ac:dyDescent="0.45">
      <c r="AI1159" t="s">
        <v>1209</v>
      </c>
    </row>
    <row r="1160" spans="35:35" x14ac:dyDescent="0.45">
      <c r="AI1160" t="s">
        <v>1210</v>
      </c>
    </row>
    <row r="1161" spans="35:35" x14ac:dyDescent="0.45">
      <c r="AI1161" t="s">
        <v>1220</v>
      </c>
    </row>
    <row r="1162" spans="35:35" x14ac:dyDescent="0.45">
      <c r="AI1162" t="s">
        <v>1221</v>
      </c>
    </row>
    <row r="1163" spans="35:35" x14ac:dyDescent="0.45">
      <c r="AI1163" t="s">
        <v>1222</v>
      </c>
    </row>
    <row r="1164" spans="35:35" x14ac:dyDescent="0.45">
      <c r="AI1164" t="s">
        <v>1223</v>
      </c>
    </row>
    <row r="1165" spans="35:35" x14ac:dyDescent="0.45">
      <c r="AI1165" t="s">
        <v>1230</v>
      </c>
    </row>
    <row r="1166" spans="35:35" x14ac:dyDescent="0.45">
      <c r="AI1166" t="s">
        <v>1124</v>
      </c>
    </row>
    <row r="1167" spans="35:35" x14ac:dyDescent="0.45">
      <c r="AI1167" t="s">
        <v>1134</v>
      </c>
    </row>
    <row r="1168" spans="35:35" x14ac:dyDescent="0.45">
      <c r="AI1168" t="s">
        <v>1135</v>
      </c>
    </row>
    <row r="1169" spans="35:35" x14ac:dyDescent="0.45">
      <c r="AI1169" t="s">
        <v>1138</v>
      </c>
    </row>
    <row r="1170" spans="35:35" x14ac:dyDescent="0.45">
      <c r="AI1170" t="s">
        <v>1141</v>
      </c>
    </row>
    <row r="1171" spans="35:35" x14ac:dyDescent="0.45">
      <c r="AI1171" t="s">
        <v>1142</v>
      </c>
    </row>
    <row r="1172" spans="35:35" x14ac:dyDescent="0.45">
      <c r="AI1172" t="s">
        <v>2499</v>
      </c>
    </row>
    <row r="1173" spans="35:35" x14ac:dyDescent="0.45">
      <c r="AI1173" t="s">
        <v>2488</v>
      </c>
    </row>
    <row r="1174" spans="35:35" x14ac:dyDescent="0.45">
      <c r="AI1174" t="s">
        <v>2489</v>
      </c>
    </row>
    <row r="1175" spans="35:35" x14ac:dyDescent="0.45">
      <c r="AI1175" t="s">
        <v>1839</v>
      </c>
    </row>
    <row r="1176" spans="35:35" x14ac:dyDescent="0.45">
      <c r="AI1176" t="s">
        <v>2462</v>
      </c>
    </row>
    <row r="1177" spans="35:35" x14ac:dyDescent="0.45">
      <c r="AI1177" t="s">
        <v>2463</v>
      </c>
    </row>
    <row r="1178" spans="35:35" x14ac:dyDescent="0.45">
      <c r="AI1178" t="s">
        <v>2490</v>
      </c>
    </row>
    <row r="1179" spans="35:35" x14ac:dyDescent="0.45">
      <c r="AI1179" t="s">
        <v>2491</v>
      </c>
    </row>
    <row r="1180" spans="35:35" x14ac:dyDescent="0.45">
      <c r="AI1180" t="s">
        <v>2492</v>
      </c>
    </row>
    <row r="1181" spans="35:35" x14ac:dyDescent="0.45">
      <c r="AI1181" t="s">
        <v>2493</v>
      </c>
    </row>
    <row r="1182" spans="35:35" x14ac:dyDescent="0.45">
      <c r="AI1182" t="s">
        <v>2494</v>
      </c>
    </row>
    <row r="1183" spans="35:35" x14ac:dyDescent="0.45">
      <c r="AI1183" t="s">
        <v>2472</v>
      </c>
    </row>
    <row r="1184" spans="35:35" x14ac:dyDescent="0.45">
      <c r="AI1184" t="s">
        <v>2353</v>
      </c>
    </row>
    <row r="1185" spans="35:35" x14ac:dyDescent="0.45">
      <c r="AI1185" t="s">
        <v>2357</v>
      </c>
    </row>
    <row r="1186" spans="35:35" x14ac:dyDescent="0.45">
      <c r="AI1186" t="s">
        <v>2358</v>
      </c>
    </row>
    <row r="1187" spans="35:35" x14ac:dyDescent="0.45">
      <c r="AI1187" t="s">
        <v>2364</v>
      </c>
    </row>
    <row r="1188" spans="35:35" x14ac:dyDescent="0.45">
      <c r="AI1188" t="s">
        <v>2365</v>
      </c>
    </row>
    <row r="1189" spans="35:35" x14ac:dyDescent="0.45">
      <c r="AI1189" t="s">
        <v>2536</v>
      </c>
    </row>
    <row r="1190" spans="35:35" x14ac:dyDescent="0.45">
      <c r="AI1190" t="s">
        <v>2366</v>
      </c>
    </row>
    <row r="1191" spans="35:35" x14ac:dyDescent="0.45">
      <c r="AI1191" t="s">
        <v>2367</v>
      </c>
    </row>
    <row r="1192" spans="35:35" x14ac:dyDescent="0.45">
      <c r="AI1192" t="s">
        <v>2378</v>
      </c>
    </row>
    <row r="1193" spans="35:35" x14ac:dyDescent="0.45">
      <c r="AI1193" t="s">
        <v>2379</v>
      </c>
    </row>
    <row r="1194" spans="35:35" x14ac:dyDescent="0.45">
      <c r="AI1194" t="s">
        <v>2381</v>
      </c>
    </row>
    <row r="1195" spans="35:35" x14ac:dyDescent="0.45">
      <c r="AI1195" t="s">
        <v>2385</v>
      </c>
    </row>
    <row r="1196" spans="35:35" x14ac:dyDescent="0.45">
      <c r="AI1196" t="s">
        <v>2511</v>
      </c>
    </row>
    <row r="1197" spans="35:35" x14ac:dyDescent="0.45">
      <c r="AI1197" t="s">
        <v>2512</v>
      </c>
    </row>
    <row r="1198" spans="35:35" x14ac:dyDescent="0.45">
      <c r="AI1198" t="s">
        <v>2515</v>
      </c>
    </row>
    <row r="1199" spans="35:35" x14ac:dyDescent="0.45">
      <c r="AI1199" t="s">
        <v>2516</v>
      </c>
    </row>
    <row r="1200" spans="35:35" x14ac:dyDescent="0.45">
      <c r="AI1200" t="s">
        <v>2521</v>
      </c>
    </row>
    <row r="1201" spans="35:35" x14ac:dyDescent="0.45">
      <c r="AI1201" t="s">
        <v>2522</v>
      </c>
    </row>
    <row r="1202" spans="35:35" x14ac:dyDescent="0.45">
      <c r="AI1202" t="s">
        <v>2523</v>
      </c>
    </row>
    <row r="1203" spans="35:35" x14ac:dyDescent="0.45">
      <c r="AI1203" t="s">
        <v>2524</v>
      </c>
    </row>
    <row r="1204" spans="35:35" x14ac:dyDescent="0.45">
      <c r="AI1204" t="s">
        <v>2525</v>
      </c>
    </row>
    <row r="1205" spans="35:35" x14ac:dyDescent="0.45">
      <c r="AI1205" t="s">
        <v>2526</v>
      </c>
    </row>
    <row r="1206" spans="35:35" x14ac:dyDescent="0.45">
      <c r="AI1206" t="s">
        <v>2527</v>
      </c>
    </row>
    <row r="1207" spans="35:35" x14ac:dyDescent="0.45">
      <c r="AI1207" t="s">
        <v>2529</v>
      </c>
    </row>
    <row r="1208" spans="35:35" x14ac:dyDescent="0.45">
      <c r="AI1208" t="s">
        <v>2530</v>
      </c>
    </row>
    <row r="1209" spans="35:35" x14ac:dyDescent="0.45">
      <c r="AI1209" t="s">
        <v>2531</v>
      </c>
    </row>
    <row r="1210" spans="35:35" x14ac:dyDescent="0.45">
      <c r="AI1210" t="s">
        <v>2532</v>
      </c>
    </row>
    <row r="1211" spans="35:35" x14ac:dyDescent="0.45">
      <c r="AI1211" t="s">
        <v>2533</v>
      </c>
    </row>
    <row r="1212" spans="35:35" x14ac:dyDescent="0.45">
      <c r="AI1212" t="s">
        <v>2534</v>
      </c>
    </row>
    <row r="1213" spans="35:35" x14ac:dyDescent="0.45">
      <c r="AI1213" t="s">
        <v>2535</v>
      </c>
    </row>
    <row r="1214" spans="35:35" x14ac:dyDescent="0.45">
      <c r="AI1214" t="s">
        <v>1696</v>
      </c>
    </row>
    <row r="1215" spans="35:35" x14ac:dyDescent="0.45">
      <c r="AI1215" t="s">
        <v>1826</v>
      </c>
    </row>
    <row r="1216" spans="35:35" x14ac:dyDescent="0.45">
      <c r="AI1216" t="s">
        <v>1831</v>
      </c>
    </row>
    <row r="1217" spans="35:35" x14ac:dyDescent="0.45">
      <c r="AI1217" t="s">
        <v>1766</v>
      </c>
    </row>
    <row r="1218" spans="35:35" x14ac:dyDescent="0.45">
      <c r="AI1218" t="s">
        <v>1786</v>
      </c>
    </row>
    <row r="1219" spans="35:35" x14ac:dyDescent="0.45">
      <c r="AI1219" t="s">
        <v>1771</v>
      </c>
    </row>
    <row r="1220" spans="35:35" x14ac:dyDescent="0.45">
      <c r="AI1220" t="s">
        <v>1772</v>
      </c>
    </row>
    <row r="1221" spans="35:35" x14ac:dyDescent="0.45">
      <c r="AI1221" t="s">
        <v>2469</v>
      </c>
    </row>
    <row r="1222" spans="35:35" x14ac:dyDescent="0.45">
      <c r="AI1222" t="s">
        <v>2470</v>
      </c>
    </row>
    <row r="1223" spans="35:35" x14ac:dyDescent="0.45">
      <c r="AI1223" t="s">
        <v>2471</v>
      </c>
    </row>
    <row r="1224" spans="35:35" x14ac:dyDescent="0.45">
      <c r="AI1224" t="s">
        <v>2500</v>
      </c>
    </row>
    <row r="1225" spans="35:35" x14ac:dyDescent="0.45">
      <c r="AI1225" t="s">
        <v>2501</v>
      </c>
    </row>
    <row r="1226" spans="35:35" x14ac:dyDescent="0.45">
      <c r="AI1226" t="s">
        <v>2502</v>
      </c>
    </row>
    <row r="1227" spans="35:35" x14ac:dyDescent="0.45">
      <c r="AI1227" t="s">
        <v>2503</v>
      </c>
    </row>
    <row r="1228" spans="35:35" x14ac:dyDescent="0.45">
      <c r="AI1228" t="s">
        <v>2504</v>
      </c>
    </row>
    <row r="1229" spans="35:35" x14ac:dyDescent="0.45">
      <c r="AI1229" t="s">
        <v>2505</v>
      </c>
    </row>
    <row r="1230" spans="35:35" x14ac:dyDescent="0.45">
      <c r="AI1230" t="s">
        <v>2506</v>
      </c>
    </row>
    <row r="1231" spans="35:35" x14ac:dyDescent="0.45">
      <c r="AI1231" t="s">
        <v>2507</v>
      </c>
    </row>
    <row r="1232" spans="35:35" x14ac:dyDescent="0.45">
      <c r="AI1232" t="s">
        <v>1143</v>
      </c>
    </row>
    <row r="1233" spans="35:35" x14ac:dyDescent="0.45">
      <c r="AI1233" t="s">
        <v>1144</v>
      </c>
    </row>
    <row r="1234" spans="35:35" x14ac:dyDescent="0.45">
      <c r="AI1234" t="s">
        <v>1145</v>
      </c>
    </row>
    <row r="1235" spans="35:35" x14ac:dyDescent="0.45">
      <c r="AI1235" t="s">
        <v>1146</v>
      </c>
    </row>
    <row r="1236" spans="35:35" x14ac:dyDescent="0.45">
      <c r="AI1236" t="s">
        <v>1190</v>
      </c>
    </row>
    <row r="1237" spans="35:35" x14ac:dyDescent="0.45">
      <c r="AI1237" t="s">
        <v>1191</v>
      </c>
    </row>
    <row r="1238" spans="35:35" x14ac:dyDescent="0.45">
      <c r="AI1238" t="s">
        <v>1192</v>
      </c>
    </row>
    <row r="1239" spans="35:35" x14ac:dyDescent="0.45">
      <c r="AI1239" t="s">
        <v>1211</v>
      </c>
    </row>
    <row r="1240" spans="35:35" x14ac:dyDescent="0.45">
      <c r="AI1240" t="s">
        <v>1231</v>
      </c>
    </row>
    <row r="1241" spans="35:35" x14ac:dyDescent="0.45">
      <c r="AI1241" t="s">
        <v>1125</v>
      </c>
    </row>
    <row r="1242" spans="35:35" x14ac:dyDescent="0.45">
      <c r="AI1242" t="s">
        <v>1126</v>
      </c>
    </row>
    <row r="1243" spans="35:35" x14ac:dyDescent="0.45">
      <c r="AI1243" t="s">
        <v>1484</v>
      </c>
    </row>
    <row r="1244" spans="35:35" x14ac:dyDescent="0.45">
      <c r="AI1244" t="s">
        <v>1485</v>
      </c>
    </row>
    <row r="1245" spans="35:35" x14ac:dyDescent="0.45">
      <c r="AI1245" t="s">
        <v>1486</v>
      </c>
    </row>
    <row r="1246" spans="35:35" x14ac:dyDescent="0.45">
      <c r="AI1246" t="s">
        <v>1491</v>
      </c>
    </row>
    <row r="1247" spans="35:35" x14ac:dyDescent="0.45">
      <c r="AI1247" t="s">
        <v>1492</v>
      </c>
    </row>
    <row r="1248" spans="35:35" x14ac:dyDescent="0.45">
      <c r="AI1248" t="s">
        <v>1493</v>
      </c>
    </row>
    <row r="1249" spans="35:35" x14ac:dyDescent="0.45">
      <c r="AI1249" t="s">
        <v>1494</v>
      </c>
    </row>
    <row r="1250" spans="35:35" x14ac:dyDescent="0.45">
      <c r="AI1250" t="s">
        <v>1495</v>
      </c>
    </row>
    <row r="1251" spans="35:35" x14ac:dyDescent="0.45">
      <c r="AI1251" t="s">
        <v>1496</v>
      </c>
    </row>
    <row r="1252" spans="35:35" x14ac:dyDescent="0.45">
      <c r="AI1252" t="s">
        <v>1499</v>
      </c>
    </row>
    <row r="1253" spans="35:35" x14ac:dyDescent="0.45">
      <c r="AI1253" t="s">
        <v>1500</v>
      </c>
    </row>
    <row r="1254" spans="35:35" x14ac:dyDescent="0.45">
      <c r="AI1254" t="s">
        <v>1506</v>
      </c>
    </row>
    <row r="1255" spans="35:35" x14ac:dyDescent="0.45">
      <c r="AI1255" t="s">
        <v>1513</v>
      </c>
    </row>
    <row r="1256" spans="35:35" x14ac:dyDescent="0.45">
      <c r="AI1256" t="s">
        <v>1514</v>
      </c>
    </row>
    <row r="1257" spans="35:35" x14ac:dyDescent="0.45">
      <c r="AI1257" t="s">
        <v>1523</v>
      </c>
    </row>
    <row r="1258" spans="35:35" x14ac:dyDescent="0.45">
      <c r="AI1258" t="s">
        <v>1524</v>
      </c>
    </row>
    <row r="1259" spans="35:35" x14ac:dyDescent="0.45">
      <c r="AI1259" t="s">
        <v>1525</v>
      </c>
    </row>
    <row r="1260" spans="35:35" x14ac:dyDescent="0.45">
      <c r="AI1260" t="s">
        <v>1526</v>
      </c>
    </row>
    <row r="1261" spans="35:35" x14ac:dyDescent="0.45">
      <c r="AI1261" t="s">
        <v>1617</v>
      </c>
    </row>
    <row r="1262" spans="35:35" x14ac:dyDescent="0.45">
      <c r="AI1262" t="s">
        <v>1621</v>
      </c>
    </row>
    <row r="1263" spans="35:35" x14ac:dyDescent="0.45">
      <c r="AI1263" t="s">
        <v>1622</v>
      </c>
    </row>
    <row r="1264" spans="35:35" x14ac:dyDescent="0.45">
      <c r="AI1264" t="s">
        <v>1623</v>
      </c>
    </row>
    <row r="1265" spans="35:35" x14ac:dyDescent="0.45">
      <c r="AI1265" t="s">
        <v>1624</v>
      </c>
    </row>
    <row r="1266" spans="35:35" x14ac:dyDescent="0.45">
      <c r="AI1266" t="s">
        <v>1625</v>
      </c>
    </row>
    <row r="1267" spans="35:35" x14ac:dyDescent="0.45">
      <c r="AI1267" t="s">
        <v>1628</v>
      </c>
    </row>
    <row r="1268" spans="35:35" x14ac:dyDescent="0.45">
      <c r="AI1268" t="s">
        <v>1629</v>
      </c>
    </row>
    <row r="1269" spans="35:35" x14ac:dyDescent="0.45">
      <c r="AI1269" t="s">
        <v>1630</v>
      </c>
    </row>
    <row r="1270" spans="35:35" x14ac:dyDescent="0.45">
      <c r="AI1270" t="s">
        <v>1631</v>
      </c>
    </row>
    <row r="1271" spans="35:35" x14ac:dyDescent="0.45">
      <c r="AI1271" t="s">
        <v>1632</v>
      </c>
    </row>
    <row r="1272" spans="35:35" x14ac:dyDescent="0.45">
      <c r="AI1272" t="s">
        <v>1634</v>
      </c>
    </row>
    <row r="1273" spans="35:35" x14ac:dyDescent="0.45">
      <c r="AI1273" t="s">
        <v>1635</v>
      </c>
    </row>
    <row r="1274" spans="35:35" x14ac:dyDescent="0.45">
      <c r="AI1274" t="s">
        <v>1636</v>
      </c>
    </row>
    <row r="1275" spans="35:35" x14ac:dyDescent="0.45">
      <c r="AI1275" t="s">
        <v>1637</v>
      </c>
    </row>
    <row r="1276" spans="35:35" x14ac:dyDescent="0.45">
      <c r="AI1276" t="s">
        <v>1639</v>
      </c>
    </row>
    <row r="1277" spans="35:35" x14ac:dyDescent="0.45">
      <c r="AI1277" t="s">
        <v>1640</v>
      </c>
    </row>
    <row r="1278" spans="35:35" x14ac:dyDescent="0.45">
      <c r="AI1278" t="s">
        <v>1642</v>
      </c>
    </row>
    <row r="1279" spans="35:35" x14ac:dyDescent="0.45">
      <c r="AI1279" t="s">
        <v>2386</v>
      </c>
    </row>
    <row r="1280" spans="35:35" x14ac:dyDescent="0.45">
      <c r="AI1280" t="s">
        <v>2387</v>
      </c>
    </row>
    <row r="1281" spans="35:35" x14ac:dyDescent="0.45">
      <c r="AI1281" t="s">
        <v>2388</v>
      </c>
    </row>
    <row r="1282" spans="35:35" x14ac:dyDescent="0.45">
      <c r="AI1282" t="s">
        <v>2315</v>
      </c>
    </row>
    <row r="1283" spans="35:35" x14ac:dyDescent="0.45">
      <c r="AI1283" t="s">
        <v>2325</v>
      </c>
    </row>
    <row r="1284" spans="35:35" x14ac:dyDescent="0.45">
      <c r="AI1284" t="s">
        <v>2332</v>
      </c>
    </row>
    <row r="1285" spans="35:35" x14ac:dyDescent="0.45">
      <c r="AI1285" t="s">
        <v>2333</v>
      </c>
    </row>
    <row r="1286" spans="35:35" x14ac:dyDescent="0.45">
      <c r="AI1286" t="s">
        <v>1531</v>
      </c>
    </row>
    <row r="1287" spans="35:35" x14ac:dyDescent="0.45">
      <c r="AI1287" t="s">
        <v>1532</v>
      </c>
    </row>
    <row r="1288" spans="35:35" x14ac:dyDescent="0.45">
      <c r="AI1288" t="s">
        <v>1533</v>
      </c>
    </row>
    <row r="1289" spans="35:35" x14ac:dyDescent="0.45">
      <c r="AI1289" t="s">
        <v>1551</v>
      </c>
    </row>
    <row r="1290" spans="35:35" x14ac:dyDescent="0.45">
      <c r="AI1290" t="s">
        <v>1557</v>
      </c>
    </row>
    <row r="1291" spans="35:35" x14ac:dyDescent="0.45">
      <c r="AI1291" t="s">
        <v>1558</v>
      </c>
    </row>
    <row r="1292" spans="35:35" x14ac:dyDescent="0.45">
      <c r="AI1292" t="s">
        <v>1559</v>
      </c>
    </row>
    <row r="1293" spans="35:35" x14ac:dyDescent="0.45">
      <c r="AI1293" t="s">
        <v>1560</v>
      </c>
    </row>
    <row r="1294" spans="35:35" x14ac:dyDescent="0.45">
      <c r="AI1294" t="s">
        <v>1561</v>
      </c>
    </row>
    <row r="1295" spans="35:35" x14ac:dyDescent="0.45">
      <c r="AI1295" t="s">
        <v>1567</v>
      </c>
    </row>
    <row r="1296" spans="35:35" x14ac:dyDescent="0.45">
      <c r="AI1296" t="s">
        <v>1568</v>
      </c>
    </row>
    <row r="1297" spans="35:35" x14ac:dyDescent="0.45">
      <c r="AI1297" t="s">
        <v>1569</v>
      </c>
    </row>
    <row r="1298" spans="35:35" x14ac:dyDescent="0.45">
      <c r="AI1298" t="s">
        <v>1570</v>
      </c>
    </row>
    <row r="1299" spans="35:35" x14ac:dyDescent="0.45">
      <c r="AI1299" t="s">
        <v>1582</v>
      </c>
    </row>
    <row r="1300" spans="35:35" x14ac:dyDescent="0.45">
      <c r="AI1300" t="s">
        <v>1583</v>
      </c>
    </row>
    <row r="1301" spans="35:35" x14ac:dyDescent="0.45">
      <c r="AI1301" t="s">
        <v>1584</v>
      </c>
    </row>
    <row r="1302" spans="35:35" x14ac:dyDescent="0.45">
      <c r="AI1302" t="s">
        <v>1593</v>
      </c>
    </row>
    <row r="1303" spans="35:35" x14ac:dyDescent="0.45">
      <c r="AI1303" t="s">
        <v>1594</v>
      </c>
    </row>
    <row r="1304" spans="35:35" x14ac:dyDescent="0.45">
      <c r="AI1304" t="s">
        <v>1602</v>
      </c>
    </row>
    <row r="1305" spans="35:35" x14ac:dyDescent="0.45">
      <c r="AI1305" t="s">
        <v>1603</v>
      </c>
    </row>
    <row r="1306" spans="35:35" x14ac:dyDescent="0.45">
      <c r="AI1306" t="s">
        <v>1460</v>
      </c>
    </row>
    <row r="1307" spans="35:35" x14ac:dyDescent="0.45">
      <c r="AI1307" t="s">
        <v>1461</v>
      </c>
    </row>
    <row r="1308" spans="35:35" x14ac:dyDescent="0.45">
      <c r="AI1308" t="s">
        <v>1462</v>
      </c>
    </row>
    <row r="1309" spans="35:35" x14ac:dyDescent="0.45">
      <c r="AI1309" t="s">
        <v>1463</v>
      </c>
    </row>
    <row r="1310" spans="35:35" x14ac:dyDescent="0.45">
      <c r="AI1310" t="s">
        <v>1464</v>
      </c>
    </row>
    <row r="1311" spans="35:35" x14ac:dyDescent="0.45">
      <c r="AI1311" t="s">
        <v>1479</v>
      </c>
    </row>
    <row r="1312" spans="35:35" x14ac:dyDescent="0.45">
      <c r="AI1312" t="s">
        <v>1480</v>
      </c>
    </row>
    <row r="1313" spans="35:35" x14ac:dyDescent="0.45">
      <c r="AI1313" t="s">
        <v>1497</v>
      </c>
    </row>
    <row r="1314" spans="35:35" x14ac:dyDescent="0.45">
      <c r="AI1314" t="s">
        <v>1498</v>
      </c>
    </row>
    <row r="1315" spans="35:35" x14ac:dyDescent="0.45">
      <c r="AI1315" t="s">
        <v>1501</v>
      </c>
    </row>
    <row r="1316" spans="35:35" x14ac:dyDescent="0.45">
      <c r="AI1316" t="s">
        <v>1256</v>
      </c>
    </row>
    <row r="1317" spans="35:35" x14ac:dyDescent="0.45">
      <c r="AI1317" t="s">
        <v>1264</v>
      </c>
    </row>
    <row r="1318" spans="35:35" x14ac:dyDescent="0.45">
      <c r="AI1318" t="s">
        <v>1265</v>
      </c>
    </row>
    <row r="1319" spans="35:35" x14ac:dyDescent="0.45">
      <c r="AI1319" t="s">
        <v>1269</v>
      </c>
    </row>
    <row r="1320" spans="35:35" x14ac:dyDescent="0.45">
      <c r="AI1320" t="s">
        <v>1270</v>
      </c>
    </row>
    <row r="1321" spans="35:35" x14ac:dyDescent="0.45">
      <c r="AI1321" t="s">
        <v>1274</v>
      </c>
    </row>
    <row r="1322" spans="35:35" x14ac:dyDescent="0.45">
      <c r="AI1322" t="s">
        <v>1507</v>
      </c>
    </row>
    <row r="1323" spans="35:35" x14ac:dyDescent="0.45">
      <c r="AI1323" t="s">
        <v>1515</v>
      </c>
    </row>
    <row r="1324" spans="35:35" x14ac:dyDescent="0.45">
      <c r="AI1324" t="s">
        <v>1527</v>
      </c>
    </row>
    <row r="1325" spans="35:35" x14ac:dyDescent="0.45">
      <c r="AI1325" t="s">
        <v>1528</v>
      </c>
    </row>
    <row r="1326" spans="35:35" x14ac:dyDescent="0.45">
      <c r="AI1326" t="s">
        <v>1529</v>
      </c>
    </row>
    <row r="1327" spans="35:35" x14ac:dyDescent="0.45">
      <c r="AI1327" t="s">
        <v>1534</v>
      </c>
    </row>
    <row r="1328" spans="35:35" x14ac:dyDescent="0.45">
      <c r="AI1328" t="s">
        <v>1535</v>
      </c>
    </row>
    <row r="1329" spans="35:35" x14ac:dyDescent="0.45">
      <c r="AI1329" t="s">
        <v>1536</v>
      </c>
    </row>
    <row r="1330" spans="35:35" x14ac:dyDescent="0.45">
      <c r="AI1330" t="s">
        <v>1537</v>
      </c>
    </row>
    <row r="1331" spans="35:35" x14ac:dyDescent="0.45">
      <c r="AI1331" t="s">
        <v>1538</v>
      </c>
    </row>
    <row r="1332" spans="35:35" x14ac:dyDescent="0.45">
      <c r="AI1332" t="s">
        <v>1541</v>
      </c>
    </row>
    <row r="1333" spans="35:35" x14ac:dyDescent="0.45">
      <c r="AI1333" t="s">
        <v>1542</v>
      </c>
    </row>
    <row r="1334" spans="35:35" x14ac:dyDescent="0.45">
      <c r="AI1334" t="s">
        <v>1543</v>
      </c>
    </row>
    <row r="1335" spans="35:35" x14ac:dyDescent="0.45">
      <c r="AI1335" t="s">
        <v>1398</v>
      </c>
    </row>
    <row r="1336" spans="35:35" x14ac:dyDescent="0.45">
      <c r="AI1336" t="s">
        <v>1399</v>
      </c>
    </row>
    <row r="1337" spans="35:35" x14ac:dyDescent="0.45">
      <c r="AI1337" t="s">
        <v>1400</v>
      </c>
    </row>
    <row r="1338" spans="35:35" x14ac:dyDescent="0.45">
      <c r="AI1338" t="s">
        <v>1411</v>
      </c>
    </row>
    <row r="1339" spans="35:35" x14ac:dyDescent="0.45">
      <c r="AI1339" t="s">
        <v>1426</v>
      </c>
    </row>
    <row r="1340" spans="35:35" x14ac:dyDescent="0.45">
      <c r="AI1340" t="s">
        <v>1427</v>
      </c>
    </row>
    <row r="1341" spans="35:35" x14ac:dyDescent="0.45">
      <c r="AI1341" t="s">
        <v>1428</v>
      </c>
    </row>
    <row r="1342" spans="35:35" x14ac:dyDescent="0.45">
      <c r="AI1342" t="s">
        <v>1450</v>
      </c>
    </row>
    <row r="1343" spans="35:35" x14ac:dyDescent="0.45">
      <c r="AI1343" t="s">
        <v>1431</v>
      </c>
    </row>
    <row r="1344" spans="35:35" x14ac:dyDescent="0.45">
      <c r="AI1344" t="s">
        <v>1432</v>
      </c>
    </row>
    <row r="1345" spans="35:35" x14ac:dyDescent="0.45">
      <c r="AI1345" t="s">
        <v>2015</v>
      </c>
    </row>
    <row r="1346" spans="35:35" x14ac:dyDescent="0.45">
      <c r="AI1346" t="s">
        <v>2016</v>
      </c>
    </row>
    <row r="1347" spans="35:35" x14ac:dyDescent="0.45">
      <c r="AI1347" t="s">
        <v>2017</v>
      </c>
    </row>
    <row r="1348" spans="35:35" x14ac:dyDescent="0.45">
      <c r="AI1348" t="s">
        <v>2029</v>
      </c>
    </row>
    <row r="1349" spans="35:35" x14ac:dyDescent="0.45">
      <c r="AI1349" t="s">
        <v>2034</v>
      </c>
    </row>
    <row r="1350" spans="35:35" x14ac:dyDescent="0.45">
      <c r="AI1350" t="s">
        <v>2012</v>
      </c>
    </row>
    <row r="1351" spans="35:35" x14ac:dyDescent="0.45">
      <c r="AI1351" t="s">
        <v>2013</v>
      </c>
    </row>
    <row r="1352" spans="35:35" x14ac:dyDescent="0.45">
      <c r="AI1352" t="s">
        <v>2014</v>
      </c>
    </row>
    <row r="1353" spans="35:35" x14ac:dyDescent="0.45">
      <c r="AI1353" t="s">
        <v>2018</v>
      </c>
    </row>
    <row r="1354" spans="35:35" x14ac:dyDescent="0.45">
      <c r="AI1354" t="s">
        <v>2019</v>
      </c>
    </row>
    <row r="1355" spans="35:35" x14ac:dyDescent="0.45">
      <c r="AI1355" t="s">
        <v>2020</v>
      </c>
    </row>
    <row r="1356" spans="35:35" x14ac:dyDescent="0.45">
      <c r="AI1356" t="s">
        <v>2021</v>
      </c>
    </row>
    <row r="1357" spans="35:35" x14ac:dyDescent="0.45">
      <c r="AI1357" t="s">
        <v>2022</v>
      </c>
    </row>
    <row r="1358" spans="35:35" x14ac:dyDescent="0.45">
      <c r="AI1358" t="s">
        <v>2023</v>
      </c>
    </row>
    <row r="1359" spans="35:35" x14ac:dyDescent="0.45">
      <c r="AI1359" t="s">
        <v>2024</v>
      </c>
    </row>
    <row r="1360" spans="35:35" x14ac:dyDescent="0.45">
      <c r="AI1360" t="s">
        <v>2025</v>
      </c>
    </row>
    <row r="1361" spans="35:35" x14ac:dyDescent="0.45">
      <c r="AI1361" t="s">
        <v>2026</v>
      </c>
    </row>
    <row r="1362" spans="35:35" x14ac:dyDescent="0.45">
      <c r="AI1362" t="s">
        <v>2027</v>
      </c>
    </row>
    <row r="1363" spans="35:35" x14ac:dyDescent="0.45">
      <c r="AI1363" t="s">
        <v>2028</v>
      </c>
    </row>
    <row r="1364" spans="35:35" x14ac:dyDescent="0.45">
      <c r="AI1364" t="s">
        <v>2030</v>
      </c>
    </row>
    <row r="1365" spans="35:35" x14ac:dyDescent="0.45">
      <c r="AI1365" t="s">
        <v>2031</v>
      </c>
    </row>
    <row r="1366" spans="35:35" x14ac:dyDescent="0.45">
      <c r="AI1366" t="s">
        <v>2032</v>
      </c>
    </row>
    <row r="1367" spans="35:35" x14ac:dyDescent="0.45">
      <c r="AI1367" t="s">
        <v>2033</v>
      </c>
    </row>
    <row r="1368" spans="35:35" x14ac:dyDescent="0.45">
      <c r="AI1368" t="s">
        <v>2035</v>
      </c>
    </row>
    <row r="1369" spans="35:35" x14ac:dyDescent="0.45">
      <c r="AI1369" t="s">
        <v>2036</v>
      </c>
    </row>
    <row r="1370" spans="35:35" x14ac:dyDescent="0.45">
      <c r="AI1370" t="s">
        <v>2037</v>
      </c>
    </row>
    <row r="1371" spans="35:35" x14ac:dyDescent="0.45">
      <c r="AI1371" t="s">
        <v>2508</v>
      </c>
    </row>
    <row r="1372" spans="35:35" x14ac:dyDescent="0.45">
      <c r="AI1372" t="s">
        <v>2509</v>
      </c>
    </row>
    <row r="1373" spans="35:35" x14ac:dyDescent="0.45">
      <c r="AI1373" t="s">
        <v>2510</v>
      </c>
    </row>
    <row r="1374" spans="35:35" x14ac:dyDescent="0.45">
      <c r="AI1374" t="s">
        <v>2513</v>
      </c>
    </row>
    <row r="1375" spans="35:35" x14ac:dyDescent="0.45">
      <c r="AI1375" t="s">
        <v>2514</v>
      </c>
    </row>
    <row r="1376" spans="35:35" x14ac:dyDescent="0.45">
      <c r="AI1376" t="s">
        <v>2517</v>
      </c>
    </row>
    <row r="1377" spans="35:35" x14ac:dyDescent="0.45">
      <c r="AI1377" t="s">
        <v>2518</v>
      </c>
    </row>
    <row r="1378" spans="35:35" x14ac:dyDescent="0.45">
      <c r="AI1378" t="s">
        <v>2519</v>
      </c>
    </row>
    <row r="1379" spans="35:35" x14ac:dyDescent="0.45">
      <c r="AI1379" t="s">
        <v>2520</v>
      </c>
    </row>
    <row r="1380" spans="35:35" x14ac:dyDescent="0.45">
      <c r="AI1380" t="s">
        <v>2528</v>
      </c>
    </row>
    <row r="1381" spans="35:35" x14ac:dyDescent="0.45">
      <c r="AI1381" t="s">
        <v>2038</v>
      </c>
    </row>
    <row r="1382" spans="35:35" x14ac:dyDescent="0.45">
      <c r="AI1382" t="s">
        <v>2039</v>
      </c>
    </row>
    <row r="1383" spans="35:35" x14ac:dyDescent="0.45">
      <c r="AI1383" t="s">
        <v>2040</v>
      </c>
    </row>
    <row r="1384" spans="35:35" x14ac:dyDescent="0.45">
      <c r="AI1384" t="s">
        <v>2041</v>
      </c>
    </row>
    <row r="1385" spans="35:35" x14ac:dyDescent="0.45">
      <c r="AI1385" t="s">
        <v>2042</v>
      </c>
    </row>
    <row r="1386" spans="35:35" x14ac:dyDescent="0.45">
      <c r="AI1386" t="s">
        <v>2047</v>
      </c>
    </row>
    <row r="1387" spans="35:35" x14ac:dyDescent="0.45">
      <c r="AI1387" t="s">
        <v>2043</v>
      </c>
    </row>
    <row r="1388" spans="35:35" x14ac:dyDescent="0.45">
      <c r="AI1388" t="s">
        <v>2052</v>
      </c>
    </row>
    <row r="1389" spans="35:35" x14ac:dyDescent="0.45">
      <c r="AI1389" t="s">
        <v>2049</v>
      </c>
    </row>
    <row r="1390" spans="35:35" x14ac:dyDescent="0.45">
      <c r="AI1390" t="s">
        <v>2050</v>
      </c>
    </row>
    <row r="1391" spans="35:35" x14ac:dyDescent="0.45">
      <c r="AI1391" t="s">
        <v>2051</v>
      </c>
    </row>
    <row r="1392" spans="35:35" x14ac:dyDescent="0.45">
      <c r="AI1392" t="s">
        <v>2048</v>
      </c>
    </row>
    <row r="1393" spans="35:35" x14ac:dyDescent="0.45">
      <c r="AI1393" t="s">
        <v>2046</v>
      </c>
    </row>
    <row r="1394" spans="35:35" x14ac:dyDescent="0.45">
      <c r="AI1394" t="s">
        <v>2044</v>
      </c>
    </row>
    <row r="1395" spans="35:35" x14ac:dyDescent="0.45">
      <c r="AI1395" t="s">
        <v>2045</v>
      </c>
    </row>
    <row r="1396" spans="35:35" x14ac:dyDescent="0.45">
      <c r="AI1396" t="s">
        <v>1552</v>
      </c>
    </row>
    <row r="1397" spans="35:35" x14ac:dyDescent="0.45">
      <c r="AI1397" t="s">
        <v>1571</v>
      </c>
    </row>
    <row r="1398" spans="35:35" x14ac:dyDescent="0.45">
      <c r="AI1398" t="s">
        <v>1572</v>
      </c>
    </row>
    <row r="1399" spans="35:35" x14ac:dyDescent="0.45">
      <c r="AI1399" t="s">
        <v>1585</v>
      </c>
    </row>
    <row r="1400" spans="35:35" x14ac:dyDescent="0.45">
      <c r="AI1400" t="s">
        <v>1586</v>
      </c>
    </row>
    <row r="1401" spans="35:35" x14ac:dyDescent="0.45">
      <c r="AI1401" t="s">
        <v>1595</v>
      </c>
    </row>
    <row r="1402" spans="35:35" x14ac:dyDescent="0.45">
      <c r="AI1402" t="s">
        <v>1596</v>
      </c>
    </row>
    <row r="1403" spans="35:35" x14ac:dyDescent="0.45">
      <c r="AI1403" t="s">
        <v>1597</v>
      </c>
    </row>
    <row r="1404" spans="35:35" x14ac:dyDescent="0.45">
      <c r="AI1404" t="s">
        <v>1481</v>
      </c>
    </row>
    <row r="1405" spans="35:35" x14ac:dyDescent="0.45">
      <c r="AI1405" t="s">
        <v>1482</v>
      </c>
    </row>
    <row r="1406" spans="35:35" x14ac:dyDescent="0.45">
      <c r="AI1406" t="s">
        <v>1487</v>
      </c>
    </row>
    <row r="1407" spans="35:35" x14ac:dyDescent="0.45">
      <c r="AI1407" t="s">
        <v>1488</v>
      </c>
    </row>
    <row r="1408" spans="35:35" x14ac:dyDescent="0.45">
      <c r="AI1408" t="s">
        <v>1489</v>
      </c>
    </row>
    <row r="1409" spans="35:35" x14ac:dyDescent="0.45">
      <c r="AI1409" t="s">
        <v>1508</v>
      </c>
    </row>
    <row r="1410" spans="35:35" x14ac:dyDescent="0.45">
      <c r="AI1410" t="s">
        <v>1509</v>
      </c>
    </row>
    <row r="1411" spans="35:35" x14ac:dyDescent="0.45">
      <c r="AI1411" t="s">
        <v>1510</v>
      </c>
    </row>
    <row r="1412" spans="35:35" x14ac:dyDescent="0.45">
      <c r="AI1412" t="s">
        <v>2222</v>
      </c>
    </row>
    <row r="1413" spans="35:35" x14ac:dyDescent="0.45">
      <c r="AI1413" t="s">
        <v>2223</v>
      </c>
    </row>
    <row r="1414" spans="35:35" x14ac:dyDescent="0.45">
      <c r="AI1414" t="s">
        <v>2227</v>
      </c>
    </row>
    <row r="1415" spans="35:35" x14ac:dyDescent="0.45">
      <c r="AI1415" t="s">
        <v>2228</v>
      </c>
    </row>
    <row r="1416" spans="35:35" x14ac:dyDescent="0.45">
      <c r="AI1416" t="s">
        <v>2229</v>
      </c>
    </row>
    <row r="1417" spans="35:35" x14ac:dyDescent="0.45">
      <c r="AI1417" t="s">
        <v>2230</v>
      </c>
    </row>
    <row r="1418" spans="35:35" x14ac:dyDescent="0.45">
      <c r="AI1418" t="s">
        <v>2231</v>
      </c>
    </row>
    <row r="1419" spans="35:35" x14ac:dyDescent="0.45">
      <c r="AI1419" t="s">
        <v>2233</v>
      </c>
    </row>
    <row r="1420" spans="35:35" x14ac:dyDescent="0.45">
      <c r="AI1420" t="s">
        <v>2234</v>
      </c>
    </row>
    <row r="1421" spans="35:35" x14ac:dyDescent="0.45">
      <c r="AI1421" t="s">
        <v>2167</v>
      </c>
    </row>
    <row r="1422" spans="35:35" x14ac:dyDescent="0.45">
      <c r="AI1422" t="s">
        <v>2168</v>
      </c>
    </row>
    <row r="1423" spans="35:35" x14ac:dyDescent="0.45">
      <c r="AI1423" t="s">
        <v>2169</v>
      </c>
    </row>
    <row r="1424" spans="35:35" x14ac:dyDescent="0.45">
      <c r="AI1424" t="s">
        <v>1644</v>
      </c>
    </row>
    <row r="1425" spans="35:35" x14ac:dyDescent="0.45">
      <c r="AI1425" t="s">
        <v>1645</v>
      </c>
    </row>
    <row r="1426" spans="35:35" x14ac:dyDescent="0.45">
      <c r="AI1426" t="s">
        <v>1646</v>
      </c>
    </row>
    <row r="1427" spans="35:35" x14ac:dyDescent="0.45">
      <c r="AI1427" t="s">
        <v>1647</v>
      </c>
    </row>
    <row r="1428" spans="35:35" x14ac:dyDescent="0.45">
      <c r="AI1428" t="s">
        <v>1648</v>
      </c>
    </row>
    <row r="1429" spans="35:35" x14ac:dyDescent="0.45">
      <c r="AI1429" t="s">
        <v>1653</v>
      </c>
    </row>
    <row r="1430" spans="35:35" x14ac:dyDescent="0.45">
      <c r="AI1430" t="s">
        <v>1654</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BI571"/>
  <sheetViews>
    <sheetView topLeftCell="T1" zoomScale="85" zoomScaleNormal="85" workbookViewId="0">
      <pane ySplit="1" topLeftCell="A2" activePane="bottomLeft" state="frozen"/>
      <selection pane="bottomLeft" activeCell="AV175" sqref="AV175"/>
    </sheetView>
  </sheetViews>
  <sheetFormatPr defaultColWidth="9.1328125" defaultRowHeight="14.25" x14ac:dyDescent="0.45"/>
  <cols>
    <col min="1" max="1" width="41.265625" customWidth="1"/>
    <col min="9" max="9" width="18.73046875" bestFit="1" customWidth="1"/>
    <col min="10" max="10" width="26.59765625" bestFit="1" customWidth="1"/>
    <col min="13" max="13" width="20.86328125" customWidth="1"/>
    <col min="20" max="20" width="19.265625" customWidth="1"/>
    <col min="48" max="48" width="15.265625" customWidth="1"/>
  </cols>
  <sheetData>
    <row r="1" spans="1:61" s="1" customFormat="1" x14ac:dyDescent="0.45">
      <c r="A1" s="1" t="s">
        <v>894</v>
      </c>
      <c r="B1" s="1" t="str">
        <f>$A2</f>
        <v>Accident Compensation Conciliation Service</v>
      </c>
      <c r="C1" s="1" t="str">
        <f t="shared" ref="C1:K1" ca="1" si="0">OFFSET($A2,(MATCH(B1,$A:$A)-1),0)</f>
        <v>Adult Parole Board</v>
      </c>
      <c r="D1" s="1" t="str">
        <f t="shared" ca="1" si="0"/>
        <v>Appeal Costs Board</v>
      </c>
      <c r="E1" s="1" t="str">
        <f t="shared" ca="1" si="0"/>
        <v>Business Licensing Authority</v>
      </c>
      <c r="F1" s="1" t="str">
        <f t="shared" ca="1" si="0"/>
        <v>Consumer Affairs</v>
      </c>
      <c r="G1" s="1" t="str">
        <f t="shared" ca="1" si="0"/>
        <v>Consumer Policy Research Centre</v>
      </c>
      <c r="H1" s="1" t="str">
        <f t="shared" ca="1" si="0"/>
        <v>Coronial Council Of Victoria</v>
      </c>
      <c r="I1" s="1" t="str">
        <f t="shared" ca="1" si="0"/>
        <v>Corrections Victoria</v>
      </c>
      <c r="J1" s="1" t="str">
        <f t="shared" ca="1" si="0"/>
        <v>Country Fire Authority (CFA)</v>
      </c>
      <c r="K1" s="1" t="str">
        <f t="shared" ca="1" si="0"/>
        <v>Country Fire Authority Appeals Commission</v>
      </c>
      <c r="L1" s="1" t="str">
        <f t="shared" ref="L1:BI1" ca="1" si="1">OFFSET($A2,(MATCH(K1,$A:$A)-1),0)</f>
        <v>Crown Counsel</v>
      </c>
      <c r="M1" s="1" t="str">
        <f t="shared" ca="1" si="1"/>
        <v>CSV</v>
      </c>
      <c r="N1" s="1" t="str">
        <f t="shared" ca="1" si="1"/>
        <v>Department of Justice and Community Safety (DJCS)</v>
      </c>
      <c r="O1" s="1" t="str">
        <f t="shared" ca="1" si="1"/>
        <v>Emergency Management Commissioner</v>
      </c>
      <c r="P1" s="1" t="str">
        <f t="shared" ca="1" si="1"/>
        <v>Emergency Management Victoria (EMV)</v>
      </c>
      <c r="Q1" s="1" t="str">
        <f t="shared" ca="1" si="1"/>
        <v>Emergency Services Infrastructure Authority</v>
      </c>
      <c r="R1" s="1" t="str">
        <f t="shared" ca="1" si="1"/>
        <v>ESTA</v>
      </c>
      <c r="S1" s="1" t="str">
        <f t="shared" ca="1" si="1"/>
        <v>Estate Agents Council</v>
      </c>
      <c r="T1" s="1" t="str">
        <f t="shared" ca="1" si="1"/>
        <v>Fire Rescue Victoria (FRV)</v>
      </c>
      <c r="U1" s="1" t="str">
        <f t="shared" ca="1" si="1"/>
        <v>Firearms Appeals Committee</v>
      </c>
      <c r="V1" s="1" t="str">
        <f t="shared" ca="1" si="1"/>
        <v>Honorary Justice Office</v>
      </c>
      <c r="W1" s="1" t="str">
        <f t="shared" ca="1" si="1"/>
        <v>Judicial Entitlements Panel</v>
      </c>
      <c r="X1" s="1" t="str">
        <f t="shared" ca="1" si="1"/>
        <v>Liquor Control Advisory Council</v>
      </c>
      <c r="Y1" s="1" t="str">
        <f t="shared" ca="1" si="1"/>
        <v>Local Government Investigations and Compliance Inspectorate</v>
      </c>
      <c r="Z1" s="1" t="str">
        <f t="shared" ca="1" si="1"/>
        <v>Metropolitan Fire And Emergency Services Appeals Commission</v>
      </c>
      <c r="AA1" s="1" t="str">
        <f t="shared" ca="1" si="1"/>
        <v>Ministerial Community Advisory Committee (Custodial Community Permit Program)</v>
      </c>
      <c r="AB1" s="1" t="str">
        <f t="shared" ca="1" si="1"/>
        <v>Motor Car Traders Claims Committee</v>
      </c>
      <c r="AC1" s="1" t="str">
        <f t="shared" ca="1" si="1"/>
        <v>Office Of Chief Examiner</v>
      </c>
      <c r="AD1" s="1" t="str">
        <f t="shared" ca="1" si="1"/>
        <v>Office Of Crown Counsel &amp; Advising</v>
      </c>
      <c r="AE1" s="1" t="str">
        <f t="shared" ca="1" si="1"/>
        <v>Office Of Public Prosecutions</v>
      </c>
      <c r="AF1" s="1" t="str">
        <f t="shared" ca="1" si="1"/>
        <v>Office of the Commissioner for Privacy and Data</v>
      </c>
      <c r="AG1" s="1" t="str">
        <f t="shared" ca="1" si="1"/>
        <v>Office of the Legal Services Commissioner</v>
      </c>
      <c r="AH1" s="1" t="str">
        <f t="shared" ca="1" si="1"/>
        <v>Office Of The Public Advocate</v>
      </c>
      <c r="AI1" s="1" t="str">
        <f t="shared" ca="1" si="1"/>
        <v>Office Of The Road Safety Camera Commissioner</v>
      </c>
      <c r="AJ1" s="1" t="str">
        <f t="shared" ca="1" si="1"/>
        <v>Police Registration And Services Board</v>
      </c>
      <c r="AK1" s="1" t="str">
        <f t="shared" ca="1" si="1"/>
        <v>Racing Victoria</v>
      </c>
      <c r="AL1" s="1" t="str">
        <f t="shared" ca="1" si="1"/>
        <v>Reference Group - Road Safety Camera Commissioner</v>
      </c>
      <c r="AM1" s="1" t="str">
        <f t="shared" ca="1" si="1"/>
        <v>Responsible Gambling Ministerial Advisory Council</v>
      </c>
      <c r="AN1" s="1" t="str">
        <f t="shared" ca="1" si="1"/>
        <v>Road Safety Camera Commissioner</v>
      </c>
      <c r="AO1" s="1" t="str">
        <f t="shared" ca="1" si="1"/>
        <v>Sentencing Advisory Council</v>
      </c>
      <c r="AP1" s="1" t="str">
        <f t="shared" ca="1" si="1"/>
        <v>SES</v>
      </c>
      <c r="AQ1" s="1" t="str">
        <f t="shared" ca="1" si="1"/>
        <v>Sex Work Ministerial Advisory Committee</v>
      </c>
      <c r="AR1" s="1" t="str">
        <f t="shared" ca="1" si="1"/>
        <v>Solicitor-General Of Victoria</v>
      </c>
      <c r="AS1" s="1" t="str">
        <f t="shared" ca="1" si="1"/>
        <v>Victims Of Crime Consultative Committee</v>
      </c>
      <c r="AT1" s="1" t="str">
        <f t="shared" ca="1" si="1"/>
        <v>Victoria Law Foundation</v>
      </c>
      <c r="AU1" s="1" t="str">
        <f t="shared" ca="1" si="1"/>
        <v>Victoria Legal Aid</v>
      </c>
      <c r="AV1" s="1" t="str">
        <f t="shared" ca="1" si="1"/>
        <v>Victoria Police</v>
      </c>
      <c r="AW1" s="1" t="str">
        <f t="shared" ca="1" si="1"/>
        <v>Victorian Asbestos Eradication Agency (VAEA)</v>
      </c>
      <c r="AX1" s="1" t="str">
        <f t="shared" ca="1" si="1"/>
        <v>Victorian Civil and Administrative Tribunal (VCAT)</v>
      </c>
      <c r="AY1" s="1" t="str">
        <f t="shared" ca="1" si="1"/>
        <v>Victorian Commission For Gambling And Liquor Regulation</v>
      </c>
      <c r="AZ1" s="1" t="str">
        <f t="shared" ca="1" si="1"/>
        <v>Victorian Emergency Management Institute</v>
      </c>
      <c r="BA1" s="1" t="str">
        <f t="shared" ca="1" si="1"/>
        <v>Victorian Equal Opportunity And Human Rights Commission</v>
      </c>
      <c r="BB1" s="1" t="str">
        <f t="shared" ca="1" si="1"/>
        <v>Victorian Government Solicitor</v>
      </c>
      <c r="BC1" s="1" t="str">
        <f t="shared" ca="1" si="1"/>
        <v>Victorian Law Reform Commission</v>
      </c>
      <c r="BD1" s="1" t="str">
        <f t="shared" ca="1" si="1"/>
        <v>Victorian Legal Admissions Board</v>
      </c>
      <c r="BE1" s="1" t="str">
        <f t="shared" ca="1" si="1"/>
        <v>Victorian Legal Services Board</v>
      </c>
      <c r="BF1" s="1" t="str">
        <f t="shared" ca="1" si="1"/>
        <v>Victorian Legal Services Commissioner</v>
      </c>
      <c r="BG1" s="1" t="str">
        <f t="shared" ca="1" si="1"/>
        <v>Victorian Responsible Gambling Foundation</v>
      </c>
      <c r="BH1" s="1" t="str">
        <f t="shared" ca="1" si="1"/>
        <v>VIFM</v>
      </c>
      <c r="BI1" s="1" t="str">
        <f t="shared" ca="1" si="1"/>
        <v>WorkSafe Victoria (WSV)</v>
      </c>
    </row>
    <row r="2" spans="1:61" x14ac:dyDescent="0.45">
      <c r="A2" t="str">
        <f>'State Depts'!F2</f>
        <v>Accident Compensation Conciliation Service</v>
      </c>
      <c r="I2" t="s">
        <v>5316</v>
      </c>
      <c r="J2" t="s">
        <v>5317</v>
      </c>
      <c r="M2" t="s">
        <v>3962</v>
      </c>
      <c r="R2" t="s">
        <v>205</v>
      </c>
      <c r="T2" t="s">
        <v>10657</v>
      </c>
      <c r="AP2" t="s">
        <v>3835</v>
      </c>
      <c r="AV2" t="s">
        <v>3984</v>
      </c>
      <c r="BH2" t="s">
        <v>3837</v>
      </c>
    </row>
    <row r="3" spans="1:61" x14ac:dyDescent="0.45">
      <c r="A3" t="str">
        <f>'State Depts'!F3</f>
        <v>Adult Parole Board</v>
      </c>
      <c r="I3" t="s">
        <v>3881</v>
      </c>
      <c r="J3" t="s">
        <v>5318</v>
      </c>
      <c r="M3" t="s">
        <v>3963</v>
      </c>
      <c r="T3" t="s">
        <v>10656</v>
      </c>
      <c r="AV3" t="s">
        <v>3985</v>
      </c>
    </row>
    <row r="4" spans="1:61" x14ac:dyDescent="0.45">
      <c r="A4" t="str">
        <f>'State Depts'!F4</f>
        <v>Appeal Costs Board</v>
      </c>
      <c r="I4" t="s">
        <v>5357</v>
      </c>
      <c r="J4" t="s">
        <v>5319</v>
      </c>
      <c r="M4" t="s">
        <v>3964</v>
      </c>
      <c r="T4" t="s">
        <v>10038</v>
      </c>
      <c r="AV4" t="s">
        <v>3986</v>
      </c>
    </row>
    <row r="5" spans="1:61" x14ac:dyDescent="0.45">
      <c r="A5" t="str">
        <f>'State Depts'!F5</f>
        <v>Business Licensing Authority</v>
      </c>
      <c r="I5" t="s">
        <v>3879</v>
      </c>
      <c r="J5" t="s">
        <v>5320</v>
      </c>
      <c r="M5" t="s">
        <v>3976</v>
      </c>
      <c r="T5" t="s">
        <v>10039</v>
      </c>
      <c r="AV5" t="s">
        <v>3987</v>
      </c>
    </row>
    <row r="6" spans="1:61" x14ac:dyDescent="0.45">
      <c r="A6" t="str">
        <f>'State Depts'!F6</f>
        <v>Consumer Affairs</v>
      </c>
      <c r="I6" t="s">
        <v>3903</v>
      </c>
      <c r="J6" t="s">
        <v>5321</v>
      </c>
      <c r="M6" t="s">
        <v>3977</v>
      </c>
      <c r="T6" t="s">
        <v>10655</v>
      </c>
      <c r="AV6" t="s">
        <v>10701</v>
      </c>
    </row>
    <row r="7" spans="1:61" x14ac:dyDescent="0.45">
      <c r="A7" t="str">
        <f>'State Depts'!F7</f>
        <v>Consumer Policy Research Centre</v>
      </c>
      <c r="I7" t="s">
        <v>5442</v>
      </c>
      <c r="J7" t="s">
        <v>5322</v>
      </c>
      <c r="M7" t="s">
        <v>3978</v>
      </c>
      <c r="T7" t="s">
        <v>10654</v>
      </c>
      <c r="AV7" t="s">
        <v>3988</v>
      </c>
    </row>
    <row r="8" spans="1:61" x14ac:dyDescent="0.45">
      <c r="A8" t="str">
        <f>'State Depts'!F8</f>
        <v>Coronial Council Of Victoria</v>
      </c>
      <c r="I8" t="s">
        <v>5443</v>
      </c>
      <c r="J8" t="s">
        <v>5323</v>
      </c>
      <c r="M8" t="s">
        <v>3979</v>
      </c>
      <c r="T8" t="s">
        <v>10653</v>
      </c>
      <c r="AV8" t="s">
        <v>10702</v>
      </c>
    </row>
    <row r="9" spans="1:61" x14ac:dyDescent="0.45">
      <c r="A9" t="str">
        <f>'State Depts'!F9</f>
        <v>Corrections Victoria</v>
      </c>
      <c r="I9" t="s">
        <v>5444</v>
      </c>
      <c r="J9" t="s">
        <v>5324</v>
      </c>
      <c r="M9" t="s">
        <v>3981</v>
      </c>
      <c r="T9" t="s">
        <v>10652</v>
      </c>
      <c r="AV9" t="s">
        <v>10703</v>
      </c>
    </row>
    <row r="10" spans="1:61" x14ac:dyDescent="0.45">
      <c r="A10" t="str">
        <f>'State Depts'!F10</f>
        <v>Country Fire Authority (CFA)</v>
      </c>
      <c r="I10" t="s">
        <v>3880</v>
      </c>
      <c r="J10" t="s">
        <v>5325</v>
      </c>
      <c r="M10" t="s">
        <v>3982</v>
      </c>
      <c r="T10" t="s">
        <v>10651</v>
      </c>
      <c r="AV10" t="s">
        <v>3989</v>
      </c>
    </row>
    <row r="11" spans="1:61" x14ac:dyDescent="0.45">
      <c r="A11" t="str">
        <f>'State Depts'!F11</f>
        <v>Country Fire Authority Appeals Commission</v>
      </c>
      <c r="I11" t="s">
        <v>3882</v>
      </c>
      <c r="J11" t="s">
        <v>5326</v>
      </c>
      <c r="M11" t="s">
        <v>4099</v>
      </c>
      <c r="T11" t="s">
        <v>10650</v>
      </c>
      <c r="AV11" t="s">
        <v>3990</v>
      </c>
    </row>
    <row r="12" spans="1:61" x14ac:dyDescent="0.45">
      <c r="A12" t="str">
        <f>'State Depts'!F12</f>
        <v>Crown Counsel</v>
      </c>
      <c r="I12" t="s">
        <v>3883</v>
      </c>
      <c r="J12" t="s">
        <v>5327</v>
      </c>
      <c r="M12" t="s">
        <v>204</v>
      </c>
      <c r="T12" t="s">
        <v>10649</v>
      </c>
      <c r="AV12" t="s">
        <v>3991</v>
      </c>
    </row>
    <row r="13" spans="1:61" x14ac:dyDescent="0.45">
      <c r="A13" t="str">
        <f>'State Depts'!F13</f>
        <v>CSV</v>
      </c>
      <c r="I13" t="s">
        <v>3878</v>
      </c>
      <c r="J13" t="s">
        <v>5328</v>
      </c>
      <c r="M13" t="s">
        <v>4100</v>
      </c>
      <c r="T13" t="s">
        <v>10648</v>
      </c>
      <c r="AV13" t="s">
        <v>10704</v>
      </c>
    </row>
    <row r="14" spans="1:61" x14ac:dyDescent="0.45">
      <c r="A14" t="str">
        <f>'State Depts'!F14</f>
        <v>Department of Justice and Community Safety (DJCS)</v>
      </c>
      <c r="I14" t="s">
        <v>3904</v>
      </c>
      <c r="J14" t="s">
        <v>5329</v>
      </c>
      <c r="M14" t="s">
        <v>4101</v>
      </c>
      <c r="T14" t="s">
        <v>10647</v>
      </c>
      <c r="AV14" t="s">
        <v>3992</v>
      </c>
    </row>
    <row r="15" spans="1:61" x14ac:dyDescent="0.45">
      <c r="A15" t="str">
        <f>'State Depts'!F15</f>
        <v>Emergency Management Commissioner</v>
      </c>
      <c r="I15" t="s">
        <v>3884</v>
      </c>
      <c r="J15" t="s">
        <v>5330</v>
      </c>
      <c r="M15" t="s">
        <v>4102</v>
      </c>
      <c r="T15" t="s">
        <v>10646</v>
      </c>
      <c r="AV15" t="s">
        <v>3994</v>
      </c>
    </row>
    <row r="16" spans="1:61" x14ac:dyDescent="0.45">
      <c r="A16" t="str">
        <f>'State Depts'!F16</f>
        <v>Emergency Management Victoria (EMV)</v>
      </c>
      <c r="I16" t="s">
        <v>3905</v>
      </c>
      <c r="J16" t="s">
        <v>5331</v>
      </c>
      <c r="M16" t="s">
        <v>4103</v>
      </c>
      <c r="T16" t="s">
        <v>10040</v>
      </c>
      <c r="AV16" t="s">
        <v>10705</v>
      </c>
    </row>
    <row r="17" spans="1:48" x14ac:dyDescent="0.45">
      <c r="A17" t="str">
        <f>'State Depts'!F17</f>
        <v>Emergency Services Infrastructure Authority</v>
      </c>
      <c r="I17" t="s">
        <v>5446</v>
      </c>
      <c r="J17" t="s">
        <v>5332</v>
      </c>
      <c r="M17" t="s">
        <v>4104</v>
      </c>
      <c r="T17" t="s">
        <v>10645</v>
      </c>
      <c r="AV17" t="s">
        <v>10706</v>
      </c>
    </row>
    <row r="18" spans="1:48" x14ac:dyDescent="0.45">
      <c r="A18" t="str">
        <f>'State Depts'!F18</f>
        <v>ESTA</v>
      </c>
      <c r="I18" t="s">
        <v>5447</v>
      </c>
      <c r="J18" t="s">
        <v>5333</v>
      </c>
      <c r="M18" t="s">
        <v>4105</v>
      </c>
      <c r="T18" t="s">
        <v>10644</v>
      </c>
      <c r="AV18" t="s">
        <v>10707</v>
      </c>
    </row>
    <row r="19" spans="1:48" x14ac:dyDescent="0.45">
      <c r="A19" t="str">
        <f>'State Depts'!F19</f>
        <v>Estate Agents Council</v>
      </c>
      <c r="I19" t="s">
        <v>5448</v>
      </c>
      <c r="J19" t="s">
        <v>5334</v>
      </c>
      <c r="M19" t="s">
        <v>4106</v>
      </c>
      <c r="T19" t="s">
        <v>10041</v>
      </c>
      <c r="AV19" t="s">
        <v>3993</v>
      </c>
    </row>
    <row r="20" spans="1:48" x14ac:dyDescent="0.45">
      <c r="A20" t="str">
        <f>'State Depts'!F20</f>
        <v>Fire Rescue Victoria (FRV)</v>
      </c>
      <c r="I20" t="s">
        <v>5451</v>
      </c>
      <c r="J20" t="s">
        <v>5335</v>
      </c>
      <c r="M20" t="s">
        <v>4107</v>
      </c>
      <c r="T20" t="s">
        <v>10643</v>
      </c>
      <c r="AV20" t="s">
        <v>3995</v>
      </c>
    </row>
    <row r="21" spans="1:48" x14ac:dyDescent="0.45">
      <c r="A21" t="str">
        <f>'State Depts'!F21</f>
        <v>Firearms Appeals Committee</v>
      </c>
      <c r="I21" t="s">
        <v>5452</v>
      </c>
      <c r="J21" t="s">
        <v>5336</v>
      </c>
      <c r="M21" t="s">
        <v>4108</v>
      </c>
      <c r="T21" t="s">
        <v>10642</v>
      </c>
      <c r="AV21" t="s">
        <v>3996</v>
      </c>
    </row>
    <row r="22" spans="1:48" x14ac:dyDescent="0.45">
      <c r="A22" t="str">
        <f>'State Depts'!F22</f>
        <v>Honorary Justice Office</v>
      </c>
      <c r="I22" t="s">
        <v>3885</v>
      </c>
      <c r="J22" t="s">
        <v>5337</v>
      </c>
      <c r="M22" t="s">
        <v>4109</v>
      </c>
      <c r="T22" t="s">
        <v>10042</v>
      </c>
      <c r="AV22" t="s">
        <v>5380</v>
      </c>
    </row>
    <row r="23" spans="1:48" x14ac:dyDescent="0.45">
      <c r="A23" t="str">
        <f>'State Depts'!F23</f>
        <v>Judicial Entitlements Panel</v>
      </c>
      <c r="J23" t="s">
        <v>5338</v>
      </c>
      <c r="M23" t="s">
        <v>3980</v>
      </c>
      <c r="T23" t="s">
        <v>10641</v>
      </c>
      <c r="AV23" t="s">
        <v>3997</v>
      </c>
    </row>
    <row r="24" spans="1:48" x14ac:dyDescent="0.45">
      <c r="A24" t="str">
        <f>'State Depts'!F24</f>
        <v>Liquor Control Advisory Council</v>
      </c>
      <c r="J24" t="s">
        <v>5339</v>
      </c>
      <c r="M24" t="s">
        <v>4110</v>
      </c>
      <c r="T24" t="s">
        <v>10640</v>
      </c>
      <c r="AV24" t="s">
        <v>3998</v>
      </c>
    </row>
    <row r="25" spans="1:48" x14ac:dyDescent="0.45">
      <c r="A25" t="str">
        <f>'State Depts'!F25</f>
        <v>Local Government Investigations and Compliance Inspectorate</v>
      </c>
      <c r="J25" t="s">
        <v>5340</v>
      </c>
      <c r="M25" t="s">
        <v>4111</v>
      </c>
      <c r="T25" t="s">
        <v>10639</v>
      </c>
      <c r="AV25" t="s">
        <v>4002</v>
      </c>
    </row>
    <row r="26" spans="1:48" x14ac:dyDescent="0.45">
      <c r="A26" t="str">
        <f>'State Depts'!F26</f>
        <v>Metropolitan Fire And Emergency Services Appeals Commission</v>
      </c>
      <c r="J26" t="s">
        <v>5341</v>
      </c>
      <c r="M26" t="s">
        <v>4112</v>
      </c>
      <c r="T26" t="s">
        <v>10638</v>
      </c>
      <c r="AV26" t="s">
        <v>3999</v>
      </c>
    </row>
    <row r="27" spans="1:48" x14ac:dyDescent="0.45">
      <c r="A27" t="str">
        <f>'State Depts'!F27</f>
        <v>Ministerial Community Advisory Committee (Custodial Community Permit Program)</v>
      </c>
      <c r="J27" t="s">
        <v>5342</v>
      </c>
      <c r="M27" t="s">
        <v>4113</v>
      </c>
      <c r="T27" t="s">
        <v>10637</v>
      </c>
      <c r="AV27" t="s">
        <v>4000</v>
      </c>
    </row>
    <row r="28" spans="1:48" x14ac:dyDescent="0.45">
      <c r="A28" t="str">
        <f>'State Depts'!F28</f>
        <v>Motor Car Traders Claims Committee</v>
      </c>
      <c r="J28" t="s">
        <v>5343</v>
      </c>
      <c r="M28" t="s">
        <v>3975</v>
      </c>
      <c r="T28" t="s">
        <v>10636</v>
      </c>
      <c r="AV28" t="s">
        <v>10699</v>
      </c>
    </row>
    <row r="29" spans="1:48" x14ac:dyDescent="0.45">
      <c r="A29" t="str">
        <f>'State Depts'!F29</f>
        <v>Office Of Chief Examiner</v>
      </c>
      <c r="J29" t="s">
        <v>5344</v>
      </c>
      <c r="M29" t="s">
        <v>3974</v>
      </c>
      <c r="T29" t="s">
        <v>10635</v>
      </c>
      <c r="AV29" t="s">
        <v>4001</v>
      </c>
    </row>
    <row r="30" spans="1:48" x14ac:dyDescent="0.45">
      <c r="A30" t="str">
        <f>'State Depts'!F30</f>
        <v>Office Of Crown Counsel &amp; Advising</v>
      </c>
      <c r="J30" t="s">
        <v>5345</v>
      </c>
      <c r="M30" t="s">
        <v>3965</v>
      </c>
      <c r="T30" t="s">
        <v>10634</v>
      </c>
      <c r="AV30" t="s">
        <v>5398</v>
      </c>
    </row>
    <row r="31" spans="1:48" x14ac:dyDescent="0.45">
      <c r="A31" t="str">
        <f>'State Depts'!F31</f>
        <v>Office Of Public Prosecutions</v>
      </c>
      <c r="J31" t="s">
        <v>5346</v>
      </c>
      <c r="M31" t="s">
        <v>3973</v>
      </c>
      <c r="T31" t="s">
        <v>10043</v>
      </c>
      <c r="AV31" t="s">
        <v>4003</v>
      </c>
    </row>
    <row r="32" spans="1:48" x14ac:dyDescent="0.45">
      <c r="A32" t="str">
        <f>'State Depts'!F32</f>
        <v>Office of the Commissioner for Privacy and Data</v>
      </c>
      <c r="J32" t="s">
        <v>5347</v>
      </c>
      <c r="M32" t="s">
        <v>3972</v>
      </c>
      <c r="T32" t="s">
        <v>10633</v>
      </c>
      <c r="AV32" t="s">
        <v>4004</v>
      </c>
    </row>
    <row r="33" spans="1:48" x14ac:dyDescent="0.45">
      <c r="A33" t="str">
        <f>'State Depts'!F33</f>
        <v>Office of the Legal Services Commissioner</v>
      </c>
      <c r="J33" t="s">
        <v>5348</v>
      </c>
      <c r="M33" t="s">
        <v>3971</v>
      </c>
      <c r="T33" t="s">
        <v>10632</v>
      </c>
      <c r="AV33" t="s">
        <v>4005</v>
      </c>
    </row>
    <row r="34" spans="1:48" x14ac:dyDescent="0.45">
      <c r="A34" t="str">
        <f>'State Depts'!F34</f>
        <v>Office Of The Public Advocate</v>
      </c>
      <c r="J34" t="s">
        <v>5349</v>
      </c>
      <c r="M34" t="s">
        <v>3970</v>
      </c>
      <c r="T34" t="s">
        <v>10631</v>
      </c>
      <c r="AV34" t="s">
        <v>10708</v>
      </c>
    </row>
    <row r="35" spans="1:48" x14ac:dyDescent="0.45">
      <c r="A35" t="str">
        <f>'State Depts'!F35</f>
        <v>Office Of The Road Safety Camera Commissioner</v>
      </c>
      <c r="J35" t="s">
        <v>5350</v>
      </c>
      <c r="M35" t="s">
        <v>3969</v>
      </c>
      <c r="T35" t="s">
        <v>10044</v>
      </c>
      <c r="AV35" t="s">
        <v>4006</v>
      </c>
    </row>
    <row r="36" spans="1:48" x14ac:dyDescent="0.45">
      <c r="A36" t="str">
        <f>'State Depts'!F36</f>
        <v>Police Registration And Services Board</v>
      </c>
      <c r="J36" t="s">
        <v>5351</v>
      </c>
      <c r="M36" t="s">
        <v>3968</v>
      </c>
      <c r="T36" t="s">
        <v>10045</v>
      </c>
      <c r="AV36" t="s">
        <v>4007</v>
      </c>
    </row>
    <row r="37" spans="1:48" x14ac:dyDescent="0.45">
      <c r="A37" t="str">
        <f>'State Depts'!F37</f>
        <v>Racing Victoria</v>
      </c>
      <c r="J37" t="s">
        <v>5352</v>
      </c>
      <c r="M37" t="s">
        <v>3967</v>
      </c>
      <c r="T37" t="s">
        <v>10630</v>
      </c>
      <c r="AV37" t="s">
        <v>4009</v>
      </c>
    </row>
    <row r="38" spans="1:48" x14ac:dyDescent="0.45">
      <c r="A38" t="str">
        <f>'State Depts'!F38</f>
        <v>Reference Group - Road Safety Camera Commissioner</v>
      </c>
      <c r="J38" t="s">
        <v>10629</v>
      </c>
      <c r="M38" t="s">
        <v>3966</v>
      </c>
      <c r="T38" t="s">
        <v>10628</v>
      </c>
      <c r="AV38" t="s">
        <v>4008</v>
      </c>
    </row>
    <row r="39" spans="1:48" x14ac:dyDescent="0.45">
      <c r="A39" t="str">
        <f>'State Depts'!F39</f>
        <v>Responsible Gambling Ministerial Advisory Council</v>
      </c>
      <c r="J39" t="s">
        <v>5353</v>
      </c>
      <c r="T39" t="s">
        <v>10627</v>
      </c>
      <c r="AV39" t="s">
        <v>4010</v>
      </c>
    </row>
    <row r="40" spans="1:48" x14ac:dyDescent="0.45">
      <c r="A40" t="str">
        <f>'State Depts'!F40</f>
        <v>Road Safety Camera Commissioner</v>
      </c>
      <c r="J40" t="s">
        <v>5354</v>
      </c>
      <c r="T40" t="s">
        <v>10626</v>
      </c>
      <c r="AV40" t="s">
        <v>4011</v>
      </c>
    </row>
    <row r="41" spans="1:48" x14ac:dyDescent="0.45">
      <c r="A41" t="str">
        <f>'State Depts'!F41</f>
        <v>Sentencing Advisory Council</v>
      </c>
      <c r="J41" t="s">
        <v>5355</v>
      </c>
      <c r="T41" t="s">
        <v>10625</v>
      </c>
      <c r="AV41" t="s">
        <v>4012</v>
      </c>
    </row>
    <row r="42" spans="1:48" x14ac:dyDescent="0.45">
      <c r="A42" t="str">
        <f>'State Depts'!F42</f>
        <v>SES</v>
      </c>
      <c r="J42" t="s">
        <v>5356</v>
      </c>
      <c r="T42" t="s">
        <v>10046</v>
      </c>
      <c r="AV42" t="s">
        <v>10709</v>
      </c>
    </row>
    <row r="43" spans="1:48" x14ac:dyDescent="0.45">
      <c r="A43" t="str">
        <f>'State Depts'!F43</f>
        <v>Sex Work Ministerial Advisory Committee</v>
      </c>
      <c r="J43" t="s">
        <v>5358</v>
      </c>
      <c r="T43" t="s">
        <v>10624</v>
      </c>
      <c r="AV43" t="s">
        <v>4013</v>
      </c>
    </row>
    <row r="44" spans="1:48" x14ac:dyDescent="0.45">
      <c r="A44" t="str">
        <f>'State Depts'!F44</f>
        <v>Solicitor-General Of Victoria</v>
      </c>
      <c r="J44" t="s">
        <v>5359</v>
      </c>
      <c r="T44" t="s">
        <v>10623</v>
      </c>
      <c r="AV44" t="s">
        <v>4015</v>
      </c>
    </row>
    <row r="45" spans="1:48" x14ac:dyDescent="0.45">
      <c r="A45" t="str">
        <f>'State Depts'!F45</f>
        <v>Victims Of Crime Consultative Committee</v>
      </c>
      <c r="J45" t="s">
        <v>5360</v>
      </c>
      <c r="T45" t="s">
        <v>10622</v>
      </c>
      <c r="AV45" t="s">
        <v>4016</v>
      </c>
    </row>
    <row r="46" spans="1:48" x14ac:dyDescent="0.45">
      <c r="A46" t="str">
        <f>'State Depts'!F46</f>
        <v>Victoria Law Foundation</v>
      </c>
      <c r="J46" t="s">
        <v>5361</v>
      </c>
      <c r="T46" t="s">
        <v>10047</v>
      </c>
      <c r="AV46" t="s">
        <v>4014</v>
      </c>
    </row>
    <row r="47" spans="1:48" x14ac:dyDescent="0.45">
      <c r="A47" t="str">
        <f>'State Depts'!F47</f>
        <v>Victoria Legal Aid</v>
      </c>
      <c r="J47" t="s">
        <v>5362</v>
      </c>
      <c r="T47" t="s">
        <v>10621</v>
      </c>
      <c r="AV47" t="s">
        <v>4017</v>
      </c>
    </row>
    <row r="48" spans="1:48" x14ac:dyDescent="0.45">
      <c r="A48" t="str">
        <f>'State Depts'!F48</f>
        <v>Victoria Police</v>
      </c>
      <c r="J48" t="s">
        <v>5363</v>
      </c>
      <c r="T48" t="s">
        <v>10620</v>
      </c>
      <c r="AV48" t="s">
        <v>4018</v>
      </c>
    </row>
    <row r="49" spans="1:48" x14ac:dyDescent="0.45">
      <c r="A49" t="str">
        <f>'State Depts'!F49</f>
        <v>Victorian Asbestos Eradication Agency (VAEA)</v>
      </c>
      <c r="J49" t="s">
        <v>5364</v>
      </c>
      <c r="T49" t="s">
        <v>10619</v>
      </c>
      <c r="AV49" t="s">
        <v>4019</v>
      </c>
    </row>
    <row r="50" spans="1:48" x14ac:dyDescent="0.45">
      <c r="A50" t="str">
        <f>'State Depts'!F50</f>
        <v>Victorian Civil and Administrative Tribunal (VCAT)</v>
      </c>
      <c r="J50" t="s">
        <v>5365</v>
      </c>
      <c r="T50" t="s">
        <v>10618</v>
      </c>
      <c r="AV50" t="s">
        <v>10710</v>
      </c>
    </row>
    <row r="51" spans="1:48" x14ac:dyDescent="0.45">
      <c r="A51" t="str">
        <f>'State Depts'!F51</f>
        <v>Victorian Commission For Gambling And Liquor Regulation</v>
      </c>
      <c r="J51" t="s">
        <v>5366</v>
      </c>
      <c r="T51" t="s">
        <v>10048</v>
      </c>
      <c r="AV51" t="s">
        <v>4020</v>
      </c>
    </row>
    <row r="52" spans="1:48" x14ac:dyDescent="0.45">
      <c r="A52" t="str">
        <f>'State Depts'!F52</f>
        <v>Victorian Emergency Management Institute</v>
      </c>
      <c r="J52" t="s">
        <v>5367</v>
      </c>
      <c r="T52" t="s">
        <v>10049</v>
      </c>
      <c r="AV52" t="s">
        <v>10711</v>
      </c>
    </row>
    <row r="53" spans="1:48" x14ac:dyDescent="0.45">
      <c r="A53" t="str">
        <f>'State Depts'!F53</f>
        <v>Victorian Equal Opportunity And Human Rights Commission</v>
      </c>
      <c r="J53" t="s">
        <v>5368</v>
      </c>
      <c r="T53" t="s">
        <v>10617</v>
      </c>
      <c r="AV53" t="s">
        <v>4021</v>
      </c>
    </row>
    <row r="54" spans="1:48" x14ac:dyDescent="0.45">
      <c r="A54" t="str">
        <f>'State Depts'!F54</f>
        <v>Victorian Government Solicitor</v>
      </c>
      <c r="J54" t="s">
        <v>10616</v>
      </c>
      <c r="T54" t="s">
        <v>10615</v>
      </c>
      <c r="AV54" t="s">
        <v>4022</v>
      </c>
    </row>
    <row r="55" spans="1:48" x14ac:dyDescent="0.45">
      <c r="A55" t="str">
        <f>'State Depts'!F55</f>
        <v>Victorian Law Reform Commission</v>
      </c>
      <c r="J55" t="s">
        <v>5369</v>
      </c>
      <c r="T55" t="s">
        <v>10614</v>
      </c>
      <c r="AV55" t="s">
        <v>4023</v>
      </c>
    </row>
    <row r="56" spans="1:48" x14ac:dyDescent="0.45">
      <c r="A56" t="str">
        <f>'State Depts'!F56</f>
        <v>Victorian Legal Admissions Board</v>
      </c>
      <c r="J56" t="s">
        <v>5370</v>
      </c>
      <c r="T56" t="s">
        <v>10613</v>
      </c>
      <c r="AV56" t="s">
        <v>4024</v>
      </c>
    </row>
    <row r="57" spans="1:48" x14ac:dyDescent="0.45">
      <c r="A57" t="str">
        <f>'State Depts'!F57</f>
        <v>Victorian Legal Services Board</v>
      </c>
      <c r="J57" t="s">
        <v>5371</v>
      </c>
      <c r="T57" t="s">
        <v>10612</v>
      </c>
      <c r="AV57" t="s">
        <v>10712</v>
      </c>
    </row>
    <row r="58" spans="1:48" x14ac:dyDescent="0.45">
      <c r="A58" t="str">
        <f>'State Depts'!F58</f>
        <v>Victorian Legal Services Commissioner</v>
      </c>
      <c r="J58" t="s">
        <v>5372</v>
      </c>
      <c r="T58" t="s">
        <v>10611</v>
      </c>
      <c r="AV58" t="s">
        <v>4025</v>
      </c>
    </row>
    <row r="59" spans="1:48" x14ac:dyDescent="0.45">
      <c r="A59" t="str">
        <f>'State Depts'!F59</f>
        <v>Victorian Responsible Gambling Foundation</v>
      </c>
      <c r="J59" t="s">
        <v>5373</v>
      </c>
      <c r="T59" t="s">
        <v>10610</v>
      </c>
      <c r="AV59" t="s">
        <v>4026</v>
      </c>
    </row>
    <row r="60" spans="1:48" x14ac:dyDescent="0.45">
      <c r="A60" t="str">
        <f>'State Depts'!F60</f>
        <v>VIFM</v>
      </c>
      <c r="J60" t="s">
        <v>3956</v>
      </c>
      <c r="T60" t="s">
        <v>10609</v>
      </c>
      <c r="AV60" t="s">
        <v>4027</v>
      </c>
    </row>
    <row r="61" spans="1:48" x14ac:dyDescent="0.45">
      <c r="A61" t="str">
        <f>'State Depts'!F61</f>
        <v>WorkSafe Victoria (WSV)</v>
      </c>
      <c r="J61" t="s">
        <v>5374</v>
      </c>
      <c r="T61" t="s">
        <v>10608</v>
      </c>
      <c r="AV61" t="s">
        <v>10713</v>
      </c>
    </row>
    <row r="62" spans="1:48" x14ac:dyDescent="0.45">
      <c r="J62" t="s">
        <v>5375</v>
      </c>
      <c r="T62" t="s">
        <v>10607</v>
      </c>
      <c r="AV62" t="s">
        <v>10714</v>
      </c>
    </row>
    <row r="63" spans="1:48" x14ac:dyDescent="0.45">
      <c r="J63" t="s">
        <v>5376</v>
      </c>
      <c r="T63" t="s">
        <v>10050</v>
      </c>
      <c r="AV63" t="s">
        <v>4028</v>
      </c>
    </row>
    <row r="64" spans="1:48" x14ac:dyDescent="0.45">
      <c r="J64" t="s">
        <v>5377</v>
      </c>
      <c r="T64" t="s">
        <v>10606</v>
      </c>
      <c r="AV64" t="s">
        <v>4029</v>
      </c>
    </row>
    <row r="65" spans="10:48" x14ac:dyDescent="0.45">
      <c r="J65" t="s">
        <v>5378</v>
      </c>
      <c r="T65" t="s">
        <v>10605</v>
      </c>
      <c r="AV65" t="s">
        <v>10715</v>
      </c>
    </row>
    <row r="66" spans="10:48" x14ac:dyDescent="0.45">
      <c r="J66" t="s">
        <v>5379</v>
      </c>
      <c r="T66" t="s">
        <v>10604</v>
      </c>
      <c r="AV66" t="s">
        <v>10716</v>
      </c>
    </row>
    <row r="67" spans="10:48" x14ac:dyDescent="0.45">
      <c r="J67" t="s">
        <v>5381</v>
      </c>
      <c r="AV67" t="s">
        <v>4030</v>
      </c>
    </row>
    <row r="68" spans="10:48" x14ac:dyDescent="0.45">
      <c r="J68" t="s">
        <v>5382</v>
      </c>
      <c r="AV68" t="s">
        <v>10697</v>
      </c>
    </row>
    <row r="69" spans="10:48" x14ac:dyDescent="0.45">
      <c r="J69" t="s">
        <v>5383</v>
      </c>
      <c r="AV69" t="s">
        <v>4031</v>
      </c>
    </row>
    <row r="70" spans="10:48" x14ac:dyDescent="0.45">
      <c r="J70" t="s">
        <v>5384</v>
      </c>
      <c r="AV70" t="s">
        <v>10717</v>
      </c>
    </row>
    <row r="71" spans="10:48" x14ac:dyDescent="0.45">
      <c r="J71" t="s">
        <v>5385</v>
      </c>
      <c r="AV71" t="s">
        <v>4032</v>
      </c>
    </row>
    <row r="72" spans="10:48" x14ac:dyDescent="0.45">
      <c r="J72" t="s">
        <v>5386</v>
      </c>
      <c r="AV72" t="s">
        <v>4033</v>
      </c>
    </row>
    <row r="73" spans="10:48" x14ac:dyDescent="0.45">
      <c r="J73" t="s">
        <v>5387</v>
      </c>
      <c r="AV73" t="s">
        <v>10698</v>
      </c>
    </row>
    <row r="74" spans="10:48" x14ac:dyDescent="0.45">
      <c r="J74" t="s">
        <v>5388</v>
      </c>
      <c r="AV74" t="s">
        <v>4034</v>
      </c>
    </row>
    <row r="75" spans="10:48" x14ac:dyDescent="0.45">
      <c r="J75" t="s">
        <v>5389</v>
      </c>
      <c r="AV75" t="s">
        <v>4035</v>
      </c>
    </row>
    <row r="76" spans="10:48" x14ac:dyDescent="0.45">
      <c r="J76" t="s">
        <v>5390</v>
      </c>
      <c r="AV76" t="s">
        <v>4036</v>
      </c>
    </row>
    <row r="77" spans="10:48" x14ac:dyDescent="0.45">
      <c r="J77" t="s">
        <v>5391</v>
      </c>
      <c r="AV77" t="s">
        <v>4037</v>
      </c>
    </row>
    <row r="78" spans="10:48" x14ac:dyDescent="0.45">
      <c r="J78" t="s">
        <v>5392</v>
      </c>
      <c r="AV78" t="s">
        <v>10718</v>
      </c>
    </row>
    <row r="79" spans="10:48" x14ac:dyDescent="0.45">
      <c r="J79" t="s">
        <v>5393</v>
      </c>
      <c r="AV79" t="s">
        <v>10719</v>
      </c>
    </row>
    <row r="80" spans="10:48" x14ac:dyDescent="0.45">
      <c r="J80" t="s">
        <v>5394</v>
      </c>
      <c r="AV80" t="s">
        <v>4038</v>
      </c>
    </row>
    <row r="81" spans="10:48" x14ac:dyDescent="0.45">
      <c r="J81" t="s">
        <v>5395</v>
      </c>
      <c r="AV81" t="s">
        <v>10720</v>
      </c>
    </row>
    <row r="82" spans="10:48" x14ac:dyDescent="0.45">
      <c r="J82" t="s">
        <v>5396</v>
      </c>
      <c r="AV82" t="s">
        <v>4039</v>
      </c>
    </row>
    <row r="83" spans="10:48" x14ac:dyDescent="0.45">
      <c r="J83" t="s">
        <v>5397</v>
      </c>
      <c r="AV83" t="s">
        <v>10721</v>
      </c>
    </row>
    <row r="84" spans="10:48" x14ac:dyDescent="0.45">
      <c r="J84" t="s">
        <v>5399</v>
      </c>
      <c r="AV84" t="s">
        <v>4040</v>
      </c>
    </row>
    <row r="85" spans="10:48" x14ac:dyDescent="0.45">
      <c r="J85" t="s">
        <v>5400</v>
      </c>
      <c r="AV85" t="s">
        <v>4041</v>
      </c>
    </row>
    <row r="86" spans="10:48" x14ac:dyDescent="0.45">
      <c r="J86" t="s">
        <v>5401</v>
      </c>
      <c r="AV86" t="s">
        <v>4042</v>
      </c>
    </row>
    <row r="87" spans="10:48" x14ac:dyDescent="0.45">
      <c r="J87" t="s">
        <v>5402</v>
      </c>
      <c r="AV87" t="s">
        <v>4043</v>
      </c>
    </row>
    <row r="88" spans="10:48" x14ac:dyDescent="0.45">
      <c r="J88" t="s">
        <v>5403</v>
      </c>
      <c r="AV88" t="s">
        <v>10696</v>
      </c>
    </row>
    <row r="89" spans="10:48" x14ac:dyDescent="0.45">
      <c r="J89" t="s">
        <v>5404</v>
      </c>
      <c r="AV89" t="s">
        <v>10722</v>
      </c>
    </row>
    <row r="90" spans="10:48" x14ac:dyDescent="0.45">
      <c r="J90" t="s">
        <v>5405</v>
      </c>
      <c r="AV90" t="s">
        <v>10723</v>
      </c>
    </row>
    <row r="91" spans="10:48" x14ac:dyDescent="0.45">
      <c r="J91" t="s">
        <v>5406</v>
      </c>
      <c r="AV91" t="s">
        <v>4044</v>
      </c>
    </row>
    <row r="92" spans="10:48" x14ac:dyDescent="0.45">
      <c r="J92" t="s">
        <v>5407</v>
      </c>
      <c r="AV92" t="s">
        <v>4045</v>
      </c>
    </row>
    <row r="93" spans="10:48" x14ac:dyDescent="0.45">
      <c r="J93" t="s">
        <v>5408</v>
      </c>
      <c r="AV93" t="s">
        <v>4046</v>
      </c>
    </row>
    <row r="94" spans="10:48" x14ac:dyDescent="0.45">
      <c r="J94" t="s">
        <v>5409</v>
      </c>
      <c r="AV94" t="s">
        <v>4047</v>
      </c>
    </row>
    <row r="95" spans="10:48" x14ac:dyDescent="0.45">
      <c r="J95" t="s">
        <v>5410</v>
      </c>
      <c r="AV95" t="s">
        <v>10724</v>
      </c>
    </row>
    <row r="96" spans="10:48" x14ac:dyDescent="0.45">
      <c r="J96" t="s">
        <v>5411</v>
      </c>
      <c r="AV96" t="s">
        <v>4048</v>
      </c>
    </row>
    <row r="97" spans="10:48" x14ac:dyDescent="0.45">
      <c r="J97" t="s">
        <v>5412</v>
      </c>
      <c r="AV97" t="s">
        <v>4049</v>
      </c>
    </row>
    <row r="98" spans="10:48" x14ac:dyDescent="0.45">
      <c r="J98" t="s">
        <v>5413</v>
      </c>
      <c r="AV98" t="s">
        <v>4050</v>
      </c>
    </row>
    <row r="99" spans="10:48" x14ac:dyDescent="0.45">
      <c r="J99" t="s">
        <v>5414</v>
      </c>
      <c r="AV99" t="s">
        <v>10725</v>
      </c>
    </row>
    <row r="100" spans="10:48" x14ac:dyDescent="0.45">
      <c r="J100" t="s">
        <v>5415</v>
      </c>
      <c r="AV100" t="s">
        <v>4051</v>
      </c>
    </row>
    <row r="101" spans="10:48" x14ac:dyDescent="0.45">
      <c r="J101" t="s">
        <v>5416</v>
      </c>
      <c r="AV101" t="s">
        <v>4052</v>
      </c>
    </row>
    <row r="102" spans="10:48" x14ac:dyDescent="0.45">
      <c r="J102" t="s">
        <v>5417</v>
      </c>
      <c r="AV102" t="s">
        <v>4053</v>
      </c>
    </row>
    <row r="103" spans="10:48" x14ac:dyDescent="0.45">
      <c r="J103" t="s">
        <v>5418</v>
      </c>
      <c r="AV103" t="s">
        <v>10726</v>
      </c>
    </row>
    <row r="104" spans="10:48" x14ac:dyDescent="0.45">
      <c r="J104" t="s">
        <v>5419</v>
      </c>
      <c r="AV104" t="s">
        <v>4054</v>
      </c>
    </row>
    <row r="105" spans="10:48" x14ac:dyDescent="0.45">
      <c r="J105" t="s">
        <v>5420</v>
      </c>
      <c r="AV105" t="s">
        <v>10727</v>
      </c>
    </row>
    <row r="106" spans="10:48" x14ac:dyDescent="0.45">
      <c r="J106" t="s">
        <v>10603</v>
      </c>
      <c r="AV106" t="s">
        <v>4055</v>
      </c>
    </row>
    <row r="107" spans="10:48" x14ac:dyDescent="0.45">
      <c r="J107" t="s">
        <v>5421</v>
      </c>
      <c r="AV107" t="s">
        <v>10728</v>
      </c>
    </row>
    <row r="108" spans="10:48" x14ac:dyDescent="0.45">
      <c r="J108" t="s">
        <v>5422</v>
      </c>
      <c r="AV108" t="s">
        <v>10729</v>
      </c>
    </row>
    <row r="109" spans="10:48" x14ac:dyDescent="0.45">
      <c r="J109" t="s">
        <v>5423</v>
      </c>
      <c r="AV109" t="s">
        <v>10730</v>
      </c>
    </row>
    <row r="110" spans="10:48" x14ac:dyDescent="0.45">
      <c r="J110" t="s">
        <v>5424</v>
      </c>
      <c r="AV110" t="s">
        <v>4056</v>
      </c>
    </row>
    <row r="111" spans="10:48" x14ac:dyDescent="0.45">
      <c r="J111" t="s">
        <v>5425</v>
      </c>
      <c r="AV111" t="s">
        <v>10731</v>
      </c>
    </row>
    <row r="112" spans="10:48" x14ac:dyDescent="0.45">
      <c r="J112" t="s">
        <v>5426</v>
      </c>
      <c r="AV112" t="s">
        <v>4057</v>
      </c>
    </row>
    <row r="113" spans="10:48" x14ac:dyDescent="0.45">
      <c r="J113" t="s">
        <v>5427</v>
      </c>
      <c r="AV113" t="s">
        <v>4058</v>
      </c>
    </row>
    <row r="114" spans="10:48" x14ac:dyDescent="0.45">
      <c r="J114" t="s">
        <v>5428</v>
      </c>
      <c r="AV114" t="s">
        <v>4059</v>
      </c>
    </row>
    <row r="115" spans="10:48" x14ac:dyDescent="0.45">
      <c r="J115" t="s">
        <v>5429</v>
      </c>
      <c r="AV115" t="s">
        <v>4060</v>
      </c>
    </row>
    <row r="116" spans="10:48" x14ac:dyDescent="0.45">
      <c r="J116" t="s">
        <v>5430</v>
      </c>
      <c r="AV116" t="s">
        <v>4061</v>
      </c>
    </row>
    <row r="117" spans="10:48" x14ac:dyDescent="0.45">
      <c r="J117" t="s">
        <v>5432</v>
      </c>
      <c r="AV117" t="s">
        <v>10732</v>
      </c>
    </row>
    <row r="118" spans="10:48" x14ac:dyDescent="0.45">
      <c r="J118" t="s">
        <v>5433</v>
      </c>
      <c r="AV118" t="s">
        <v>10733</v>
      </c>
    </row>
    <row r="119" spans="10:48" x14ac:dyDescent="0.45">
      <c r="J119" t="s">
        <v>5434</v>
      </c>
      <c r="AV119" t="s">
        <v>10734</v>
      </c>
    </row>
    <row r="120" spans="10:48" x14ac:dyDescent="0.45">
      <c r="J120" t="s">
        <v>5435</v>
      </c>
      <c r="AV120" t="s">
        <v>4062</v>
      </c>
    </row>
    <row r="121" spans="10:48" x14ac:dyDescent="0.45">
      <c r="J121" t="s">
        <v>5436</v>
      </c>
      <c r="AV121" t="s">
        <v>4063</v>
      </c>
    </row>
    <row r="122" spans="10:48" x14ac:dyDescent="0.45">
      <c r="J122" t="s">
        <v>5437</v>
      </c>
      <c r="AV122" t="s">
        <v>4073</v>
      </c>
    </row>
    <row r="123" spans="10:48" x14ac:dyDescent="0.45">
      <c r="J123" t="s">
        <v>5438</v>
      </c>
      <c r="AV123" t="s">
        <v>4064</v>
      </c>
    </row>
    <row r="124" spans="10:48" x14ac:dyDescent="0.45">
      <c r="J124" t="s">
        <v>5439</v>
      </c>
      <c r="AV124" t="s">
        <v>4065</v>
      </c>
    </row>
    <row r="125" spans="10:48" x14ac:dyDescent="0.45">
      <c r="J125" t="s">
        <v>5440</v>
      </c>
      <c r="AV125" t="s">
        <v>10735</v>
      </c>
    </row>
    <row r="126" spans="10:48" x14ac:dyDescent="0.45">
      <c r="J126" t="s">
        <v>10602</v>
      </c>
      <c r="AV126" t="s">
        <v>4066</v>
      </c>
    </row>
    <row r="127" spans="10:48" x14ac:dyDescent="0.45">
      <c r="J127" t="s">
        <v>10601</v>
      </c>
      <c r="AV127" t="s">
        <v>10736</v>
      </c>
    </row>
    <row r="128" spans="10:48" x14ac:dyDescent="0.45">
      <c r="J128" t="s">
        <v>10600</v>
      </c>
      <c r="AV128" t="s">
        <v>4067</v>
      </c>
    </row>
    <row r="129" spans="10:48" x14ac:dyDescent="0.45">
      <c r="J129" t="s">
        <v>10599</v>
      </c>
      <c r="AV129" t="s">
        <v>5956</v>
      </c>
    </row>
    <row r="130" spans="10:48" x14ac:dyDescent="0.45">
      <c r="J130" t="s">
        <v>10598</v>
      </c>
      <c r="AV130" t="s">
        <v>4068</v>
      </c>
    </row>
    <row r="131" spans="10:48" x14ac:dyDescent="0.45">
      <c r="J131" t="s">
        <v>10597</v>
      </c>
      <c r="AV131" t="s">
        <v>4069</v>
      </c>
    </row>
    <row r="132" spans="10:48" x14ac:dyDescent="0.45">
      <c r="J132" t="s">
        <v>10596</v>
      </c>
      <c r="AV132" t="s">
        <v>4070</v>
      </c>
    </row>
    <row r="133" spans="10:48" x14ac:dyDescent="0.45">
      <c r="J133" t="s">
        <v>10595</v>
      </c>
      <c r="AV133" t="s">
        <v>4071</v>
      </c>
    </row>
    <row r="134" spans="10:48" x14ac:dyDescent="0.45">
      <c r="J134" t="s">
        <v>10594</v>
      </c>
      <c r="AV134" t="s">
        <v>4072</v>
      </c>
    </row>
    <row r="135" spans="10:48" x14ac:dyDescent="0.45">
      <c r="J135" t="s">
        <v>10593</v>
      </c>
      <c r="AV135" t="s">
        <v>10737</v>
      </c>
    </row>
    <row r="136" spans="10:48" x14ac:dyDescent="0.45">
      <c r="J136" t="s">
        <v>10592</v>
      </c>
      <c r="AV136" t="s">
        <v>4098</v>
      </c>
    </row>
    <row r="137" spans="10:48" x14ac:dyDescent="0.45">
      <c r="J137" t="s">
        <v>10591</v>
      </c>
      <c r="AV137" t="s">
        <v>4074</v>
      </c>
    </row>
    <row r="138" spans="10:48" x14ac:dyDescent="0.45">
      <c r="J138" t="s">
        <v>10590</v>
      </c>
      <c r="AV138" t="s">
        <v>4075</v>
      </c>
    </row>
    <row r="139" spans="10:48" x14ac:dyDescent="0.45">
      <c r="J139" t="s">
        <v>10589</v>
      </c>
      <c r="AV139" t="s">
        <v>4077</v>
      </c>
    </row>
    <row r="140" spans="10:48" x14ac:dyDescent="0.45">
      <c r="J140" t="s">
        <v>10588</v>
      </c>
      <c r="AV140" t="s">
        <v>10694</v>
      </c>
    </row>
    <row r="141" spans="10:48" x14ac:dyDescent="0.45">
      <c r="J141" t="s">
        <v>10587</v>
      </c>
      <c r="AV141" t="s">
        <v>4078</v>
      </c>
    </row>
    <row r="142" spans="10:48" x14ac:dyDescent="0.45">
      <c r="J142" t="s">
        <v>10586</v>
      </c>
      <c r="AV142" t="s">
        <v>4079</v>
      </c>
    </row>
    <row r="143" spans="10:48" x14ac:dyDescent="0.45">
      <c r="J143" t="s">
        <v>10585</v>
      </c>
      <c r="AV143" t="s">
        <v>4076</v>
      </c>
    </row>
    <row r="144" spans="10:48" x14ac:dyDescent="0.45">
      <c r="J144" t="s">
        <v>10584</v>
      </c>
      <c r="AV144" t="s">
        <v>4080</v>
      </c>
    </row>
    <row r="145" spans="10:48" x14ac:dyDescent="0.45">
      <c r="J145" t="s">
        <v>10583</v>
      </c>
      <c r="AV145" t="s">
        <v>4081</v>
      </c>
    </row>
    <row r="146" spans="10:48" x14ac:dyDescent="0.45">
      <c r="J146" t="s">
        <v>10582</v>
      </c>
      <c r="AV146" t="s">
        <v>4082</v>
      </c>
    </row>
    <row r="147" spans="10:48" x14ac:dyDescent="0.45">
      <c r="J147" t="s">
        <v>10581</v>
      </c>
      <c r="AV147" t="s">
        <v>4083</v>
      </c>
    </row>
    <row r="148" spans="10:48" x14ac:dyDescent="0.45">
      <c r="J148" t="s">
        <v>10580</v>
      </c>
      <c r="AV148" t="s">
        <v>4084</v>
      </c>
    </row>
    <row r="149" spans="10:48" x14ac:dyDescent="0.45">
      <c r="J149" t="s">
        <v>10579</v>
      </c>
      <c r="AV149" t="s">
        <v>4085</v>
      </c>
    </row>
    <row r="150" spans="10:48" x14ac:dyDescent="0.45">
      <c r="J150" t="s">
        <v>10578</v>
      </c>
      <c r="AV150" t="s">
        <v>4086</v>
      </c>
    </row>
    <row r="151" spans="10:48" x14ac:dyDescent="0.45">
      <c r="J151" t="s">
        <v>10577</v>
      </c>
      <c r="AV151" t="s">
        <v>4087</v>
      </c>
    </row>
    <row r="152" spans="10:48" x14ac:dyDescent="0.45">
      <c r="J152" t="s">
        <v>10576</v>
      </c>
      <c r="AV152" t="s">
        <v>4088</v>
      </c>
    </row>
    <row r="153" spans="10:48" x14ac:dyDescent="0.45">
      <c r="J153" t="s">
        <v>10575</v>
      </c>
      <c r="AV153" t="s">
        <v>10695</v>
      </c>
    </row>
    <row r="154" spans="10:48" x14ac:dyDescent="0.45">
      <c r="J154" t="s">
        <v>10574</v>
      </c>
      <c r="AV154" t="s">
        <v>10738</v>
      </c>
    </row>
    <row r="155" spans="10:48" x14ac:dyDescent="0.45">
      <c r="J155" t="s">
        <v>10573</v>
      </c>
      <c r="AV155" t="s">
        <v>10739</v>
      </c>
    </row>
    <row r="156" spans="10:48" x14ac:dyDescent="0.45">
      <c r="J156" t="s">
        <v>10572</v>
      </c>
      <c r="AV156" t="s">
        <v>4089</v>
      </c>
    </row>
    <row r="157" spans="10:48" x14ac:dyDescent="0.45">
      <c r="J157" t="s">
        <v>10571</v>
      </c>
      <c r="AV157" t="s">
        <v>10746</v>
      </c>
    </row>
    <row r="158" spans="10:48" x14ac:dyDescent="0.45">
      <c r="J158" t="s">
        <v>10570</v>
      </c>
      <c r="AV158" t="s">
        <v>4090</v>
      </c>
    </row>
    <row r="159" spans="10:48" x14ac:dyDescent="0.45">
      <c r="J159" t="s">
        <v>10569</v>
      </c>
      <c r="AV159" t="s">
        <v>4091</v>
      </c>
    </row>
    <row r="160" spans="10:48" x14ac:dyDescent="0.45">
      <c r="J160" t="s">
        <v>10568</v>
      </c>
      <c r="AV160" t="s">
        <v>3983</v>
      </c>
    </row>
    <row r="161" spans="10:48" x14ac:dyDescent="0.45">
      <c r="J161" t="s">
        <v>10567</v>
      </c>
      <c r="AV161" t="s">
        <v>10700</v>
      </c>
    </row>
    <row r="162" spans="10:48" x14ac:dyDescent="0.45">
      <c r="J162" t="s">
        <v>10566</v>
      </c>
      <c r="AV162" t="s">
        <v>4092</v>
      </c>
    </row>
    <row r="163" spans="10:48" x14ac:dyDescent="0.45">
      <c r="J163" t="s">
        <v>10565</v>
      </c>
      <c r="AV163" t="s">
        <v>10740</v>
      </c>
    </row>
    <row r="164" spans="10:48" x14ac:dyDescent="0.45">
      <c r="J164" t="s">
        <v>10564</v>
      </c>
      <c r="AV164" t="s">
        <v>10741</v>
      </c>
    </row>
    <row r="165" spans="10:48" x14ac:dyDescent="0.45">
      <c r="J165" t="s">
        <v>10563</v>
      </c>
      <c r="AV165" t="s">
        <v>4093</v>
      </c>
    </row>
    <row r="166" spans="10:48" x14ac:dyDescent="0.45">
      <c r="J166" t="s">
        <v>10562</v>
      </c>
      <c r="AV166" t="s">
        <v>10742</v>
      </c>
    </row>
    <row r="167" spans="10:48" x14ac:dyDescent="0.45">
      <c r="J167" t="s">
        <v>10561</v>
      </c>
      <c r="AV167" t="s">
        <v>10743</v>
      </c>
    </row>
    <row r="168" spans="10:48" x14ac:dyDescent="0.45">
      <c r="J168" t="s">
        <v>10560</v>
      </c>
      <c r="AV168" t="s">
        <v>10744</v>
      </c>
    </row>
    <row r="169" spans="10:48" x14ac:dyDescent="0.45">
      <c r="J169" t="s">
        <v>10559</v>
      </c>
      <c r="AV169" t="s">
        <v>10747</v>
      </c>
    </row>
    <row r="170" spans="10:48" x14ac:dyDescent="0.45">
      <c r="J170" t="s">
        <v>10558</v>
      </c>
      <c r="AV170" t="s">
        <v>4094</v>
      </c>
    </row>
    <row r="171" spans="10:48" x14ac:dyDescent="0.45">
      <c r="J171" t="s">
        <v>10557</v>
      </c>
      <c r="AV171" t="s">
        <v>4095</v>
      </c>
    </row>
    <row r="172" spans="10:48" x14ac:dyDescent="0.45">
      <c r="J172" t="s">
        <v>10556</v>
      </c>
      <c r="AV172" t="s">
        <v>4096</v>
      </c>
    </row>
    <row r="173" spans="10:48" x14ac:dyDescent="0.45">
      <c r="J173" t="s">
        <v>10555</v>
      </c>
      <c r="AV173" t="s">
        <v>10748</v>
      </c>
    </row>
    <row r="174" spans="10:48" x14ac:dyDescent="0.45">
      <c r="J174" t="s">
        <v>10554</v>
      </c>
      <c r="AV174" t="s">
        <v>10749</v>
      </c>
    </row>
    <row r="175" spans="10:48" x14ac:dyDescent="0.45">
      <c r="J175" t="s">
        <v>10553</v>
      </c>
      <c r="AV175" t="s">
        <v>4097</v>
      </c>
    </row>
    <row r="176" spans="10:48" x14ac:dyDescent="0.45">
      <c r="J176" t="s">
        <v>5834</v>
      </c>
    </row>
    <row r="177" spans="10:10" x14ac:dyDescent="0.45">
      <c r="J177" t="s">
        <v>10552</v>
      </c>
    </row>
    <row r="178" spans="10:10" x14ac:dyDescent="0.45">
      <c r="J178" t="s">
        <v>10551</v>
      </c>
    </row>
    <row r="179" spans="10:10" x14ac:dyDescent="0.45">
      <c r="J179" t="s">
        <v>10550</v>
      </c>
    </row>
    <row r="180" spans="10:10" x14ac:dyDescent="0.45">
      <c r="J180" t="s">
        <v>10549</v>
      </c>
    </row>
    <row r="181" spans="10:10" x14ac:dyDescent="0.45">
      <c r="J181" t="s">
        <v>10548</v>
      </c>
    </row>
    <row r="182" spans="10:10" x14ac:dyDescent="0.45">
      <c r="J182" t="s">
        <v>10547</v>
      </c>
    </row>
    <row r="183" spans="10:10" x14ac:dyDescent="0.45">
      <c r="J183" t="s">
        <v>10546</v>
      </c>
    </row>
    <row r="184" spans="10:10" x14ac:dyDescent="0.45">
      <c r="J184" t="s">
        <v>10545</v>
      </c>
    </row>
    <row r="185" spans="10:10" x14ac:dyDescent="0.45">
      <c r="J185" t="s">
        <v>10544</v>
      </c>
    </row>
    <row r="186" spans="10:10" x14ac:dyDescent="0.45">
      <c r="J186" t="s">
        <v>10543</v>
      </c>
    </row>
    <row r="187" spans="10:10" x14ac:dyDescent="0.45">
      <c r="J187" t="s">
        <v>10542</v>
      </c>
    </row>
    <row r="188" spans="10:10" x14ac:dyDescent="0.45">
      <c r="J188" t="s">
        <v>10541</v>
      </c>
    </row>
    <row r="189" spans="10:10" x14ac:dyDescent="0.45">
      <c r="J189" t="s">
        <v>10540</v>
      </c>
    </row>
    <row r="190" spans="10:10" x14ac:dyDescent="0.45">
      <c r="J190" t="s">
        <v>10539</v>
      </c>
    </row>
    <row r="191" spans="10:10" x14ac:dyDescent="0.45">
      <c r="J191" t="s">
        <v>10538</v>
      </c>
    </row>
    <row r="192" spans="10:10" x14ac:dyDescent="0.45">
      <c r="J192" t="s">
        <v>10537</v>
      </c>
    </row>
    <row r="193" spans="10:10" x14ac:dyDescent="0.45">
      <c r="J193" t="s">
        <v>10536</v>
      </c>
    </row>
    <row r="194" spans="10:10" x14ac:dyDescent="0.45">
      <c r="J194" t="s">
        <v>10535</v>
      </c>
    </row>
    <row r="195" spans="10:10" x14ac:dyDescent="0.45">
      <c r="J195" t="s">
        <v>10534</v>
      </c>
    </row>
    <row r="196" spans="10:10" x14ac:dyDescent="0.45">
      <c r="J196" t="s">
        <v>10533</v>
      </c>
    </row>
    <row r="197" spans="10:10" x14ac:dyDescent="0.45">
      <c r="J197" t="s">
        <v>10532</v>
      </c>
    </row>
    <row r="198" spans="10:10" x14ac:dyDescent="0.45">
      <c r="J198" t="s">
        <v>10531</v>
      </c>
    </row>
    <row r="199" spans="10:10" x14ac:dyDescent="0.45">
      <c r="J199" t="s">
        <v>10530</v>
      </c>
    </row>
    <row r="200" spans="10:10" x14ac:dyDescent="0.45">
      <c r="J200" t="s">
        <v>10529</v>
      </c>
    </row>
    <row r="201" spans="10:10" x14ac:dyDescent="0.45">
      <c r="J201" t="s">
        <v>10528</v>
      </c>
    </row>
    <row r="202" spans="10:10" x14ac:dyDescent="0.45">
      <c r="J202" t="s">
        <v>3957</v>
      </c>
    </row>
    <row r="203" spans="10:10" x14ac:dyDescent="0.45">
      <c r="J203" t="s">
        <v>10527</v>
      </c>
    </row>
    <row r="204" spans="10:10" x14ac:dyDescent="0.45">
      <c r="J204" t="s">
        <v>10526</v>
      </c>
    </row>
    <row r="205" spans="10:10" x14ac:dyDescent="0.45">
      <c r="J205" t="s">
        <v>10525</v>
      </c>
    </row>
    <row r="206" spans="10:10" x14ac:dyDescent="0.45">
      <c r="J206" t="s">
        <v>10524</v>
      </c>
    </row>
    <row r="207" spans="10:10" x14ac:dyDescent="0.45">
      <c r="J207" t="s">
        <v>10523</v>
      </c>
    </row>
    <row r="208" spans="10:10" x14ac:dyDescent="0.45">
      <c r="J208" t="s">
        <v>10522</v>
      </c>
    </row>
    <row r="209" spans="10:10" x14ac:dyDescent="0.45">
      <c r="J209" t="s">
        <v>10521</v>
      </c>
    </row>
    <row r="210" spans="10:10" x14ac:dyDescent="0.45">
      <c r="J210" t="s">
        <v>10520</v>
      </c>
    </row>
    <row r="211" spans="10:10" x14ac:dyDescent="0.45">
      <c r="J211" t="s">
        <v>10519</v>
      </c>
    </row>
    <row r="212" spans="10:10" x14ac:dyDescent="0.45">
      <c r="J212" t="s">
        <v>10518</v>
      </c>
    </row>
    <row r="213" spans="10:10" x14ac:dyDescent="0.45">
      <c r="J213" t="s">
        <v>10517</v>
      </c>
    </row>
    <row r="214" spans="10:10" x14ac:dyDescent="0.45">
      <c r="J214" t="s">
        <v>10516</v>
      </c>
    </row>
    <row r="215" spans="10:10" x14ac:dyDescent="0.45">
      <c r="J215" t="s">
        <v>10515</v>
      </c>
    </row>
    <row r="216" spans="10:10" x14ac:dyDescent="0.45">
      <c r="J216" t="s">
        <v>10514</v>
      </c>
    </row>
    <row r="217" spans="10:10" x14ac:dyDescent="0.45">
      <c r="J217" t="s">
        <v>10513</v>
      </c>
    </row>
    <row r="218" spans="10:10" x14ac:dyDescent="0.45">
      <c r="J218" t="s">
        <v>10512</v>
      </c>
    </row>
    <row r="219" spans="10:10" x14ac:dyDescent="0.45">
      <c r="J219" t="s">
        <v>10511</v>
      </c>
    </row>
    <row r="220" spans="10:10" x14ac:dyDescent="0.45">
      <c r="J220" t="s">
        <v>10510</v>
      </c>
    </row>
    <row r="221" spans="10:10" x14ac:dyDescent="0.45">
      <c r="J221" t="s">
        <v>10509</v>
      </c>
    </row>
    <row r="222" spans="10:10" x14ac:dyDescent="0.45">
      <c r="J222" t="s">
        <v>10508</v>
      </c>
    </row>
    <row r="223" spans="10:10" x14ac:dyDescent="0.45">
      <c r="J223" t="s">
        <v>3906</v>
      </c>
    </row>
    <row r="224" spans="10:10" x14ac:dyDescent="0.45">
      <c r="J224" t="s">
        <v>10507</v>
      </c>
    </row>
    <row r="225" spans="10:10" x14ac:dyDescent="0.45">
      <c r="J225" t="s">
        <v>10506</v>
      </c>
    </row>
    <row r="226" spans="10:10" x14ac:dyDescent="0.45">
      <c r="J226" t="s">
        <v>3907</v>
      </c>
    </row>
    <row r="227" spans="10:10" x14ac:dyDescent="0.45">
      <c r="J227" t="s">
        <v>10505</v>
      </c>
    </row>
    <row r="228" spans="10:10" x14ac:dyDescent="0.45">
      <c r="J228" t="s">
        <v>10504</v>
      </c>
    </row>
    <row r="229" spans="10:10" x14ac:dyDescent="0.45">
      <c r="J229" t="s">
        <v>10503</v>
      </c>
    </row>
    <row r="230" spans="10:10" x14ac:dyDescent="0.45">
      <c r="J230" t="s">
        <v>10502</v>
      </c>
    </row>
    <row r="231" spans="10:10" x14ac:dyDescent="0.45">
      <c r="J231" t="s">
        <v>10501</v>
      </c>
    </row>
    <row r="232" spans="10:10" x14ac:dyDescent="0.45">
      <c r="J232" t="s">
        <v>10500</v>
      </c>
    </row>
    <row r="233" spans="10:10" x14ac:dyDescent="0.45">
      <c r="J233" t="s">
        <v>10499</v>
      </c>
    </row>
    <row r="234" spans="10:10" x14ac:dyDescent="0.45">
      <c r="J234" t="s">
        <v>10498</v>
      </c>
    </row>
    <row r="235" spans="10:10" x14ac:dyDescent="0.45">
      <c r="J235" t="s">
        <v>10497</v>
      </c>
    </row>
    <row r="236" spans="10:10" x14ac:dyDescent="0.45">
      <c r="J236" t="s">
        <v>10496</v>
      </c>
    </row>
    <row r="237" spans="10:10" x14ac:dyDescent="0.45">
      <c r="J237" t="s">
        <v>10495</v>
      </c>
    </row>
    <row r="238" spans="10:10" x14ac:dyDescent="0.45">
      <c r="J238" t="s">
        <v>3908</v>
      </c>
    </row>
    <row r="239" spans="10:10" x14ac:dyDescent="0.45">
      <c r="J239" t="s">
        <v>3909</v>
      </c>
    </row>
    <row r="240" spans="10:10" x14ac:dyDescent="0.45">
      <c r="J240" t="s">
        <v>3910</v>
      </c>
    </row>
    <row r="241" spans="10:10" x14ac:dyDescent="0.45">
      <c r="J241" t="s">
        <v>3911</v>
      </c>
    </row>
    <row r="242" spans="10:10" x14ac:dyDescent="0.45">
      <c r="J242" t="s">
        <v>3912</v>
      </c>
    </row>
    <row r="243" spans="10:10" x14ac:dyDescent="0.45">
      <c r="J243" t="s">
        <v>3913</v>
      </c>
    </row>
    <row r="244" spans="10:10" x14ac:dyDescent="0.45">
      <c r="J244" t="s">
        <v>3914</v>
      </c>
    </row>
    <row r="245" spans="10:10" x14ac:dyDescent="0.45">
      <c r="J245" t="s">
        <v>10494</v>
      </c>
    </row>
    <row r="246" spans="10:10" x14ac:dyDescent="0.45">
      <c r="J246" t="s">
        <v>10493</v>
      </c>
    </row>
    <row r="247" spans="10:10" x14ac:dyDescent="0.45">
      <c r="J247" t="s">
        <v>3915</v>
      </c>
    </row>
    <row r="248" spans="10:10" x14ac:dyDescent="0.45">
      <c r="J248" t="s">
        <v>10492</v>
      </c>
    </row>
    <row r="249" spans="10:10" x14ac:dyDescent="0.45">
      <c r="J249" t="s">
        <v>10491</v>
      </c>
    </row>
    <row r="250" spans="10:10" x14ac:dyDescent="0.45">
      <c r="J250" t="s">
        <v>3916</v>
      </c>
    </row>
    <row r="251" spans="10:10" x14ac:dyDescent="0.45">
      <c r="J251" t="s">
        <v>10490</v>
      </c>
    </row>
    <row r="252" spans="10:10" x14ac:dyDescent="0.45">
      <c r="J252" t="s">
        <v>3917</v>
      </c>
    </row>
    <row r="253" spans="10:10" x14ac:dyDescent="0.45">
      <c r="J253" t="s">
        <v>3918</v>
      </c>
    </row>
    <row r="254" spans="10:10" x14ac:dyDescent="0.45">
      <c r="J254" t="s">
        <v>10489</v>
      </c>
    </row>
    <row r="255" spans="10:10" x14ac:dyDescent="0.45">
      <c r="J255" t="s">
        <v>10488</v>
      </c>
    </row>
    <row r="256" spans="10:10" x14ac:dyDescent="0.45">
      <c r="J256" t="s">
        <v>10487</v>
      </c>
    </row>
    <row r="257" spans="10:10" x14ac:dyDescent="0.45">
      <c r="J257" t="s">
        <v>10486</v>
      </c>
    </row>
    <row r="258" spans="10:10" x14ac:dyDescent="0.45">
      <c r="J258" t="s">
        <v>10485</v>
      </c>
    </row>
    <row r="259" spans="10:10" x14ac:dyDescent="0.45">
      <c r="J259" t="s">
        <v>3919</v>
      </c>
    </row>
    <row r="260" spans="10:10" x14ac:dyDescent="0.45">
      <c r="J260" t="s">
        <v>10484</v>
      </c>
    </row>
    <row r="261" spans="10:10" x14ac:dyDescent="0.45">
      <c r="J261" t="s">
        <v>10483</v>
      </c>
    </row>
    <row r="262" spans="10:10" x14ac:dyDescent="0.45">
      <c r="J262" t="s">
        <v>3920</v>
      </c>
    </row>
    <row r="263" spans="10:10" x14ac:dyDescent="0.45">
      <c r="J263" t="s">
        <v>10482</v>
      </c>
    </row>
    <row r="264" spans="10:10" x14ac:dyDescent="0.45">
      <c r="J264" t="s">
        <v>3921</v>
      </c>
    </row>
    <row r="265" spans="10:10" x14ac:dyDescent="0.45">
      <c r="J265" t="s">
        <v>10481</v>
      </c>
    </row>
    <row r="266" spans="10:10" x14ac:dyDescent="0.45">
      <c r="J266" t="s">
        <v>3922</v>
      </c>
    </row>
    <row r="267" spans="10:10" x14ac:dyDescent="0.45">
      <c r="J267" t="s">
        <v>3923</v>
      </c>
    </row>
    <row r="268" spans="10:10" x14ac:dyDescent="0.45">
      <c r="J268" t="s">
        <v>10480</v>
      </c>
    </row>
    <row r="269" spans="10:10" x14ac:dyDescent="0.45">
      <c r="J269" t="s">
        <v>3924</v>
      </c>
    </row>
    <row r="270" spans="10:10" x14ac:dyDescent="0.45">
      <c r="J270" t="s">
        <v>10479</v>
      </c>
    </row>
    <row r="271" spans="10:10" x14ac:dyDescent="0.45">
      <c r="J271" t="s">
        <v>10478</v>
      </c>
    </row>
    <row r="272" spans="10:10" x14ac:dyDescent="0.45">
      <c r="J272" t="s">
        <v>10477</v>
      </c>
    </row>
    <row r="273" spans="10:10" x14ac:dyDescent="0.45">
      <c r="J273" t="s">
        <v>10476</v>
      </c>
    </row>
    <row r="274" spans="10:10" x14ac:dyDescent="0.45">
      <c r="J274" t="s">
        <v>10475</v>
      </c>
    </row>
    <row r="275" spans="10:10" x14ac:dyDescent="0.45">
      <c r="J275" t="s">
        <v>10474</v>
      </c>
    </row>
    <row r="276" spans="10:10" x14ac:dyDescent="0.45">
      <c r="J276" t="s">
        <v>10473</v>
      </c>
    </row>
    <row r="277" spans="10:10" x14ac:dyDescent="0.45">
      <c r="J277" t="s">
        <v>10472</v>
      </c>
    </row>
    <row r="278" spans="10:10" x14ac:dyDescent="0.45">
      <c r="J278" t="s">
        <v>10471</v>
      </c>
    </row>
    <row r="279" spans="10:10" x14ac:dyDescent="0.45">
      <c r="J279" t="s">
        <v>10470</v>
      </c>
    </row>
    <row r="280" spans="10:10" x14ac:dyDescent="0.45">
      <c r="J280" t="s">
        <v>10469</v>
      </c>
    </row>
    <row r="281" spans="10:10" x14ac:dyDescent="0.45">
      <c r="J281" t="s">
        <v>10468</v>
      </c>
    </row>
    <row r="282" spans="10:10" x14ac:dyDescent="0.45">
      <c r="J282" t="s">
        <v>10467</v>
      </c>
    </row>
    <row r="283" spans="10:10" x14ac:dyDescent="0.45">
      <c r="J283" t="s">
        <v>10466</v>
      </c>
    </row>
    <row r="284" spans="10:10" x14ac:dyDescent="0.45">
      <c r="J284" t="s">
        <v>10465</v>
      </c>
    </row>
    <row r="285" spans="10:10" x14ac:dyDescent="0.45">
      <c r="J285" t="s">
        <v>10464</v>
      </c>
    </row>
    <row r="286" spans="10:10" x14ac:dyDescent="0.45">
      <c r="J286" t="s">
        <v>10463</v>
      </c>
    </row>
    <row r="287" spans="10:10" x14ac:dyDescent="0.45">
      <c r="J287" t="s">
        <v>10462</v>
      </c>
    </row>
    <row r="288" spans="10:10" x14ac:dyDescent="0.45">
      <c r="J288" t="s">
        <v>3925</v>
      </c>
    </row>
    <row r="289" spans="10:10" x14ac:dyDescent="0.45">
      <c r="J289" t="s">
        <v>3926</v>
      </c>
    </row>
    <row r="290" spans="10:10" x14ac:dyDescent="0.45">
      <c r="J290" t="s">
        <v>10461</v>
      </c>
    </row>
    <row r="291" spans="10:10" x14ac:dyDescent="0.45">
      <c r="J291" t="s">
        <v>10460</v>
      </c>
    </row>
    <row r="292" spans="10:10" x14ac:dyDescent="0.45">
      <c r="J292" t="s">
        <v>10459</v>
      </c>
    </row>
    <row r="293" spans="10:10" x14ac:dyDescent="0.45">
      <c r="J293" t="s">
        <v>3927</v>
      </c>
    </row>
    <row r="294" spans="10:10" x14ac:dyDescent="0.45">
      <c r="J294" t="s">
        <v>10458</v>
      </c>
    </row>
    <row r="295" spans="10:10" x14ac:dyDescent="0.45">
      <c r="J295" t="s">
        <v>3928</v>
      </c>
    </row>
    <row r="296" spans="10:10" x14ac:dyDescent="0.45">
      <c r="J296" t="s">
        <v>10457</v>
      </c>
    </row>
    <row r="297" spans="10:10" x14ac:dyDescent="0.45">
      <c r="J297" t="s">
        <v>10456</v>
      </c>
    </row>
    <row r="298" spans="10:10" x14ac:dyDescent="0.45">
      <c r="J298" t="s">
        <v>10455</v>
      </c>
    </row>
    <row r="299" spans="10:10" x14ac:dyDescent="0.45">
      <c r="J299" t="s">
        <v>3929</v>
      </c>
    </row>
    <row r="300" spans="10:10" x14ac:dyDescent="0.45">
      <c r="J300" t="s">
        <v>10454</v>
      </c>
    </row>
    <row r="301" spans="10:10" x14ac:dyDescent="0.45">
      <c r="J301" t="s">
        <v>10453</v>
      </c>
    </row>
    <row r="302" spans="10:10" x14ac:dyDescent="0.45">
      <c r="J302" t="s">
        <v>3930</v>
      </c>
    </row>
    <row r="303" spans="10:10" x14ac:dyDescent="0.45">
      <c r="J303" t="s">
        <v>10452</v>
      </c>
    </row>
    <row r="304" spans="10:10" x14ac:dyDescent="0.45">
      <c r="J304" t="s">
        <v>10451</v>
      </c>
    </row>
    <row r="305" spans="10:10" x14ac:dyDescent="0.45">
      <c r="J305" t="s">
        <v>10450</v>
      </c>
    </row>
    <row r="306" spans="10:10" x14ac:dyDescent="0.45">
      <c r="J306" t="s">
        <v>10449</v>
      </c>
    </row>
    <row r="307" spans="10:10" x14ac:dyDescent="0.45">
      <c r="J307" t="s">
        <v>10448</v>
      </c>
    </row>
    <row r="308" spans="10:10" x14ac:dyDescent="0.45">
      <c r="J308" t="s">
        <v>3931</v>
      </c>
    </row>
    <row r="309" spans="10:10" x14ac:dyDescent="0.45">
      <c r="J309" t="s">
        <v>10447</v>
      </c>
    </row>
    <row r="310" spans="10:10" x14ac:dyDescent="0.45">
      <c r="J310" t="s">
        <v>10446</v>
      </c>
    </row>
    <row r="311" spans="10:10" x14ac:dyDescent="0.45">
      <c r="J311" t="s">
        <v>3932</v>
      </c>
    </row>
    <row r="312" spans="10:10" x14ac:dyDescent="0.45">
      <c r="J312" t="s">
        <v>3933</v>
      </c>
    </row>
    <row r="313" spans="10:10" x14ac:dyDescent="0.45">
      <c r="J313" t="s">
        <v>10445</v>
      </c>
    </row>
    <row r="314" spans="10:10" x14ac:dyDescent="0.45">
      <c r="J314" t="s">
        <v>3934</v>
      </c>
    </row>
    <row r="315" spans="10:10" x14ac:dyDescent="0.45">
      <c r="J315" t="s">
        <v>3936</v>
      </c>
    </row>
    <row r="316" spans="10:10" x14ac:dyDescent="0.45">
      <c r="J316" t="s">
        <v>10444</v>
      </c>
    </row>
    <row r="317" spans="10:10" x14ac:dyDescent="0.45">
      <c r="J317" t="s">
        <v>3935</v>
      </c>
    </row>
    <row r="318" spans="10:10" x14ac:dyDescent="0.45">
      <c r="J318" t="s">
        <v>3937</v>
      </c>
    </row>
    <row r="319" spans="10:10" x14ac:dyDescent="0.45">
      <c r="J319" t="s">
        <v>3937</v>
      </c>
    </row>
    <row r="320" spans="10:10" x14ac:dyDescent="0.45">
      <c r="J320" t="s">
        <v>10443</v>
      </c>
    </row>
    <row r="321" spans="10:10" x14ac:dyDescent="0.45">
      <c r="J321" t="s">
        <v>3958</v>
      </c>
    </row>
    <row r="322" spans="10:10" x14ac:dyDescent="0.45">
      <c r="J322" t="s">
        <v>3938</v>
      </c>
    </row>
    <row r="323" spans="10:10" x14ac:dyDescent="0.45">
      <c r="J323" t="s">
        <v>10442</v>
      </c>
    </row>
    <row r="324" spans="10:10" x14ac:dyDescent="0.45">
      <c r="J324" t="s">
        <v>10441</v>
      </c>
    </row>
    <row r="325" spans="10:10" x14ac:dyDescent="0.45">
      <c r="J325" t="s">
        <v>3939</v>
      </c>
    </row>
    <row r="326" spans="10:10" x14ac:dyDescent="0.45">
      <c r="J326" t="s">
        <v>10440</v>
      </c>
    </row>
    <row r="327" spans="10:10" x14ac:dyDescent="0.45">
      <c r="J327" t="s">
        <v>10439</v>
      </c>
    </row>
    <row r="328" spans="10:10" x14ac:dyDescent="0.45">
      <c r="J328" t="s">
        <v>10438</v>
      </c>
    </row>
    <row r="329" spans="10:10" x14ac:dyDescent="0.45">
      <c r="J329" t="s">
        <v>10437</v>
      </c>
    </row>
    <row r="330" spans="10:10" x14ac:dyDescent="0.45">
      <c r="J330" t="s">
        <v>10436</v>
      </c>
    </row>
    <row r="331" spans="10:10" x14ac:dyDescent="0.45">
      <c r="J331" t="s">
        <v>10435</v>
      </c>
    </row>
    <row r="332" spans="10:10" x14ac:dyDescent="0.45">
      <c r="J332" t="s">
        <v>10434</v>
      </c>
    </row>
    <row r="333" spans="10:10" x14ac:dyDescent="0.45">
      <c r="J333" t="s">
        <v>3959</v>
      </c>
    </row>
    <row r="334" spans="10:10" x14ac:dyDescent="0.45">
      <c r="J334" t="s">
        <v>10433</v>
      </c>
    </row>
    <row r="335" spans="10:10" x14ac:dyDescent="0.45">
      <c r="J335" t="s">
        <v>3940</v>
      </c>
    </row>
    <row r="336" spans="10:10" x14ac:dyDescent="0.45">
      <c r="J336" t="s">
        <v>10432</v>
      </c>
    </row>
    <row r="337" spans="10:10" x14ac:dyDescent="0.45">
      <c r="J337" t="s">
        <v>10431</v>
      </c>
    </row>
    <row r="338" spans="10:10" x14ac:dyDescent="0.45">
      <c r="J338" t="s">
        <v>10430</v>
      </c>
    </row>
    <row r="339" spans="10:10" x14ac:dyDescent="0.45">
      <c r="J339" t="s">
        <v>3941</v>
      </c>
    </row>
    <row r="340" spans="10:10" x14ac:dyDescent="0.45">
      <c r="J340" t="s">
        <v>10429</v>
      </c>
    </row>
    <row r="341" spans="10:10" x14ac:dyDescent="0.45">
      <c r="J341" t="s">
        <v>10428</v>
      </c>
    </row>
    <row r="342" spans="10:10" x14ac:dyDescent="0.45">
      <c r="J342" t="s">
        <v>3961</v>
      </c>
    </row>
    <row r="343" spans="10:10" x14ac:dyDescent="0.45">
      <c r="J343" t="s">
        <v>10427</v>
      </c>
    </row>
    <row r="344" spans="10:10" x14ac:dyDescent="0.45">
      <c r="J344" t="s">
        <v>3942</v>
      </c>
    </row>
    <row r="345" spans="10:10" x14ac:dyDescent="0.45">
      <c r="J345" t="s">
        <v>3943</v>
      </c>
    </row>
    <row r="346" spans="10:10" x14ac:dyDescent="0.45">
      <c r="J346" t="s">
        <v>10426</v>
      </c>
    </row>
    <row r="347" spans="10:10" x14ac:dyDescent="0.45">
      <c r="J347" t="s">
        <v>3944</v>
      </c>
    </row>
    <row r="348" spans="10:10" x14ac:dyDescent="0.45">
      <c r="J348" t="s">
        <v>10425</v>
      </c>
    </row>
    <row r="349" spans="10:10" x14ac:dyDescent="0.45">
      <c r="J349" t="s">
        <v>3945</v>
      </c>
    </row>
    <row r="350" spans="10:10" x14ac:dyDescent="0.45">
      <c r="J350" t="s">
        <v>10424</v>
      </c>
    </row>
    <row r="351" spans="10:10" x14ac:dyDescent="0.45">
      <c r="J351" t="s">
        <v>3946</v>
      </c>
    </row>
    <row r="352" spans="10:10" x14ac:dyDescent="0.45">
      <c r="J352" t="s">
        <v>3947</v>
      </c>
    </row>
    <row r="353" spans="10:10" x14ac:dyDescent="0.45">
      <c r="J353" t="s">
        <v>10423</v>
      </c>
    </row>
    <row r="354" spans="10:10" x14ac:dyDescent="0.45">
      <c r="J354" t="s">
        <v>3948</v>
      </c>
    </row>
    <row r="355" spans="10:10" x14ac:dyDescent="0.45">
      <c r="J355" t="s">
        <v>10422</v>
      </c>
    </row>
    <row r="356" spans="10:10" x14ac:dyDescent="0.45">
      <c r="J356" t="s">
        <v>10421</v>
      </c>
    </row>
    <row r="357" spans="10:10" x14ac:dyDescent="0.45">
      <c r="J357" t="s">
        <v>10420</v>
      </c>
    </row>
    <row r="358" spans="10:10" x14ac:dyDescent="0.45">
      <c r="J358" t="s">
        <v>3949</v>
      </c>
    </row>
    <row r="359" spans="10:10" x14ac:dyDescent="0.45">
      <c r="J359" t="s">
        <v>3896</v>
      </c>
    </row>
    <row r="360" spans="10:10" x14ac:dyDescent="0.45">
      <c r="J360" t="s">
        <v>3950</v>
      </c>
    </row>
    <row r="361" spans="10:10" x14ac:dyDescent="0.45">
      <c r="J361" t="s">
        <v>10419</v>
      </c>
    </row>
    <row r="362" spans="10:10" x14ac:dyDescent="0.45">
      <c r="J362" t="s">
        <v>3951</v>
      </c>
    </row>
    <row r="363" spans="10:10" x14ac:dyDescent="0.45">
      <c r="J363" t="s">
        <v>10418</v>
      </c>
    </row>
    <row r="364" spans="10:10" x14ac:dyDescent="0.45">
      <c r="J364" t="s">
        <v>10417</v>
      </c>
    </row>
    <row r="365" spans="10:10" x14ac:dyDescent="0.45">
      <c r="J365" t="s">
        <v>10416</v>
      </c>
    </row>
    <row r="366" spans="10:10" x14ac:dyDescent="0.45">
      <c r="J366" t="s">
        <v>10415</v>
      </c>
    </row>
    <row r="367" spans="10:10" x14ac:dyDescent="0.45">
      <c r="J367" t="s">
        <v>3952</v>
      </c>
    </row>
    <row r="368" spans="10:10" x14ac:dyDescent="0.45">
      <c r="J368" t="s">
        <v>10414</v>
      </c>
    </row>
    <row r="369" spans="10:10" x14ac:dyDescent="0.45">
      <c r="J369" t="s">
        <v>10413</v>
      </c>
    </row>
    <row r="370" spans="10:10" x14ac:dyDescent="0.45">
      <c r="J370" t="s">
        <v>10412</v>
      </c>
    </row>
    <row r="371" spans="10:10" x14ac:dyDescent="0.45">
      <c r="J371" t="s">
        <v>3953</v>
      </c>
    </row>
    <row r="372" spans="10:10" x14ac:dyDescent="0.45">
      <c r="J372" t="s">
        <v>3954</v>
      </c>
    </row>
    <row r="373" spans="10:10" x14ac:dyDescent="0.45">
      <c r="J373" t="s">
        <v>3892</v>
      </c>
    </row>
    <row r="374" spans="10:10" x14ac:dyDescent="0.45">
      <c r="J374" t="s">
        <v>10411</v>
      </c>
    </row>
    <row r="375" spans="10:10" x14ac:dyDescent="0.45">
      <c r="J375" t="s">
        <v>10410</v>
      </c>
    </row>
    <row r="376" spans="10:10" x14ac:dyDescent="0.45">
      <c r="J376" t="s">
        <v>3955</v>
      </c>
    </row>
    <row r="377" spans="10:10" x14ac:dyDescent="0.45">
      <c r="J377" t="s">
        <v>10409</v>
      </c>
    </row>
    <row r="378" spans="10:10" x14ac:dyDescent="0.45">
      <c r="J378" t="s">
        <v>10408</v>
      </c>
    </row>
    <row r="379" spans="10:10" x14ac:dyDescent="0.45">
      <c r="J379" t="s">
        <v>10407</v>
      </c>
    </row>
    <row r="380" spans="10:10" x14ac:dyDescent="0.45">
      <c r="J380" t="s">
        <v>10406</v>
      </c>
    </row>
    <row r="381" spans="10:10" x14ac:dyDescent="0.45">
      <c r="J381" t="s">
        <v>10405</v>
      </c>
    </row>
    <row r="382" spans="10:10" x14ac:dyDescent="0.45">
      <c r="J382" t="s">
        <v>10404</v>
      </c>
    </row>
    <row r="383" spans="10:10" x14ac:dyDescent="0.45">
      <c r="J383" t="s">
        <v>10403</v>
      </c>
    </row>
    <row r="384" spans="10:10" x14ac:dyDescent="0.45">
      <c r="J384" t="s">
        <v>10402</v>
      </c>
    </row>
    <row r="385" spans="10:10" x14ac:dyDescent="0.45">
      <c r="J385" t="s">
        <v>10401</v>
      </c>
    </row>
    <row r="386" spans="10:10" x14ac:dyDescent="0.45">
      <c r="J386" t="s">
        <v>10400</v>
      </c>
    </row>
    <row r="387" spans="10:10" x14ac:dyDescent="0.45">
      <c r="J387" t="s">
        <v>10399</v>
      </c>
    </row>
    <row r="388" spans="10:10" x14ac:dyDescent="0.45">
      <c r="J388" t="s">
        <v>10398</v>
      </c>
    </row>
    <row r="389" spans="10:10" x14ac:dyDescent="0.45">
      <c r="J389" t="s">
        <v>10397</v>
      </c>
    </row>
    <row r="390" spans="10:10" x14ac:dyDescent="0.45">
      <c r="J390" t="s">
        <v>10396</v>
      </c>
    </row>
    <row r="391" spans="10:10" x14ac:dyDescent="0.45">
      <c r="J391" t="s">
        <v>10395</v>
      </c>
    </row>
    <row r="392" spans="10:10" x14ac:dyDescent="0.45">
      <c r="J392" t="s">
        <v>10394</v>
      </c>
    </row>
    <row r="393" spans="10:10" x14ac:dyDescent="0.45">
      <c r="J393" t="s">
        <v>10393</v>
      </c>
    </row>
    <row r="394" spans="10:10" x14ac:dyDescent="0.45">
      <c r="J394" t="s">
        <v>10392</v>
      </c>
    </row>
    <row r="395" spans="10:10" x14ac:dyDescent="0.45">
      <c r="J395" t="s">
        <v>10391</v>
      </c>
    </row>
    <row r="396" spans="10:10" x14ac:dyDescent="0.45">
      <c r="J396" t="s">
        <v>10390</v>
      </c>
    </row>
    <row r="397" spans="10:10" x14ac:dyDescent="0.45">
      <c r="J397" t="s">
        <v>10389</v>
      </c>
    </row>
    <row r="398" spans="10:10" x14ac:dyDescent="0.45">
      <c r="J398" t="s">
        <v>10388</v>
      </c>
    </row>
    <row r="399" spans="10:10" x14ac:dyDescent="0.45">
      <c r="J399" t="s">
        <v>10387</v>
      </c>
    </row>
    <row r="400" spans="10:10" x14ac:dyDescent="0.45">
      <c r="J400" t="s">
        <v>10386</v>
      </c>
    </row>
    <row r="401" spans="10:10" x14ac:dyDescent="0.45">
      <c r="J401" t="s">
        <v>10385</v>
      </c>
    </row>
    <row r="402" spans="10:10" x14ac:dyDescent="0.45">
      <c r="J402" t="s">
        <v>10384</v>
      </c>
    </row>
    <row r="403" spans="10:10" x14ac:dyDescent="0.45">
      <c r="J403" t="s">
        <v>10383</v>
      </c>
    </row>
    <row r="404" spans="10:10" x14ac:dyDescent="0.45">
      <c r="J404" t="s">
        <v>10382</v>
      </c>
    </row>
    <row r="405" spans="10:10" x14ac:dyDescent="0.45">
      <c r="J405" t="s">
        <v>3886</v>
      </c>
    </row>
    <row r="406" spans="10:10" x14ac:dyDescent="0.45">
      <c r="J406" t="s">
        <v>3887</v>
      </c>
    </row>
    <row r="407" spans="10:10" x14ac:dyDescent="0.45">
      <c r="J407" t="s">
        <v>3897</v>
      </c>
    </row>
    <row r="408" spans="10:10" x14ac:dyDescent="0.45">
      <c r="J408" t="s">
        <v>3898</v>
      </c>
    </row>
    <row r="409" spans="10:10" x14ac:dyDescent="0.45">
      <c r="J409" t="s">
        <v>5965</v>
      </c>
    </row>
    <row r="410" spans="10:10" x14ac:dyDescent="0.45">
      <c r="J410" t="s">
        <v>3888</v>
      </c>
    </row>
    <row r="411" spans="10:10" x14ac:dyDescent="0.45">
      <c r="J411" t="s">
        <v>3899</v>
      </c>
    </row>
    <row r="412" spans="10:10" x14ac:dyDescent="0.45">
      <c r="J412" t="s">
        <v>3900</v>
      </c>
    </row>
    <row r="413" spans="10:10" x14ac:dyDescent="0.45">
      <c r="J413" t="s">
        <v>3889</v>
      </c>
    </row>
    <row r="414" spans="10:10" x14ac:dyDescent="0.45">
      <c r="J414" t="s">
        <v>3890</v>
      </c>
    </row>
    <row r="415" spans="10:10" x14ac:dyDescent="0.45">
      <c r="J415" t="s">
        <v>10381</v>
      </c>
    </row>
    <row r="416" spans="10:10" x14ac:dyDescent="0.45">
      <c r="J416" t="s">
        <v>10380</v>
      </c>
    </row>
    <row r="417" spans="10:10" x14ac:dyDescent="0.45">
      <c r="J417" t="s">
        <v>10379</v>
      </c>
    </row>
    <row r="418" spans="10:10" x14ac:dyDescent="0.45">
      <c r="J418" t="s">
        <v>10378</v>
      </c>
    </row>
    <row r="419" spans="10:10" x14ac:dyDescent="0.45">
      <c r="J419" t="s">
        <v>10377</v>
      </c>
    </row>
    <row r="420" spans="10:10" x14ac:dyDescent="0.45">
      <c r="J420" t="s">
        <v>5974</v>
      </c>
    </row>
    <row r="421" spans="10:10" x14ac:dyDescent="0.45">
      <c r="J421" t="s">
        <v>5975</v>
      </c>
    </row>
    <row r="422" spans="10:10" x14ac:dyDescent="0.45">
      <c r="J422" t="s">
        <v>5976</v>
      </c>
    </row>
    <row r="423" spans="10:10" x14ac:dyDescent="0.45">
      <c r="J423" t="s">
        <v>5978</v>
      </c>
    </row>
    <row r="424" spans="10:10" x14ac:dyDescent="0.45">
      <c r="J424" t="s">
        <v>5979</v>
      </c>
    </row>
    <row r="425" spans="10:10" x14ac:dyDescent="0.45">
      <c r="J425" t="s">
        <v>5980</v>
      </c>
    </row>
    <row r="426" spans="10:10" x14ac:dyDescent="0.45">
      <c r="J426" t="s">
        <v>5982</v>
      </c>
    </row>
    <row r="427" spans="10:10" x14ac:dyDescent="0.45">
      <c r="J427" t="s">
        <v>5984</v>
      </c>
    </row>
    <row r="428" spans="10:10" x14ac:dyDescent="0.45">
      <c r="J428" t="s">
        <v>5986</v>
      </c>
    </row>
    <row r="429" spans="10:10" x14ac:dyDescent="0.45">
      <c r="J429" t="s">
        <v>5988</v>
      </c>
    </row>
    <row r="430" spans="10:10" x14ac:dyDescent="0.45">
      <c r="J430" t="s">
        <v>5989</v>
      </c>
    </row>
    <row r="431" spans="10:10" x14ac:dyDescent="0.45">
      <c r="J431" t="s">
        <v>5990</v>
      </c>
    </row>
    <row r="432" spans="10:10" x14ac:dyDescent="0.45">
      <c r="J432" t="s">
        <v>10376</v>
      </c>
    </row>
    <row r="433" spans="10:10" x14ac:dyDescent="0.45">
      <c r="J433" t="s">
        <v>5992</v>
      </c>
    </row>
    <row r="434" spans="10:10" x14ac:dyDescent="0.45">
      <c r="J434" t="s">
        <v>3893</v>
      </c>
    </row>
    <row r="435" spans="10:10" x14ac:dyDescent="0.45">
      <c r="J435" t="s">
        <v>5993</v>
      </c>
    </row>
    <row r="436" spans="10:10" x14ac:dyDescent="0.45">
      <c r="J436" t="s">
        <v>5994</v>
      </c>
    </row>
    <row r="437" spans="10:10" x14ac:dyDescent="0.45">
      <c r="J437" t="s">
        <v>5995</v>
      </c>
    </row>
    <row r="438" spans="10:10" x14ac:dyDescent="0.45">
      <c r="J438" t="s">
        <v>5996</v>
      </c>
    </row>
    <row r="439" spans="10:10" x14ac:dyDescent="0.45">
      <c r="J439" t="s">
        <v>5997</v>
      </c>
    </row>
    <row r="440" spans="10:10" x14ac:dyDescent="0.45">
      <c r="J440" t="s">
        <v>5998</v>
      </c>
    </row>
    <row r="441" spans="10:10" x14ac:dyDescent="0.45">
      <c r="J441" t="s">
        <v>5999</v>
      </c>
    </row>
    <row r="442" spans="10:10" x14ac:dyDescent="0.45">
      <c r="J442" t="s">
        <v>6001</v>
      </c>
    </row>
    <row r="443" spans="10:10" x14ac:dyDescent="0.45">
      <c r="J443" t="s">
        <v>10375</v>
      </c>
    </row>
    <row r="444" spans="10:10" x14ac:dyDescent="0.45">
      <c r="J444" t="s">
        <v>6003</v>
      </c>
    </row>
    <row r="445" spans="10:10" x14ac:dyDescent="0.45">
      <c r="J445" t="s">
        <v>6005</v>
      </c>
    </row>
    <row r="446" spans="10:10" x14ac:dyDescent="0.45">
      <c r="J446" t="s">
        <v>6006</v>
      </c>
    </row>
    <row r="447" spans="10:10" x14ac:dyDescent="0.45">
      <c r="J447" t="s">
        <v>6007</v>
      </c>
    </row>
    <row r="448" spans="10:10" x14ac:dyDescent="0.45">
      <c r="J448" t="s">
        <v>6008</v>
      </c>
    </row>
    <row r="449" spans="10:10" x14ac:dyDescent="0.45">
      <c r="J449" t="s">
        <v>6009</v>
      </c>
    </row>
    <row r="450" spans="10:10" x14ac:dyDescent="0.45">
      <c r="J450" t="s">
        <v>6012</v>
      </c>
    </row>
    <row r="451" spans="10:10" x14ac:dyDescent="0.45">
      <c r="J451" t="s">
        <v>6015</v>
      </c>
    </row>
    <row r="452" spans="10:10" x14ac:dyDescent="0.45">
      <c r="J452" t="s">
        <v>6018</v>
      </c>
    </row>
    <row r="453" spans="10:10" x14ac:dyDescent="0.45">
      <c r="J453" t="s">
        <v>6024</v>
      </c>
    </row>
    <row r="454" spans="10:10" x14ac:dyDescent="0.45">
      <c r="J454" t="s">
        <v>3901</v>
      </c>
    </row>
    <row r="455" spans="10:10" x14ac:dyDescent="0.45">
      <c r="J455" t="s">
        <v>6026</v>
      </c>
    </row>
    <row r="456" spans="10:10" x14ac:dyDescent="0.45">
      <c r="J456" t="s">
        <v>6029</v>
      </c>
    </row>
    <row r="457" spans="10:10" x14ac:dyDescent="0.45">
      <c r="J457" t="s">
        <v>6030</v>
      </c>
    </row>
    <row r="458" spans="10:10" x14ac:dyDescent="0.45">
      <c r="J458" t="s">
        <v>6032</v>
      </c>
    </row>
    <row r="459" spans="10:10" x14ac:dyDescent="0.45">
      <c r="J459" t="s">
        <v>6035</v>
      </c>
    </row>
    <row r="460" spans="10:10" x14ac:dyDescent="0.45">
      <c r="J460" t="s">
        <v>6038</v>
      </c>
    </row>
    <row r="461" spans="10:10" x14ac:dyDescent="0.45">
      <c r="J461" t="s">
        <v>10374</v>
      </c>
    </row>
    <row r="462" spans="10:10" x14ac:dyDescent="0.45">
      <c r="J462" t="s">
        <v>6040</v>
      </c>
    </row>
    <row r="463" spans="10:10" x14ac:dyDescent="0.45">
      <c r="J463" t="s">
        <v>6042</v>
      </c>
    </row>
    <row r="464" spans="10:10" x14ac:dyDescent="0.45">
      <c r="J464" t="s">
        <v>10373</v>
      </c>
    </row>
    <row r="465" spans="10:10" x14ac:dyDescent="0.45">
      <c r="J465" t="s">
        <v>6046</v>
      </c>
    </row>
    <row r="466" spans="10:10" x14ac:dyDescent="0.45">
      <c r="J466" t="s">
        <v>6047</v>
      </c>
    </row>
    <row r="467" spans="10:10" x14ac:dyDescent="0.45">
      <c r="J467" t="s">
        <v>6051</v>
      </c>
    </row>
    <row r="468" spans="10:10" x14ac:dyDescent="0.45">
      <c r="J468" t="s">
        <v>6053</v>
      </c>
    </row>
    <row r="469" spans="10:10" x14ac:dyDescent="0.45">
      <c r="J469" t="s">
        <v>6055</v>
      </c>
    </row>
    <row r="470" spans="10:10" x14ac:dyDescent="0.45">
      <c r="J470" t="s">
        <v>3891</v>
      </c>
    </row>
    <row r="471" spans="10:10" x14ac:dyDescent="0.45">
      <c r="J471" t="s">
        <v>6057</v>
      </c>
    </row>
    <row r="472" spans="10:10" x14ac:dyDescent="0.45">
      <c r="J472" t="s">
        <v>6058</v>
      </c>
    </row>
    <row r="473" spans="10:10" x14ac:dyDescent="0.45">
      <c r="J473" t="s">
        <v>6059</v>
      </c>
    </row>
    <row r="474" spans="10:10" x14ac:dyDescent="0.45">
      <c r="J474" t="s">
        <v>6060</v>
      </c>
    </row>
    <row r="475" spans="10:10" x14ac:dyDescent="0.45">
      <c r="J475" t="s">
        <v>6062</v>
      </c>
    </row>
    <row r="476" spans="10:10" x14ac:dyDescent="0.45">
      <c r="J476" t="s">
        <v>6065</v>
      </c>
    </row>
    <row r="477" spans="10:10" x14ac:dyDescent="0.45">
      <c r="J477" t="s">
        <v>6067</v>
      </c>
    </row>
    <row r="478" spans="10:10" x14ac:dyDescent="0.45">
      <c r="J478" t="s">
        <v>6071</v>
      </c>
    </row>
    <row r="479" spans="10:10" x14ac:dyDescent="0.45">
      <c r="J479" t="s">
        <v>6073</v>
      </c>
    </row>
    <row r="480" spans="10:10" x14ac:dyDescent="0.45">
      <c r="J480" t="s">
        <v>6076</v>
      </c>
    </row>
    <row r="481" spans="10:10" x14ac:dyDescent="0.45">
      <c r="J481" t="s">
        <v>6080</v>
      </c>
    </row>
    <row r="482" spans="10:10" x14ac:dyDescent="0.45">
      <c r="J482" t="s">
        <v>6081</v>
      </c>
    </row>
    <row r="483" spans="10:10" x14ac:dyDescent="0.45">
      <c r="J483" t="s">
        <v>10372</v>
      </c>
    </row>
    <row r="484" spans="10:10" x14ac:dyDescent="0.45">
      <c r="J484" t="s">
        <v>6084</v>
      </c>
    </row>
    <row r="485" spans="10:10" x14ac:dyDescent="0.45">
      <c r="J485" t="s">
        <v>6087</v>
      </c>
    </row>
    <row r="486" spans="10:10" x14ac:dyDescent="0.45">
      <c r="J486" t="s">
        <v>6089</v>
      </c>
    </row>
    <row r="487" spans="10:10" x14ac:dyDescent="0.45">
      <c r="J487" t="s">
        <v>6092</v>
      </c>
    </row>
    <row r="488" spans="10:10" x14ac:dyDescent="0.45">
      <c r="J488" t="s">
        <v>6094</v>
      </c>
    </row>
    <row r="489" spans="10:10" x14ac:dyDescent="0.45">
      <c r="J489" t="s">
        <v>6096</v>
      </c>
    </row>
    <row r="490" spans="10:10" x14ac:dyDescent="0.45">
      <c r="J490" t="s">
        <v>10371</v>
      </c>
    </row>
    <row r="491" spans="10:10" x14ac:dyDescent="0.45">
      <c r="J491" t="s">
        <v>6098</v>
      </c>
    </row>
    <row r="492" spans="10:10" x14ac:dyDescent="0.45">
      <c r="J492" t="s">
        <v>6100</v>
      </c>
    </row>
    <row r="493" spans="10:10" x14ac:dyDescent="0.45">
      <c r="J493" t="s">
        <v>6103</v>
      </c>
    </row>
    <row r="494" spans="10:10" x14ac:dyDescent="0.45">
      <c r="J494" t="s">
        <v>10370</v>
      </c>
    </row>
    <row r="495" spans="10:10" x14ac:dyDescent="0.45">
      <c r="J495" t="s">
        <v>6105</v>
      </c>
    </row>
    <row r="496" spans="10:10" x14ac:dyDescent="0.45">
      <c r="J496" t="s">
        <v>6107</v>
      </c>
    </row>
    <row r="497" spans="10:10" x14ac:dyDescent="0.45">
      <c r="J497" t="s">
        <v>10369</v>
      </c>
    </row>
    <row r="498" spans="10:10" x14ac:dyDescent="0.45">
      <c r="J498" t="s">
        <v>6109</v>
      </c>
    </row>
    <row r="499" spans="10:10" x14ac:dyDescent="0.45">
      <c r="J499" t="s">
        <v>6110</v>
      </c>
    </row>
    <row r="500" spans="10:10" x14ac:dyDescent="0.45">
      <c r="J500" t="s">
        <v>6112</v>
      </c>
    </row>
    <row r="501" spans="10:10" x14ac:dyDescent="0.45">
      <c r="J501" t="s">
        <v>6115</v>
      </c>
    </row>
    <row r="502" spans="10:10" x14ac:dyDescent="0.45">
      <c r="J502" t="s">
        <v>3894</v>
      </c>
    </row>
    <row r="503" spans="10:10" x14ac:dyDescent="0.45">
      <c r="J503" t="s">
        <v>6131</v>
      </c>
    </row>
    <row r="504" spans="10:10" x14ac:dyDescent="0.45">
      <c r="J504" t="s">
        <v>6133</v>
      </c>
    </row>
    <row r="505" spans="10:10" x14ac:dyDescent="0.45">
      <c r="J505" t="s">
        <v>6134</v>
      </c>
    </row>
    <row r="506" spans="10:10" x14ac:dyDescent="0.45">
      <c r="J506" t="s">
        <v>6136</v>
      </c>
    </row>
    <row r="507" spans="10:10" x14ac:dyDescent="0.45">
      <c r="J507" t="s">
        <v>6137</v>
      </c>
    </row>
    <row r="508" spans="10:10" x14ac:dyDescent="0.45">
      <c r="J508" t="s">
        <v>6141</v>
      </c>
    </row>
    <row r="509" spans="10:10" x14ac:dyDescent="0.45">
      <c r="J509" t="s">
        <v>3902</v>
      </c>
    </row>
    <row r="510" spans="10:10" x14ac:dyDescent="0.45">
      <c r="J510" t="s">
        <v>6144</v>
      </c>
    </row>
    <row r="511" spans="10:10" x14ac:dyDescent="0.45">
      <c r="J511" t="s">
        <v>6145</v>
      </c>
    </row>
    <row r="512" spans="10:10" x14ac:dyDescent="0.45">
      <c r="J512" t="s">
        <v>6147</v>
      </c>
    </row>
    <row r="513" spans="10:10" x14ac:dyDescent="0.45">
      <c r="J513" t="s">
        <v>6148</v>
      </c>
    </row>
    <row r="514" spans="10:10" x14ac:dyDescent="0.45">
      <c r="J514" t="s">
        <v>6149</v>
      </c>
    </row>
    <row r="515" spans="10:10" x14ac:dyDescent="0.45">
      <c r="J515" t="s">
        <v>6151</v>
      </c>
    </row>
    <row r="516" spans="10:10" x14ac:dyDescent="0.45">
      <c r="J516" t="s">
        <v>6155</v>
      </c>
    </row>
    <row r="517" spans="10:10" x14ac:dyDescent="0.45">
      <c r="J517" t="s">
        <v>6157</v>
      </c>
    </row>
    <row r="518" spans="10:10" x14ac:dyDescent="0.45">
      <c r="J518" t="s">
        <v>6158</v>
      </c>
    </row>
    <row r="519" spans="10:10" x14ac:dyDescent="0.45">
      <c r="J519" t="s">
        <v>6159</v>
      </c>
    </row>
    <row r="520" spans="10:10" x14ac:dyDescent="0.45">
      <c r="J520" t="s">
        <v>10368</v>
      </c>
    </row>
    <row r="521" spans="10:10" x14ac:dyDescent="0.45">
      <c r="J521" t="s">
        <v>10367</v>
      </c>
    </row>
    <row r="522" spans="10:10" x14ac:dyDescent="0.45">
      <c r="J522" t="s">
        <v>6161</v>
      </c>
    </row>
    <row r="523" spans="10:10" x14ac:dyDescent="0.45">
      <c r="J523" t="s">
        <v>10366</v>
      </c>
    </row>
    <row r="524" spans="10:10" x14ac:dyDescent="0.45">
      <c r="J524" t="s">
        <v>10365</v>
      </c>
    </row>
    <row r="525" spans="10:10" x14ac:dyDescent="0.45">
      <c r="J525" t="s">
        <v>6166</v>
      </c>
    </row>
    <row r="526" spans="10:10" x14ac:dyDescent="0.45">
      <c r="J526" t="s">
        <v>6167</v>
      </c>
    </row>
    <row r="527" spans="10:10" x14ac:dyDescent="0.45">
      <c r="J527" t="s">
        <v>6168</v>
      </c>
    </row>
    <row r="528" spans="10:10" x14ac:dyDescent="0.45">
      <c r="J528" t="s">
        <v>6171</v>
      </c>
    </row>
    <row r="529" spans="10:10" x14ac:dyDescent="0.45">
      <c r="J529" t="s">
        <v>6174</v>
      </c>
    </row>
    <row r="530" spans="10:10" x14ac:dyDescent="0.45">
      <c r="J530" t="s">
        <v>10364</v>
      </c>
    </row>
    <row r="531" spans="10:10" x14ac:dyDescent="0.45">
      <c r="J531" t="s">
        <v>10363</v>
      </c>
    </row>
    <row r="532" spans="10:10" x14ac:dyDescent="0.45">
      <c r="J532" t="s">
        <v>10362</v>
      </c>
    </row>
    <row r="533" spans="10:10" x14ac:dyDescent="0.45">
      <c r="J533" t="s">
        <v>10361</v>
      </c>
    </row>
    <row r="534" spans="10:10" x14ac:dyDescent="0.45">
      <c r="J534" t="s">
        <v>10360</v>
      </c>
    </row>
    <row r="535" spans="10:10" x14ac:dyDescent="0.45">
      <c r="J535" t="s">
        <v>10359</v>
      </c>
    </row>
    <row r="536" spans="10:10" x14ac:dyDescent="0.45">
      <c r="J536" t="s">
        <v>10358</v>
      </c>
    </row>
    <row r="537" spans="10:10" x14ac:dyDescent="0.45">
      <c r="J537" t="s">
        <v>10357</v>
      </c>
    </row>
    <row r="538" spans="10:10" x14ac:dyDescent="0.45">
      <c r="J538" t="s">
        <v>10356</v>
      </c>
    </row>
    <row r="539" spans="10:10" x14ac:dyDescent="0.45">
      <c r="J539" t="s">
        <v>10355</v>
      </c>
    </row>
    <row r="540" spans="10:10" x14ac:dyDescent="0.45">
      <c r="J540" t="s">
        <v>10354</v>
      </c>
    </row>
    <row r="541" spans="10:10" x14ac:dyDescent="0.45">
      <c r="J541" t="s">
        <v>10353</v>
      </c>
    </row>
    <row r="542" spans="10:10" x14ac:dyDescent="0.45">
      <c r="J542" t="s">
        <v>10352</v>
      </c>
    </row>
    <row r="543" spans="10:10" x14ac:dyDescent="0.45">
      <c r="J543" t="s">
        <v>10351</v>
      </c>
    </row>
    <row r="544" spans="10:10" x14ac:dyDescent="0.45">
      <c r="J544" t="s">
        <v>10350</v>
      </c>
    </row>
    <row r="545" spans="10:10" x14ac:dyDescent="0.45">
      <c r="J545" t="s">
        <v>10349</v>
      </c>
    </row>
    <row r="546" spans="10:10" x14ac:dyDescent="0.45">
      <c r="J546" t="s">
        <v>10348</v>
      </c>
    </row>
    <row r="547" spans="10:10" x14ac:dyDescent="0.45">
      <c r="J547" t="s">
        <v>10347</v>
      </c>
    </row>
    <row r="548" spans="10:10" x14ac:dyDescent="0.45">
      <c r="J548" t="s">
        <v>10346</v>
      </c>
    </row>
    <row r="549" spans="10:10" x14ac:dyDescent="0.45">
      <c r="J549" t="s">
        <v>10345</v>
      </c>
    </row>
    <row r="550" spans="10:10" x14ac:dyDescent="0.45">
      <c r="J550" t="s">
        <v>10344</v>
      </c>
    </row>
    <row r="551" spans="10:10" x14ac:dyDescent="0.45">
      <c r="J551" t="s">
        <v>10343</v>
      </c>
    </row>
    <row r="552" spans="10:10" x14ac:dyDescent="0.45">
      <c r="J552" t="s">
        <v>10342</v>
      </c>
    </row>
    <row r="553" spans="10:10" x14ac:dyDescent="0.45">
      <c r="J553" t="s">
        <v>10341</v>
      </c>
    </row>
    <row r="554" spans="10:10" x14ac:dyDescent="0.45">
      <c r="J554" t="s">
        <v>10340</v>
      </c>
    </row>
    <row r="555" spans="10:10" x14ac:dyDescent="0.45">
      <c r="J555" t="s">
        <v>10339</v>
      </c>
    </row>
    <row r="556" spans="10:10" x14ac:dyDescent="0.45">
      <c r="J556" t="s">
        <v>10338</v>
      </c>
    </row>
    <row r="557" spans="10:10" x14ac:dyDescent="0.45">
      <c r="J557" t="s">
        <v>10337</v>
      </c>
    </row>
    <row r="558" spans="10:10" x14ac:dyDescent="0.45">
      <c r="J558" t="s">
        <v>10336</v>
      </c>
    </row>
    <row r="559" spans="10:10" x14ac:dyDescent="0.45">
      <c r="J559" t="s">
        <v>10335</v>
      </c>
    </row>
    <row r="560" spans="10:10" x14ac:dyDescent="0.45">
      <c r="J560" t="s">
        <v>10334</v>
      </c>
    </row>
    <row r="561" spans="10:10" x14ac:dyDescent="0.45">
      <c r="J561" t="s">
        <v>10333</v>
      </c>
    </row>
    <row r="562" spans="10:10" x14ac:dyDescent="0.45">
      <c r="J562" t="s">
        <v>10332</v>
      </c>
    </row>
    <row r="563" spans="10:10" x14ac:dyDescent="0.45">
      <c r="J563" t="s">
        <v>10331</v>
      </c>
    </row>
    <row r="564" spans="10:10" x14ac:dyDescent="0.45">
      <c r="J564" t="s">
        <v>10330</v>
      </c>
    </row>
    <row r="565" spans="10:10" x14ac:dyDescent="0.45">
      <c r="J565" t="s">
        <v>10329</v>
      </c>
    </row>
    <row r="566" spans="10:10" x14ac:dyDescent="0.45">
      <c r="J566" t="s">
        <v>10328</v>
      </c>
    </row>
    <row r="567" spans="10:10" x14ac:dyDescent="0.45">
      <c r="J567" t="s">
        <v>10327</v>
      </c>
    </row>
    <row r="568" spans="10:10" x14ac:dyDescent="0.45">
      <c r="J568" t="s">
        <v>10326</v>
      </c>
    </row>
    <row r="569" spans="10:10" x14ac:dyDescent="0.45">
      <c r="J569" t="s">
        <v>10325</v>
      </c>
    </row>
    <row r="570" spans="10:10" x14ac:dyDescent="0.45">
      <c r="J570" t="s">
        <v>10324</v>
      </c>
    </row>
    <row r="571" spans="10:10" x14ac:dyDescent="0.45">
      <c r="J571" t="s">
        <v>10323</v>
      </c>
    </row>
  </sheetData>
  <sheetProtection sheet="1" objects="1" scenarios="1"/>
  <sortState xmlns:xlrd2="http://schemas.microsoft.com/office/spreadsheetml/2017/richdata2" ref="AV2:AV175">
    <sortCondition ref="AV175"/>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H223"/>
  <sheetViews>
    <sheetView topLeftCell="B1" zoomScale="85" zoomScaleNormal="85" workbookViewId="0">
      <pane ySplit="1" topLeftCell="A2" activePane="bottomLeft" state="frozen"/>
      <selection pane="bottomLeft" activeCell="G7" sqref="G7"/>
    </sheetView>
  </sheetViews>
  <sheetFormatPr defaultColWidth="9.1328125" defaultRowHeight="14.25" x14ac:dyDescent="0.45"/>
  <cols>
    <col min="1" max="1" width="35" bestFit="1" customWidth="1"/>
    <col min="2" max="8" width="26.73046875" customWidth="1"/>
  </cols>
  <sheetData>
    <row r="1" spans="1:8" s="1" customFormat="1" x14ac:dyDescent="0.45">
      <c r="A1" s="1" t="s">
        <v>10658</v>
      </c>
      <c r="B1" s="1" t="str">
        <f>A2</f>
        <v>Metro Trains</v>
      </c>
      <c r="C1" s="1" t="str">
        <f t="shared" ref="C1:H1" ca="1" si="0">OFFSET($A2,(MATCH(B1,$A:$A)-1),0)</f>
        <v>Public Transport Victoria</v>
      </c>
      <c r="D1" s="1" t="str">
        <f t="shared" ca="1" si="0"/>
        <v>Transport Accident Commission (TAC)</v>
      </c>
      <c r="E1" s="1" t="str">
        <f t="shared" ca="1" si="0"/>
        <v>V/Line Pty Ltd</v>
      </c>
      <c r="F1" s="1" t="str">
        <f t="shared" ca="1" si="0"/>
        <v>VicRoads</v>
      </c>
      <c r="G1" s="1" t="str">
        <f t="shared" ca="1" si="0"/>
        <v>VicTrack</v>
      </c>
      <c r="H1" s="1" t="str">
        <f t="shared" ca="1" si="0"/>
        <v>Yarra Trams (Keolis Downer)</v>
      </c>
    </row>
    <row r="2" spans="1:8" x14ac:dyDescent="0.45">
      <c r="A2" t="str">
        <f>'State Depts'!J2</f>
        <v>Metro Trains</v>
      </c>
      <c r="B2" s="45" t="s">
        <v>9700</v>
      </c>
      <c r="E2" s="92" t="s">
        <v>10052</v>
      </c>
      <c r="G2" s="91" t="s">
        <v>10086</v>
      </c>
    </row>
    <row r="3" spans="1:8" x14ac:dyDescent="0.45">
      <c r="A3" t="str">
        <f>'State Depts'!J3</f>
        <v>Public Transport Victoria</v>
      </c>
      <c r="B3" s="45" t="s">
        <v>9699</v>
      </c>
      <c r="E3" s="92" t="s">
        <v>10053</v>
      </c>
      <c r="G3" s="91" t="s">
        <v>10087</v>
      </c>
    </row>
    <row r="4" spans="1:8" x14ac:dyDescent="0.45">
      <c r="A4" t="str">
        <f>'State Depts'!J4</f>
        <v>Transport Accident Commission (TAC)</v>
      </c>
      <c r="B4" s="45" t="s">
        <v>9701</v>
      </c>
      <c r="E4" s="92" t="s">
        <v>9909</v>
      </c>
      <c r="G4" s="91" t="s">
        <v>10088</v>
      </c>
    </row>
    <row r="5" spans="1:8" x14ac:dyDescent="0.45">
      <c r="A5" t="str">
        <f>'State Depts'!J5</f>
        <v>V/Line Pty Ltd</v>
      </c>
      <c r="B5" s="45" t="s">
        <v>9702</v>
      </c>
      <c r="E5" s="92" t="s">
        <v>9910</v>
      </c>
      <c r="G5" s="91" t="s">
        <v>10089</v>
      </c>
    </row>
    <row r="6" spans="1:8" x14ac:dyDescent="0.45">
      <c r="A6" t="str">
        <f>'State Depts'!J6</f>
        <v>VicRoads</v>
      </c>
      <c r="B6" s="45" t="s">
        <v>9703</v>
      </c>
      <c r="E6" s="92" t="s">
        <v>10054</v>
      </c>
      <c r="G6" s="91" t="s">
        <v>10090</v>
      </c>
    </row>
    <row r="7" spans="1:8" x14ac:dyDescent="0.45">
      <c r="A7" t="str">
        <f>'State Depts'!J7</f>
        <v>VicTrack</v>
      </c>
      <c r="B7" s="45" t="s">
        <v>9704</v>
      </c>
      <c r="E7" s="92" t="s">
        <v>10055</v>
      </c>
      <c r="G7" s="91" t="s">
        <v>10091</v>
      </c>
    </row>
    <row r="8" spans="1:8" x14ac:dyDescent="0.45">
      <c r="A8" t="str">
        <f>'State Depts'!J8</f>
        <v>Yarra Trams (Keolis Downer)</v>
      </c>
      <c r="B8" s="45" t="s">
        <v>9705</v>
      </c>
      <c r="E8" s="92" t="s">
        <v>9911</v>
      </c>
      <c r="G8" s="91" t="s">
        <v>10092</v>
      </c>
    </row>
    <row r="9" spans="1:8" x14ac:dyDescent="0.45">
      <c r="B9" s="45" t="s">
        <v>9706</v>
      </c>
      <c r="E9" s="92" t="s">
        <v>10056</v>
      </c>
      <c r="G9" s="91" t="s">
        <v>10093</v>
      </c>
    </row>
    <row r="10" spans="1:8" x14ac:dyDescent="0.45">
      <c r="B10" s="45" t="s">
        <v>9707</v>
      </c>
      <c r="E10" s="92" t="s">
        <v>10057</v>
      </c>
      <c r="G10" s="91" t="s">
        <v>10094</v>
      </c>
    </row>
    <row r="11" spans="1:8" x14ac:dyDescent="0.45">
      <c r="B11" s="45" t="s">
        <v>9708</v>
      </c>
      <c r="E11" s="92" t="s">
        <v>10058</v>
      </c>
      <c r="G11" s="91" t="s">
        <v>10095</v>
      </c>
    </row>
    <row r="12" spans="1:8" x14ac:dyDescent="0.45">
      <c r="B12" s="45" t="s">
        <v>9709</v>
      </c>
      <c r="E12" s="92" t="s">
        <v>9912</v>
      </c>
      <c r="G12" s="91" t="s">
        <v>10096</v>
      </c>
    </row>
    <row r="13" spans="1:8" x14ac:dyDescent="0.45">
      <c r="B13" s="45" t="s">
        <v>9710</v>
      </c>
      <c r="E13" s="92" t="s">
        <v>10059</v>
      </c>
      <c r="G13" s="91" t="s">
        <v>10097</v>
      </c>
    </row>
    <row r="14" spans="1:8" x14ac:dyDescent="0.45">
      <c r="B14" s="45" t="s">
        <v>9711</v>
      </c>
      <c r="E14" s="92" t="s">
        <v>10060</v>
      </c>
      <c r="G14" s="91" t="s">
        <v>10098</v>
      </c>
    </row>
    <row r="15" spans="1:8" x14ac:dyDescent="0.45">
      <c r="B15" s="45" t="s">
        <v>9712</v>
      </c>
      <c r="E15" s="92" t="s">
        <v>9913</v>
      </c>
      <c r="G15" s="91" t="s">
        <v>10099</v>
      </c>
    </row>
    <row r="16" spans="1:8" x14ac:dyDescent="0.45">
      <c r="B16" s="45" t="s">
        <v>9713</v>
      </c>
      <c r="E16" s="92" t="s">
        <v>9928</v>
      </c>
      <c r="G16" s="91" t="s">
        <v>10100</v>
      </c>
    </row>
    <row r="17" spans="2:7" x14ac:dyDescent="0.45">
      <c r="B17" s="45" t="s">
        <v>9714</v>
      </c>
      <c r="E17" s="92" t="s">
        <v>10061</v>
      </c>
      <c r="G17" s="91" t="s">
        <v>10101</v>
      </c>
    </row>
    <row r="18" spans="2:7" x14ac:dyDescent="0.45">
      <c r="B18" s="45" t="s">
        <v>9715</v>
      </c>
      <c r="E18" s="92" t="s">
        <v>9914</v>
      </c>
      <c r="G18" s="91" t="s">
        <v>10102</v>
      </c>
    </row>
    <row r="19" spans="2:7" x14ac:dyDescent="0.45">
      <c r="B19" s="45" t="s">
        <v>9716</v>
      </c>
      <c r="E19" s="92" t="s">
        <v>10062</v>
      </c>
      <c r="G19" s="91" t="s">
        <v>10103</v>
      </c>
    </row>
    <row r="20" spans="2:7" x14ac:dyDescent="0.45">
      <c r="B20" s="45" t="s">
        <v>9717</v>
      </c>
      <c r="E20" s="92" t="s">
        <v>10063</v>
      </c>
      <c r="G20" s="91" t="s">
        <v>10104</v>
      </c>
    </row>
    <row r="21" spans="2:7" x14ac:dyDescent="0.45">
      <c r="B21" s="45" t="s">
        <v>9718</v>
      </c>
      <c r="E21" s="92" t="s">
        <v>10064</v>
      </c>
      <c r="G21" s="91" t="s">
        <v>10105</v>
      </c>
    </row>
    <row r="22" spans="2:7" x14ac:dyDescent="0.45">
      <c r="B22" s="45" t="s">
        <v>9719</v>
      </c>
      <c r="E22" s="92" t="s">
        <v>10065</v>
      </c>
      <c r="G22" s="91" t="s">
        <v>10106</v>
      </c>
    </row>
    <row r="23" spans="2:7" x14ac:dyDescent="0.45">
      <c r="B23" s="45" t="s">
        <v>9720</v>
      </c>
      <c r="E23" s="92" t="s">
        <v>9915</v>
      </c>
      <c r="G23" s="91" t="s">
        <v>10107</v>
      </c>
    </row>
    <row r="24" spans="2:7" x14ac:dyDescent="0.45">
      <c r="B24" s="45" t="s">
        <v>9721</v>
      </c>
      <c r="E24" s="92" t="s">
        <v>9929</v>
      </c>
      <c r="G24" s="91" t="s">
        <v>10108</v>
      </c>
    </row>
    <row r="25" spans="2:7" x14ac:dyDescent="0.45">
      <c r="B25" s="45" t="s">
        <v>9722</v>
      </c>
      <c r="E25" s="92" t="s">
        <v>9916</v>
      </c>
      <c r="G25" s="91" t="s">
        <v>10109</v>
      </c>
    </row>
    <row r="26" spans="2:7" x14ac:dyDescent="0.45">
      <c r="B26" s="45" t="s">
        <v>9723</v>
      </c>
      <c r="E26" s="92" t="s">
        <v>9917</v>
      </c>
      <c r="G26" s="91" t="s">
        <v>10110</v>
      </c>
    </row>
    <row r="27" spans="2:7" x14ac:dyDescent="0.45">
      <c r="B27" s="45" t="s">
        <v>9724</v>
      </c>
      <c r="E27" s="92" t="s">
        <v>9919</v>
      </c>
      <c r="G27" s="91" t="s">
        <v>10111</v>
      </c>
    </row>
    <row r="28" spans="2:7" x14ac:dyDescent="0.45">
      <c r="B28" s="45" t="s">
        <v>9725</v>
      </c>
      <c r="E28" s="92" t="s">
        <v>10066</v>
      </c>
      <c r="G28" s="91" t="s">
        <v>10112</v>
      </c>
    </row>
    <row r="29" spans="2:7" x14ac:dyDescent="0.45">
      <c r="B29" s="45" t="s">
        <v>9726</v>
      </c>
      <c r="E29" s="92" t="s">
        <v>9918</v>
      </c>
      <c r="G29" s="91" t="s">
        <v>10113</v>
      </c>
    </row>
    <row r="30" spans="2:7" x14ac:dyDescent="0.45">
      <c r="B30" s="45" t="s">
        <v>9727</v>
      </c>
      <c r="E30" s="92" t="s">
        <v>10067</v>
      </c>
      <c r="G30" s="91" t="s">
        <v>10114</v>
      </c>
    </row>
    <row r="31" spans="2:7" x14ac:dyDescent="0.45">
      <c r="B31" s="45" t="s">
        <v>9728</v>
      </c>
      <c r="E31" s="92" t="s">
        <v>10068</v>
      </c>
      <c r="G31" s="91" t="s">
        <v>10115</v>
      </c>
    </row>
    <row r="32" spans="2:7" x14ac:dyDescent="0.45">
      <c r="B32" s="45" t="s">
        <v>9729</v>
      </c>
      <c r="E32" s="92" t="s">
        <v>10069</v>
      </c>
      <c r="G32" s="91" t="s">
        <v>10116</v>
      </c>
    </row>
    <row r="33" spans="2:7" x14ac:dyDescent="0.45">
      <c r="B33" s="45" t="s">
        <v>9730</v>
      </c>
      <c r="E33" s="92" t="s">
        <v>9920</v>
      </c>
      <c r="G33" s="91" t="s">
        <v>10117</v>
      </c>
    </row>
    <row r="34" spans="2:7" x14ac:dyDescent="0.45">
      <c r="B34" s="45" t="s">
        <v>9731</v>
      </c>
      <c r="E34" s="92" t="s">
        <v>10070</v>
      </c>
      <c r="G34" s="91" t="s">
        <v>10118</v>
      </c>
    </row>
    <row r="35" spans="2:7" x14ac:dyDescent="0.45">
      <c r="B35" s="45" t="s">
        <v>9732</v>
      </c>
      <c r="E35" s="92" t="s">
        <v>10071</v>
      </c>
      <c r="G35" s="91" t="s">
        <v>10119</v>
      </c>
    </row>
    <row r="36" spans="2:7" x14ac:dyDescent="0.45">
      <c r="B36" s="45" t="s">
        <v>9733</v>
      </c>
      <c r="E36" s="92" t="s">
        <v>10072</v>
      </c>
      <c r="G36" s="91" t="s">
        <v>10120</v>
      </c>
    </row>
    <row r="37" spans="2:7" x14ac:dyDescent="0.45">
      <c r="B37" s="45" t="s">
        <v>9734</v>
      </c>
      <c r="E37" s="92" t="s">
        <v>10073</v>
      </c>
      <c r="G37" s="91" t="s">
        <v>10121</v>
      </c>
    </row>
    <row r="38" spans="2:7" x14ac:dyDescent="0.45">
      <c r="B38" s="45" t="s">
        <v>9735</v>
      </c>
      <c r="E38" s="92" t="s">
        <v>10074</v>
      </c>
      <c r="G38" s="91" t="s">
        <v>10122</v>
      </c>
    </row>
    <row r="39" spans="2:7" x14ac:dyDescent="0.45">
      <c r="B39" s="45" t="s">
        <v>9736</v>
      </c>
      <c r="E39" s="92" t="s">
        <v>10075</v>
      </c>
      <c r="G39" s="91" t="s">
        <v>10123</v>
      </c>
    </row>
    <row r="40" spans="2:7" x14ac:dyDescent="0.45">
      <c r="B40" s="45" t="s">
        <v>9737</v>
      </c>
      <c r="E40" s="92" t="s">
        <v>9921</v>
      </c>
      <c r="G40" s="91" t="s">
        <v>10124</v>
      </c>
    </row>
    <row r="41" spans="2:7" x14ac:dyDescent="0.45">
      <c r="B41" s="45" t="s">
        <v>9738</v>
      </c>
      <c r="E41" s="92" t="s">
        <v>10076</v>
      </c>
      <c r="G41" s="91" t="s">
        <v>7379</v>
      </c>
    </row>
    <row r="42" spans="2:7" x14ac:dyDescent="0.45">
      <c r="B42" s="45" t="s">
        <v>9739</v>
      </c>
      <c r="E42" s="92" t="s">
        <v>10077</v>
      </c>
      <c r="G42" s="91" t="s">
        <v>10125</v>
      </c>
    </row>
    <row r="43" spans="2:7" x14ac:dyDescent="0.45">
      <c r="B43" s="45" t="s">
        <v>9740</v>
      </c>
      <c r="E43" s="92" t="s">
        <v>10078</v>
      </c>
      <c r="G43" s="91" t="s">
        <v>10126</v>
      </c>
    </row>
    <row r="44" spans="2:7" x14ac:dyDescent="0.45">
      <c r="B44" s="45" t="s">
        <v>9741</v>
      </c>
      <c r="E44" s="92" t="s">
        <v>9922</v>
      </c>
      <c r="G44" s="91" t="s">
        <v>10127</v>
      </c>
    </row>
    <row r="45" spans="2:7" x14ac:dyDescent="0.45">
      <c r="B45" s="45" t="s">
        <v>9742</v>
      </c>
      <c r="E45" s="92" t="s">
        <v>9922</v>
      </c>
      <c r="G45" s="91" t="s">
        <v>10128</v>
      </c>
    </row>
    <row r="46" spans="2:7" x14ac:dyDescent="0.45">
      <c r="B46" s="45" t="s">
        <v>9743</v>
      </c>
      <c r="E46" s="92" t="s">
        <v>9923</v>
      </c>
      <c r="G46" s="91" t="s">
        <v>10129</v>
      </c>
    </row>
    <row r="47" spans="2:7" x14ac:dyDescent="0.45">
      <c r="B47" s="45" t="s">
        <v>9744</v>
      </c>
      <c r="E47" s="92" t="s">
        <v>10079</v>
      </c>
      <c r="G47" s="91" t="s">
        <v>10130</v>
      </c>
    </row>
    <row r="48" spans="2:7" x14ac:dyDescent="0.45">
      <c r="B48" s="45" t="s">
        <v>9745</v>
      </c>
      <c r="E48" s="92" t="s">
        <v>9924</v>
      </c>
      <c r="G48" s="91" t="s">
        <v>10131</v>
      </c>
    </row>
    <row r="49" spans="2:7" x14ac:dyDescent="0.45">
      <c r="B49" s="45" t="s">
        <v>9746</v>
      </c>
      <c r="E49" s="92" t="s">
        <v>10080</v>
      </c>
      <c r="G49" s="91" t="s">
        <v>10132</v>
      </c>
    </row>
    <row r="50" spans="2:7" x14ac:dyDescent="0.45">
      <c r="B50" s="45" t="s">
        <v>9747</v>
      </c>
      <c r="E50" s="92" t="s">
        <v>9925</v>
      </c>
      <c r="G50" s="91" t="s">
        <v>10133</v>
      </c>
    </row>
    <row r="51" spans="2:7" x14ac:dyDescent="0.45">
      <c r="B51" s="45" t="s">
        <v>9748</v>
      </c>
      <c r="E51" s="92" t="s">
        <v>9926</v>
      </c>
      <c r="G51" s="91" t="s">
        <v>10134</v>
      </c>
    </row>
    <row r="52" spans="2:7" x14ac:dyDescent="0.45">
      <c r="B52" s="45" t="s">
        <v>9749</v>
      </c>
      <c r="E52" s="92" t="s">
        <v>9927</v>
      </c>
      <c r="G52" s="91" t="s">
        <v>10135</v>
      </c>
    </row>
    <row r="53" spans="2:7" x14ac:dyDescent="0.45">
      <c r="B53" s="45" t="s">
        <v>9750</v>
      </c>
      <c r="E53" s="92" t="s">
        <v>10081</v>
      </c>
      <c r="G53" s="91" t="s">
        <v>10136</v>
      </c>
    </row>
    <row r="54" spans="2:7" x14ac:dyDescent="0.45">
      <c r="B54" s="45" t="s">
        <v>9751</v>
      </c>
      <c r="E54" s="92" t="s">
        <v>10082</v>
      </c>
      <c r="G54" s="91" t="s">
        <v>10137</v>
      </c>
    </row>
    <row r="55" spans="2:7" x14ac:dyDescent="0.45">
      <c r="B55" s="45" t="s">
        <v>5499</v>
      </c>
      <c r="E55" s="92" t="s">
        <v>10083</v>
      </c>
      <c r="G55" s="91" t="s">
        <v>10138</v>
      </c>
    </row>
    <row r="56" spans="2:7" x14ac:dyDescent="0.45">
      <c r="B56" s="45" t="s">
        <v>5500</v>
      </c>
      <c r="E56" s="92" t="s">
        <v>10084</v>
      </c>
      <c r="G56" s="91" t="s">
        <v>10139</v>
      </c>
    </row>
    <row r="57" spans="2:7" x14ac:dyDescent="0.45">
      <c r="B57" s="45" t="s">
        <v>9752</v>
      </c>
      <c r="E57" s="92" t="s">
        <v>10085</v>
      </c>
      <c r="G57" s="91" t="s">
        <v>10140</v>
      </c>
    </row>
    <row r="58" spans="2:7" x14ac:dyDescent="0.45">
      <c r="B58" s="45" t="s">
        <v>9753</v>
      </c>
      <c r="G58" s="91" t="s">
        <v>10141</v>
      </c>
    </row>
    <row r="59" spans="2:7" x14ac:dyDescent="0.45">
      <c r="B59" s="45" t="s">
        <v>5501</v>
      </c>
      <c r="G59" s="91" t="s">
        <v>10142</v>
      </c>
    </row>
    <row r="60" spans="2:7" x14ac:dyDescent="0.45">
      <c r="B60" s="45" t="s">
        <v>9754</v>
      </c>
      <c r="G60" s="91" t="s">
        <v>7758</v>
      </c>
    </row>
    <row r="61" spans="2:7" x14ac:dyDescent="0.45">
      <c r="B61" s="45" t="s">
        <v>9755</v>
      </c>
      <c r="G61" s="91" t="s">
        <v>10143</v>
      </c>
    </row>
    <row r="62" spans="2:7" x14ac:dyDescent="0.45">
      <c r="B62" s="45" t="s">
        <v>9756</v>
      </c>
      <c r="G62" s="91" t="s">
        <v>10144</v>
      </c>
    </row>
    <row r="63" spans="2:7" x14ac:dyDescent="0.45">
      <c r="B63" s="45" t="s">
        <v>9757</v>
      </c>
      <c r="G63" s="91" t="s">
        <v>10145</v>
      </c>
    </row>
    <row r="64" spans="2:7" x14ac:dyDescent="0.45">
      <c r="B64" s="45" t="s">
        <v>9758</v>
      </c>
      <c r="G64" s="91" t="s">
        <v>10146</v>
      </c>
    </row>
    <row r="65" spans="2:7" x14ac:dyDescent="0.45">
      <c r="B65" s="45" t="s">
        <v>5502</v>
      </c>
      <c r="G65" s="91" t="s">
        <v>10147</v>
      </c>
    </row>
    <row r="66" spans="2:7" x14ac:dyDescent="0.45">
      <c r="B66" s="45" t="s">
        <v>9759</v>
      </c>
      <c r="G66" s="91" t="s">
        <v>10148</v>
      </c>
    </row>
    <row r="67" spans="2:7" x14ac:dyDescent="0.45">
      <c r="B67" s="45" t="s">
        <v>9760</v>
      </c>
      <c r="G67" s="91" t="s">
        <v>10149</v>
      </c>
    </row>
    <row r="68" spans="2:7" x14ac:dyDescent="0.45">
      <c r="B68" s="45" t="s">
        <v>9761</v>
      </c>
      <c r="G68" s="91" t="s">
        <v>10150</v>
      </c>
    </row>
    <row r="69" spans="2:7" x14ac:dyDescent="0.45">
      <c r="B69" s="45" t="s">
        <v>9762</v>
      </c>
      <c r="G69" s="91" t="s">
        <v>10151</v>
      </c>
    </row>
    <row r="70" spans="2:7" x14ac:dyDescent="0.45">
      <c r="B70" s="45" t="s">
        <v>9763</v>
      </c>
      <c r="G70" s="91" t="s">
        <v>10152</v>
      </c>
    </row>
    <row r="71" spans="2:7" x14ac:dyDescent="0.45">
      <c r="B71" s="45" t="s">
        <v>9764</v>
      </c>
      <c r="G71" s="91" t="s">
        <v>10153</v>
      </c>
    </row>
    <row r="72" spans="2:7" x14ac:dyDescent="0.45">
      <c r="B72" s="45" t="s">
        <v>5503</v>
      </c>
      <c r="G72" s="91" t="s">
        <v>10154</v>
      </c>
    </row>
    <row r="73" spans="2:7" x14ac:dyDescent="0.45">
      <c r="B73" s="45" t="s">
        <v>9765</v>
      </c>
      <c r="G73" s="91" t="s">
        <v>10155</v>
      </c>
    </row>
    <row r="74" spans="2:7" x14ac:dyDescent="0.45">
      <c r="B74" s="45" t="s">
        <v>9766</v>
      </c>
      <c r="G74" s="91" t="s">
        <v>10156</v>
      </c>
    </row>
    <row r="75" spans="2:7" x14ac:dyDescent="0.45">
      <c r="B75" s="45" t="s">
        <v>9767</v>
      </c>
      <c r="G75" s="91" t="s">
        <v>10157</v>
      </c>
    </row>
    <row r="76" spans="2:7" x14ac:dyDescent="0.45">
      <c r="B76" s="45" t="s">
        <v>9768</v>
      </c>
      <c r="G76" s="91" t="s">
        <v>10158</v>
      </c>
    </row>
    <row r="77" spans="2:7" x14ac:dyDescent="0.45">
      <c r="B77" s="45" t="s">
        <v>9769</v>
      </c>
      <c r="G77" s="91" t="s">
        <v>10159</v>
      </c>
    </row>
    <row r="78" spans="2:7" x14ac:dyDescent="0.45">
      <c r="B78" s="45" t="s">
        <v>9770</v>
      </c>
      <c r="G78" s="91" t="s">
        <v>10160</v>
      </c>
    </row>
    <row r="79" spans="2:7" x14ac:dyDescent="0.45">
      <c r="B79" s="45" t="s">
        <v>9771</v>
      </c>
      <c r="G79" s="91" t="s">
        <v>10161</v>
      </c>
    </row>
    <row r="80" spans="2:7" x14ac:dyDescent="0.45">
      <c r="B80" s="45" t="s">
        <v>5504</v>
      </c>
      <c r="G80" s="91" t="s">
        <v>10162</v>
      </c>
    </row>
    <row r="81" spans="2:7" x14ac:dyDescent="0.45">
      <c r="B81" s="45" t="s">
        <v>9772</v>
      </c>
      <c r="G81" s="91" t="s">
        <v>10163</v>
      </c>
    </row>
    <row r="82" spans="2:7" x14ac:dyDescent="0.45">
      <c r="B82" s="45" t="s">
        <v>9773</v>
      </c>
      <c r="G82" s="91" t="s">
        <v>10164</v>
      </c>
    </row>
    <row r="83" spans="2:7" x14ac:dyDescent="0.45">
      <c r="B83" s="45" t="s">
        <v>9774</v>
      </c>
      <c r="G83" s="91" t="s">
        <v>10165</v>
      </c>
    </row>
    <row r="84" spans="2:7" x14ac:dyDescent="0.45">
      <c r="B84" s="45" t="s">
        <v>9775</v>
      </c>
      <c r="G84" s="91" t="s">
        <v>10166</v>
      </c>
    </row>
    <row r="85" spans="2:7" x14ac:dyDescent="0.45">
      <c r="B85" s="45" t="s">
        <v>9776</v>
      </c>
      <c r="G85" s="91" t="s">
        <v>10167</v>
      </c>
    </row>
    <row r="86" spans="2:7" x14ac:dyDescent="0.45">
      <c r="B86" s="45" t="s">
        <v>9777</v>
      </c>
      <c r="G86" s="91" t="s">
        <v>10168</v>
      </c>
    </row>
    <row r="87" spans="2:7" x14ac:dyDescent="0.45">
      <c r="B87" s="45" t="s">
        <v>9778</v>
      </c>
      <c r="G87" s="91" t="s">
        <v>10169</v>
      </c>
    </row>
    <row r="88" spans="2:7" x14ac:dyDescent="0.45">
      <c r="B88" s="45" t="s">
        <v>9779</v>
      </c>
      <c r="G88" s="91" t="s">
        <v>10170</v>
      </c>
    </row>
    <row r="89" spans="2:7" x14ac:dyDescent="0.45">
      <c r="B89" s="45" t="s">
        <v>9780</v>
      </c>
      <c r="G89" s="91" t="s">
        <v>10171</v>
      </c>
    </row>
    <row r="90" spans="2:7" x14ac:dyDescent="0.45">
      <c r="B90" s="45" t="s">
        <v>9781</v>
      </c>
      <c r="G90" s="91" t="s">
        <v>10172</v>
      </c>
    </row>
    <row r="91" spans="2:7" x14ac:dyDescent="0.45">
      <c r="B91" s="45" t="s">
        <v>9782</v>
      </c>
      <c r="G91" s="91" t="s">
        <v>10173</v>
      </c>
    </row>
    <row r="92" spans="2:7" x14ac:dyDescent="0.45">
      <c r="B92" s="45" t="s">
        <v>9783</v>
      </c>
      <c r="G92" s="91" t="s">
        <v>10174</v>
      </c>
    </row>
    <row r="93" spans="2:7" x14ac:dyDescent="0.45">
      <c r="B93" s="45" t="s">
        <v>9784</v>
      </c>
      <c r="G93" s="91" t="s">
        <v>10175</v>
      </c>
    </row>
    <row r="94" spans="2:7" x14ac:dyDescent="0.45">
      <c r="B94" s="45" t="s">
        <v>9785</v>
      </c>
      <c r="G94" s="91" t="s">
        <v>10176</v>
      </c>
    </row>
    <row r="95" spans="2:7" x14ac:dyDescent="0.45">
      <c r="B95" s="45" t="s">
        <v>9786</v>
      </c>
      <c r="G95" s="91" t="s">
        <v>10177</v>
      </c>
    </row>
    <row r="96" spans="2:7" x14ac:dyDescent="0.45">
      <c r="B96" s="45" t="s">
        <v>9787</v>
      </c>
      <c r="G96" s="91" t="s">
        <v>10178</v>
      </c>
    </row>
    <row r="97" spans="2:7" x14ac:dyDescent="0.45">
      <c r="B97" s="45" t="s">
        <v>9788</v>
      </c>
      <c r="G97" s="91" t="s">
        <v>10179</v>
      </c>
    </row>
    <row r="98" spans="2:7" x14ac:dyDescent="0.45">
      <c r="B98" s="45" t="s">
        <v>9789</v>
      </c>
      <c r="G98" s="91" t="s">
        <v>10180</v>
      </c>
    </row>
    <row r="99" spans="2:7" x14ac:dyDescent="0.45">
      <c r="B99" s="45" t="s">
        <v>9790</v>
      </c>
      <c r="G99" s="91" t="s">
        <v>10181</v>
      </c>
    </row>
    <row r="100" spans="2:7" x14ac:dyDescent="0.45">
      <c r="B100" s="45" t="s">
        <v>9791</v>
      </c>
      <c r="G100" s="91" t="s">
        <v>10182</v>
      </c>
    </row>
    <row r="101" spans="2:7" x14ac:dyDescent="0.45">
      <c r="B101" s="45" t="s">
        <v>9792</v>
      </c>
      <c r="G101" s="91" t="s">
        <v>10183</v>
      </c>
    </row>
    <row r="102" spans="2:7" x14ac:dyDescent="0.45">
      <c r="B102" s="45" t="s">
        <v>9793</v>
      </c>
      <c r="G102" s="91" t="s">
        <v>10184</v>
      </c>
    </row>
    <row r="103" spans="2:7" x14ac:dyDescent="0.45">
      <c r="B103" s="45" t="s">
        <v>9794</v>
      </c>
      <c r="G103" s="91" t="s">
        <v>10185</v>
      </c>
    </row>
    <row r="104" spans="2:7" x14ac:dyDescent="0.45">
      <c r="B104" s="45" t="s">
        <v>9795</v>
      </c>
      <c r="G104" s="91" t="s">
        <v>10186</v>
      </c>
    </row>
    <row r="105" spans="2:7" x14ac:dyDescent="0.45">
      <c r="B105" s="45" t="s">
        <v>9796</v>
      </c>
      <c r="G105" s="91" t="s">
        <v>10187</v>
      </c>
    </row>
    <row r="106" spans="2:7" x14ac:dyDescent="0.45">
      <c r="B106" s="45" t="s">
        <v>9797</v>
      </c>
      <c r="G106" s="91" t="s">
        <v>10188</v>
      </c>
    </row>
    <row r="107" spans="2:7" x14ac:dyDescent="0.45">
      <c r="B107" s="45" t="s">
        <v>9798</v>
      </c>
      <c r="G107" s="91" t="s">
        <v>10189</v>
      </c>
    </row>
    <row r="108" spans="2:7" x14ac:dyDescent="0.45">
      <c r="B108" s="45" t="s">
        <v>10051</v>
      </c>
      <c r="G108" s="91" t="s">
        <v>10190</v>
      </c>
    </row>
    <row r="109" spans="2:7" x14ac:dyDescent="0.45">
      <c r="B109" s="45" t="s">
        <v>5506</v>
      </c>
      <c r="G109" s="91" t="s">
        <v>10191</v>
      </c>
    </row>
    <row r="110" spans="2:7" x14ac:dyDescent="0.45">
      <c r="B110" s="45" t="s">
        <v>9799</v>
      </c>
      <c r="G110" s="91" t="s">
        <v>10192</v>
      </c>
    </row>
    <row r="111" spans="2:7" x14ac:dyDescent="0.45">
      <c r="B111" s="45" t="s">
        <v>9800</v>
      </c>
      <c r="G111" s="91" t="s">
        <v>10193</v>
      </c>
    </row>
    <row r="112" spans="2:7" x14ac:dyDescent="0.45">
      <c r="B112" s="45" t="s">
        <v>9801</v>
      </c>
      <c r="G112" s="91" t="s">
        <v>10194</v>
      </c>
    </row>
    <row r="113" spans="2:7" x14ac:dyDescent="0.45">
      <c r="B113" s="45" t="s">
        <v>9802</v>
      </c>
      <c r="G113" s="91" t="s">
        <v>10195</v>
      </c>
    </row>
    <row r="114" spans="2:7" x14ac:dyDescent="0.45">
      <c r="B114" s="45" t="s">
        <v>9803</v>
      </c>
      <c r="G114" s="91" t="s">
        <v>10196</v>
      </c>
    </row>
    <row r="115" spans="2:7" x14ac:dyDescent="0.45">
      <c r="B115" s="45" t="s">
        <v>9804</v>
      </c>
      <c r="G115" s="91" t="s">
        <v>10197</v>
      </c>
    </row>
    <row r="116" spans="2:7" x14ac:dyDescent="0.45">
      <c r="B116" s="45" t="s">
        <v>9805</v>
      </c>
      <c r="G116" s="91" t="s">
        <v>10198</v>
      </c>
    </row>
    <row r="117" spans="2:7" x14ac:dyDescent="0.45">
      <c r="B117" s="45" t="s">
        <v>9806</v>
      </c>
      <c r="G117" s="91" t="s">
        <v>10199</v>
      </c>
    </row>
    <row r="118" spans="2:7" x14ac:dyDescent="0.45">
      <c r="B118" s="45" t="s">
        <v>9807</v>
      </c>
      <c r="G118" s="91" t="s">
        <v>9020</v>
      </c>
    </row>
    <row r="119" spans="2:7" x14ac:dyDescent="0.45">
      <c r="B119" s="45" t="s">
        <v>9808</v>
      </c>
      <c r="G119" s="91" t="s">
        <v>10200</v>
      </c>
    </row>
    <row r="120" spans="2:7" x14ac:dyDescent="0.45">
      <c r="B120" s="45" t="s">
        <v>9809</v>
      </c>
      <c r="G120" s="91" t="s">
        <v>10201</v>
      </c>
    </row>
    <row r="121" spans="2:7" x14ac:dyDescent="0.45">
      <c r="B121" s="45" t="s">
        <v>9810</v>
      </c>
      <c r="G121" s="91" t="s">
        <v>10202</v>
      </c>
    </row>
    <row r="122" spans="2:7" x14ac:dyDescent="0.45">
      <c r="B122" s="45" t="s">
        <v>9811</v>
      </c>
      <c r="G122" s="91" t="s">
        <v>10203</v>
      </c>
    </row>
    <row r="123" spans="2:7" x14ac:dyDescent="0.45">
      <c r="B123" s="45" t="s">
        <v>9812</v>
      </c>
      <c r="G123" s="91" t="s">
        <v>10204</v>
      </c>
    </row>
    <row r="124" spans="2:7" x14ac:dyDescent="0.45">
      <c r="B124" s="45" t="s">
        <v>9813</v>
      </c>
      <c r="G124" s="91" t="s">
        <v>10205</v>
      </c>
    </row>
    <row r="125" spans="2:7" x14ac:dyDescent="0.45">
      <c r="B125" s="45" t="s">
        <v>9814</v>
      </c>
      <c r="G125" s="91" t="s">
        <v>10206</v>
      </c>
    </row>
    <row r="126" spans="2:7" x14ac:dyDescent="0.45">
      <c r="B126" s="45" t="s">
        <v>9815</v>
      </c>
      <c r="G126" s="91" t="s">
        <v>10207</v>
      </c>
    </row>
    <row r="127" spans="2:7" x14ac:dyDescent="0.45">
      <c r="B127" s="45" t="s">
        <v>9816</v>
      </c>
      <c r="G127" s="91" t="s">
        <v>10208</v>
      </c>
    </row>
    <row r="128" spans="2:7" x14ac:dyDescent="0.45">
      <c r="B128" s="45" t="s">
        <v>9817</v>
      </c>
      <c r="G128" s="91" t="s">
        <v>10209</v>
      </c>
    </row>
    <row r="129" spans="2:7" x14ac:dyDescent="0.45">
      <c r="B129" s="45" t="s">
        <v>9818</v>
      </c>
      <c r="G129" s="91" t="s">
        <v>10210</v>
      </c>
    </row>
    <row r="130" spans="2:7" x14ac:dyDescent="0.45">
      <c r="B130" s="45" t="s">
        <v>9819</v>
      </c>
      <c r="G130" s="91" t="s">
        <v>10211</v>
      </c>
    </row>
    <row r="131" spans="2:7" x14ac:dyDescent="0.45">
      <c r="B131" s="45" t="s">
        <v>9820</v>
      </c>
      <c r="G131" s="91" t="s">
        <v>10212</v>
      </c>
    </row>
    <row r="132" spans="2:7" x14ac:dyDescent="0.45">
      <c r="B132" s="45" t="s">
        <v>9821</v>
      </c>
      <c r="G132" s="91" t="s">
        <v>10213</v>
      </c>
    </row>
    <row r="133" spans="2:7" x14ac:dyDescent="0.45">
      <c r="B133" s="45" t="s">
        <v>9822</v>
      </c>
      <c r="G133" s="91" t="s">
        <v>10214</v>
      </c>
    </row>
    <row r="134" spans="2:7" x14ac:dyDescent="0.45">
      <c r="B134" s="45" t="s">
        <v>9823</v>
      </c>
      <c r="G134" s="91" t="s">
        <v>10215</v>
      </c>
    </row>
    <row r="135" spans="2:7" x14ac:dyDescent="0.45">
      <c r="B135" s="45" t="s">
        <v>9824</v>
      </c>
      <c r="G135" s="91" t="s">
        <v>10216</v>
      </c>
    </row>
    <row r="136" spans="2:7" x14ac:dyDescent="0.45">
      <c r="B136" s="45" t="s">
        <v>9825</v>
      </c>
      <c r="G136" s="91" t="s">
        <v>10217</v>
      </c>
    </row>
    <row r="137" spans="2:7" x14ac:dyDescent="0.45">
      <c r="B137" s="45" t="s">
        <v>9826</v>
      </c>
      <c r="G137" s="91" t="s">
        <v>10218</v>
      </c>
    </row>
    <row r="138" spans="2:7" x14ac:dyDescent="0.45">
      <c r="B138" s="45" t="s">
        <v>9827</v>
      </c>
      <c r="G138" s="91" t="s">
        <v>10219</v>
      </c>
    </row>
    <row r="139" spans="2:7" x14ac:dyDescent="0.45">
      <c r="B139" s="45" t="s">
        <v>9828</v>
      </c>
      <c r="G139" s="91" t="s">
        <v>10220</v>
      </c>
    </row>
    <row r="140" spans="2:7" x14ac:dyDescent="0.45">
      <c r="B140" s="45" t="s">
        <v>9829</v>
      </c>
      <c r="G140" s="91" t="s">
        <v>10221</v>
      </c>
    </row>
    <row r="141" spans="2:7" x14ac:dyDescent="0.45">
      <c r="B141" s="45" t="s">
        <v>9830</v>
      </c>
      <c r="G141" s="91" t="s">
        <v>10222</v>
      </c>
    </row>
    <row r="142" spans="2:7" x14ac:dyDescent="0.45">
      <c r="B142" s="45" t="s">
        <v>9831</v>
      </c>
      <c r="G142" s="91" t="s">
        <v>10223</v>
      </c>
    </row>
    <row r="143" spans="2:7" x14ac:dyDescent="0.45">
      <c r="B143" s="45" t="s">
        <v>9832</v>
      </c>
      <c r="G143" s="91" t="s">
        <v>10224</v>
      </c>
    </row>
    <row r="144" spans="2:7" x14ac:dyDescent="0.45">
      <c r="B144" s="45" t="s">
        <v>9833</v>
      </c>
      <c r="G144" s="91" t="s">
        <v>10225</v>
      </c>
    </row>
    <row r="145" spans="2:7" x14ac:dyDescent="0.45">
      <c r="B145" s="45" t="s">
        <v>9834</v>
      </c>
      <c r="G145" s="91" t="s">
        <v>10226</v>
      </c>
    </row>
    <row r="146" spans="2:7" x14ac:dyDescent="0.45">
      <c r="B146" s="45" t="s">
        <v>9835</v>
      </c>
      <c r="G146" s="91" t="s">
        <v>10227</v>
      </c>
    </row>
    <row r="147" spans="2:7" x14ac:dyDescent="0.45">
      <c r="B147" s="45" t="s">
        <v>9836</v>
      </c>
      <c r="G147" s="91" t="s">
        <v>10228</v>
      </c>
    </row>
    <row r="148" spans="2:7" x14ac:dyDescent="0.45">
      <c r="B148" s="45" t="s">
        <v>9837</v>
      </c>
    </row>
    <row r="149" spans="2:7" x14ac:dyDescent="0.45">
      <c r="B149" s="45" t="s">
        <v>5507</v>
      </c>
    </row>
    <row r="150" spans="2:7" x14ac:dyDescent="0.45">
      <c r="B150" s="45" t="s">
        <v>9838</v>
      </c>
    </row>
    <row r="151" spans="2:7" x14ac:dyDescent="0.45">
      <c r="B151" s="45" t="s">
        <v>9839</v>
      </c>
    </row>
    <row r="152" spans="2:7" x14ac:dyDescent="0.45">
      <c r="B152" s="45" t="s">
        <v>5508</v>
      </c>
    </row>
    <row r="153" spans="2:7" x14ac:dyDescent="0.45">
      <c r="B153" s="45" t="s">
        <v>9840</v>
      </c>
    </row>
    <row r="154" spans="2:7" x14ac:dyDescent="0.45">
      <c r="B154" s="45" t="s">
        <v>9841</v>
      </c>
    </row>
    <row r="155" spans="2:7" x14ac:dyDescent="0.45">
      <c r="B155" s="45" t="s">
        <v>9842</v>
      </c>
    </row>
    <row r="156" spans="2:7" x14ac:dyDescent="0.45">
      <c r="B156" s="45" t="s">
        <v>9843</v>
      </c>
    </row>
    <row r="157" spans="2:7" x14ac:dyDescent="0.45">
      <c r="B157" s="45" t="s">
        <v>9844</v>
      </c>
    </row>
    <row r="158" spans="2:7" x14ac:dyDescent="0.45">
      <c r="B158" s="45" t="s">
        <v>9845</v>
      </c>
    </row>
    <row r="159" spans="2:7" x14ac:dyDescent="0.45">
      <c r="B159" s="45" t="s">
        <v>9846</v>
      </c>
    </row>
    <row r="160" spans="2:7" x14ac:dyDescent="0.45">
      <c r="B160" s="45" t="s">
        <v>9847</v>
      </c>
    </row>
    <row r="161" spans="2:2" x14ac:dyDescent="0.45">
      <c r="B161" s="45" t="s">
        <v>9848</v>
      </c>
    </row>
    <row r="162" spans="2:2" x14ac:dyDescent="0.45">
      <c r="B162" s="45" t="s">
        <v>9849</v>
      </c>
    </row>
    <row r="163" spans="2:2" x14ac:dyDescent="0.45">
      <c r="B163" s="45" t="s">
        <v>9850</v>
      </c>
    </row>
    <row r="164" spans="2:2" x14ac:dyDescent="0.45">
      <c r="B164" s="45" t="s">
        <v>9851</v>
      </c>
    </row>
    <row r="165" spans="2:2" x14ac:dyDescent="0.45">
      <c r="B165" s="45" t="s">
        <v>9852</v>
      </c>
    </row>
    <row r="166" spans="2:2" x14ac:dyDescent="0.45">
      <c r="B166" s="45" t="s">
        <v>9853</v>
      </c>
    </row>
    <row r="167" spans="2:2" x14ac:dyDescent="0.45">
      <c r="B167" s="45" t="s">
        <v>9854</v>
      </c>
    </row>
    <row r="168" spans="2:2" x14ac:dyDescent="0.45">
      <c r="B168" s="45" t="s">
        <v>9855</v>
      </c>
    </row>
    <row r="169" spans="2:2" x14ac:dyDescent="0.45">
      <c r="B169" s="45" t="s">
        <v>9856</v>
      </c>
    </row>
    <row r="170" spans="2:2" x14ac:dyDescent="0.45">
      <c r="B170" s="45" t="s">
        <v>9857</v>
      </c>
    </row>
    <row r="171" spans="2:2" x14ac:dyDescent="0.45">
      <c r="B171" s="45" t="s">
        <v>9858</v>
      </c>
    </row>
    <row r="172" spans="2:2" x14ac:dyDescent="0.45">
      <c r="B172" s="45" t="s">
        <v>9859</v>
      </c>
    </row>
    <row r="173" spans="2:2" x14ac:dyDescent="0.45">
      <c r="B173" s="45" t="s">
        <v>9860</v>
      </c>
    </row>
    <row r="174" spans="2:2" x14ac:dyDescent="0.45">
      <c r="B174" s="45" t="s">
        <v>9861</v>
      </c>
    </row>
    <row r="175" spans="2:2" x14ac:dyDescent="0.45">
      <c r="B175" s="45" t="s">
        <v>9862</v>
      </c>
    </row>
    <row r="176" spans="2:2" x14ac:dyDescent="0.45">
      <c r="B176" s="45" t="s">
        <v>9863</v>
      </c>
    </row>
    <row r="177" spans="2:2" x14ac:dyDescent="0.45">
      <c r="B177" s="45" t="s">
        <v>9864</v>
      </c>
    </row>
    <row r="178" spans="2:2" x14ac:dyDescent="0.45">
      <c r="B178" s="45" t="s">
        <v>9865</v>
      </c>
    </row>
    <row r="179" spans="2:2" x14ac:dyDescent="0.45">
      <c r="B179" s="45" t="s">
        <v>9866</v>
      </c>
    </row>
    <row r="180" spans="2:2" x14ac:dyDescent="0.45">
      <c r="B180" s="45" t="s">
        <v>9867</v>
      </c>
    </row>
    <row r="181" spans="2:2" x14ac:dyDescent="0.45">
      <c r="B181" s="45" t="s">
        <v>9868</v>
      </c>
    </row>
    <row r="182" spans="2:2" x14ac:dyDescent="0.45">
      <c r="B182" s="45" t="s">
        <v>9869</v>
      </c>
    </row>
    <row r="183" spans="2:2" x14ac:dyDescent="0.45">
      <c r="B183" s="45" t="s">
        <v>9870</v>
      </c>
    </row>
    <row r="184" spans="2:2" x14ac:dyDescent="0.45">
      <c r="B184" s="45" t="s">
        <v>9871</v>
      </c>
    </row>
    <row r="185" spans="2:2" x14ac:dyDescent="0.45">
      <c r="B185" s="45" t="s">
        <v>9872</v>
      </c>
    </row>
    <row r="186" spans="2:2" x14ac:dyDescent="0.45">
      <c r="B186" s="45" t="s">
        <v>9873</v>
      </c>
    </row>
    <row r="187" spans="2:2" x14ac:dyDescent="0.45">
      <c r="B187" s="45" t="s">
        <v>9874</v>
      </c>
    </row>
    <row r="188" spans="2:2" x14ac:dyDescent="0.45">
      <c r="B188" s="45" t="s">
        <v>9875</v>
      </c>
    </row>
    <row r="189" spans="2:2" x14ac:dyDescent="0.45">
      <c r="B189" s="45" t="s">
        <v>9876</v>
      </c>
    </row>
    <row r="190" spans="2:2" x14ac:dyDescent="0.45">
      <c r="B190" s="45" t="s">
        <v>9877</v>
      </c>
    </row>
    <row r="191" spans="2:2" x14ac:dyDescent="0.45">
      <c r="B191" s="45" t="s">
        <v>9878</v>
      </c>
    </row>
    <row r="192" spans="2:2" x14ac:dyDescent="0.45">
      <c r="B192" s="45" t="s">
        <v>9879</v>
      </c>
    </row>
    <row r="193" spans="2:2" x14ac:dyDescent="0.45">
      <c r="B193" s="45" t="s">
        <v>5509</v>
      </c>
    </row>
    <row r="194" spans="2:2" x14ac:dyDescent="0.45">
      <c r="B194" s="45" t="s">
        <v>9880</v>
      </c>
    </row>
    <row r="195" spans="2:2" x14ac:dyDescent="0.45">
      <c r="B195" s="45" t="s">
        <v>9881</v>
      </c>
    </row>
    <row r="196" spans="2:2" x14ac:dyDescent="0.45">
      <c r="B196" s="45" t="s">
        <v>9882</v>
      </c>
    </row>
    <row r="197" spans="2:2" x14ac:dyDescent="0.45">
      <c r="B197" s="45" t="s">
        <v>9883</v>
      </c>
    </row>
    <row r="198" spans="2:2" x14ac:dyDescent="0.45">
      <c r="B198" s="45" t="s">
        <v>9884</v>
      </c>
    </row>
    <row r="199" spans="2:2" x14ac:dyDescent="0.45">
      <c r="B199" s="45" t="s">
        <v>9885</v>
      </c>
    </row>
    <row r="200" spans="2:2" x14ac:dyDescent="0.45">
      <c r="B200" s="45" t="s">
        <v>9886</v>
      </c>
    </row>
    <row r="201" spans="2:2" x14ac:dyDescent="0.45">
      <c r="B201" s="45" t="s">
        <v>9887</v>
      </c>
    </row>
    <row r="202" spans="2:2" x14ac:dyDescent="0.45">
      <c r="B202" s="45" t="s">
        <v>9888</v>
      </c>
    </row>
    <row r="203" spans="2:2" x14ac:dyDescent="0.45">
      <c r="B203" s="45" t="s">
        <v>9889</v>
      </c>
    </row>
    <row r="204" spans="2:2" x14ac:dyDescent="0.45">
      <c r="B204" s="45" t="s">
        <v>9890</v>
      </c>
    </row>
    <row r="205" spans="2:2" x14ac:dyDescent="0.45">
      <c r="B205" s="45" t="s">
        <v>5510</v>
      </c>
    </row>
    <row r="206" spans="2:2" x14ac:dyDescent="0.45">
      <c r="B206" s="45" t="s">
        <v>9891</v>
      </c>
    </row>
    <row r="207" spans="2:2" x14ac:dyDescent="0.45">
      <c r="B207" s="45" t="s">
        <v>9892</v>
      </c>
    </row>
    <row r="208" spans="2:2" x14ac:dyDescent="0.45">
      <c r="B208" s="45" t="s">
        <v>9893</v>
      </c>
    </row>
    <row r="209" spans="2:2" x14ac:dyDescent="0.45">
      <c r="B209" s="45" t="s">
        <v>9894</v>
      </c>
    </row>
    <row r="210" spans="2:2" x14ac:dyDescent="0.45">
      <c r="B210" s="45" t="s">
        <v>9895</v>
      </c>
    </row>
    <row r="211" spans="2:2" x14ac:dyDescent="0.45">
      <c r="B211" s="45" t="s">
        <v>9896</v>
      </c>
    </row>
    <row r="212" spans="2:2" x14ac:dyDescent="0.45">
      <c r="B212" s="45" t="s">
        <v>9897</v>
      </c>
    </row>
    <row r="213" spans="2:2" x14ac:dyDescent="0.45">
      <c r="B213" s="45" t="s">
        <v>9898</v>
      </c>
    </row>
    <row r="214" spans="2:2" x14ac:dyDescent="0.45">
      <c r="B214" s="45" t="s">
        <v>9899</v>
      </c>
    </row>
    <row r="215" spans="2:2" x14ac:dyDescent="0.45">
      <c r="B215" s="45" t="s">
        <v>9900</v>
      </c>
    </row>
    <row r="216" spans="2:2" x14ac:dyDescent="0.45">
      <c r="B216" s="45" t="s">
        <v>9901</v>
      </c>
    </row>
    <row r="217" spans="2:2" x14ac:dyDescent="0.45">
      <c r="B217" s="45" t="s">
        <v>9902</v>
      </c>
    </row>
    <row r="218" spans="2:2" x14ac:dyDescent="0.45">
      <c r="B218" s="45" t="s">
        <v>9903</v>
      </c>
    </row>
    <row r="219" spans="2:2" x14ac:dyDescent="0.45">
      <c r="B219" s="45" t="s">
        <v>9904</v>
      </c>
    </row>
    <row r="220" spans="2:2" x14ac:dyDescent="0.45">
      <c r="B220" s="45" t="s">
        <v>9905</v>
      </c>
    </row>
    <row r="221" spans="2:2" x14ac:dyDescent="0.45">
      <c r="B221" s="45" t="s">
        <v>9906</v>
      </c>
    </row>
    <row r="222" spans="2:2" x14ac:dyDescent="0.45">
      <c r="B222" s="45" t="s">
        <v>9907</v>
      </c>
    </row>
    <row r="223" spans="2:2" x14ac:dyDescent="0.45">
      <c r="B223" s="45" t="s">
        <v>9908</v>
      </c>
    </row>
  </sheetData>
  <sortState xmlns:xlrd2="http://schemas.microsoft.com/office/spreadsheetml/2017/richdata2" ref="H2:H425">
    <sortCondition ref="H2:H425"/>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DQ121"/>
  <sheetViews>
    <sheetView zoomScale="85" zoomScaleNormal="85" workbookViewId="0">
      <pane ySplit="1" topLeftCell="A2" activePane="bottomLeft" state="frozen"/>
      <selection pane="bottomLeft" activeCell="A14" sqref="A14"/>
    </sheetView>
  </sheetViews>
  <sheetFormatPr defaultColWidth="9.1328125" defaultRowHeight="14.25" x14ac:dyDescent="0.45"/>
  <cols>
    <col min="1" max="1" width="38.73046875" customWidth="1"/>
    <col min="17" max="17" width="17.3984375" customWidth="1"/>
  </cols>
  <sheetData>
    <row r="1" spans="1:121" s="1" customFormat="1" x14ac:dyDescent="0.45">
      <c r="A1" s="1" t="s">
        <v>895</v>
      </c>
      <c r="B1" s="1" t="str">
        <f>A2</f>
        <v>Aboriginal Economic Development</v>
      </c>
      <c r="C1" s="1" t="str">
        <f ca="1">OFFSET($A2,(MATCH(B1,$A:$A)-1),0)</f>
        <v>Advanced Manufacturing Advisory Council</v>
      </c>
      <c r="D1" s="1" t="str">
        <f ca="1">OFFSET($A2,(MATCH(C1,$A:$A)-1),0)</f>
        <v>Advanced Metering Infrastructure Ministerial Advisory Council</v>
      </c>
      <c r="E1" s="1" t="str">
        <f ca="1">OFFSET($A2,(MATCH(D1,$A:$A)-1),0)</f>
        <v>Agricultural Research And Extension Animal Ethics Committee</v>
      </c>
      <c r="F1" s="1" t="str">
        <f ca="1">OFFSET($A2,(MATCH(E1,$A:$A)-1),0)</f>
        <v>Agriculture Victoria Services Pty Ltd</v>
      </c>
      <c r="G1" s="1" t="str">
        <f ca="1">OFFSET($A2,(MATCH(F1,$A:$A)-1),0)</f>
        <v>Animal Welfare Advisory Committee</v>
      </c>
      <c r="H1" s="1" t="str">
        <f t="shared" ref="H1:BS1" ca="1" si="0">OFFSET($A2,(MATCH(G1,$A:$A)-1),0)</f>
        <v>Apicultural Industry Advisory Committee</v>
      </c>
      <c r="I1" s="1" t="str">
        <f t="shared" ca="1" si="0"/>
        <v>Australian Grand Prix Corporation</v>
      </c>
      <c r="J1" s="1" t="str">
        <f t="shared" ca="1" si="0"/>
        <v>Barwon Regional Partnership</v>
      </c>
      <c r="K1" s="1" t="str">
        <f t="shared" ca="1" si="0"/>
        <v>Brown Coal Innovation Australia Limited</v>
      </c>
      <c r="L1" s="1" t="str">
        <f t="shared" ca="1" si="0"/>
        <v>Building Industry Consultative Council</v>
      </c>
      <c r="M1" s="1" t="str">
        <f t="shared" ca="1" si="0"/>
        <v>Business Victoria</v>
      </c>
      <c r="N1" s="1" t="str">
        <f t="shared" ca="1" si="0"/>
        <v>Cattle Compensation Advisory Committee</v>
      </c>
      <c r="O1" s="1" t="str">
        <f t="shared" ca="1" si="0"/>
        <v>Central Highlands Regional Partnership</v>
      </c>
      <c r="P1" s="1" t="str">
        <f t="shared" ca="1" si="0"/>
        <v>Council of Trustees of the National Gallery of Victoria</v>
      </c>
      <c r="Q1" s="1" t="str">
        <f t="shared" ca="1" si="0"/>
        <v>Creative Victoria</v>
      </c>
      <c r="R1" s="1" t="str">
        <f t="shared" ca="1" si="0"/>
        <v>Dairy Food Safety Victoria</v>
      </c>
      <c r="S1" s="1" t="str">
        <f t="shared" ca="1" si="0"/>
        <v>Dairy Food Safety Victoria Selection Committee</v>
      </c>
      <c r="T1" s="1" t="str">
        <f t="shared" ca="1" si="0"/>
        <v>Defence Council Victoria</v>
      </c>
      <c r="U1" s="1" t="str">
        <f t="shared" ca="1" si="0"/>
        <v>Department of Jobs, Precincts and Regions (DJPR)</v>
      </c>
      <c r="V1" s="1" t="str">
        <f t="shared" ca="1" si="0"/>
        <v>Development Victoria</v>
      </c>
      <c r="W1" s="1" t="str">
        <f t="shared" ca="1" si="0"/>
        <v>Earth Resources Ministerial Advisory Council</v>
      </c>
      <c r="X1" s="1" t="str">
        <f t="shared" ca="1" si="0"/>
        <v>Emerald Tourist Railway Board</v>
      </c>
      <c r="Y1" s="1" t="str">
        <f t="shared" ca="1" si="0"/>
        <v>Emergency Closures Advisory Committee</v>
      </c>
      <c r="Z1" s="1" t="str">
        <f t="shared" ca="1" si="0"/>
        <v>Federation Square Pty Ltd</v>
      </c>
      <c r="AA1" s="1" t="str">
        <f t="shared" ca="1" si="0"/>
        <v>Fisheries Advisory Council</v>
      </c>
      <c r="AB1" s="1" t="str">
        <f t="shared" ca="1" si="0"/>
        <v>Fisheries Cost Recovery Standing Committee</v>
      </c>
      <c r="AC1" s="1" t="str">
        <f t="shared" ca="1" si="0"/>
        <v>Forestry Industry Council</v>
      </c>
      <c r="AD1" s="1" t="str">
        <f t="shared" ca="1" si="0"/>
        <v>Future Industries Ministerial Advisory Council</v>
      </c>
      <c r="AE1" s="1" t="str">
        <f t="shared" ca="1" si="0"/>
        <v>Game Management Authority</v>
      </c>
      <c r="AF1" s="1" t="str">
        <f t="shared" ca="1" si="0"/>
        <v>Gippsland Ports Committee of Management Inc.</v>
      </c>
      <c r="AG1" s="1" t="str">
        <f t="shared" ca="1" si="0"/>
        <v>Gippsland Regional Partnership</v>
      </c>
      <c r="AH1" s="1" t="str">
        <f t="shared" ca="1" si="0"/>
        <v>Goulburn Regional Partnership</v>
      </c>
      <c r="AI1" s="1" t="str">
        <f t="shared" ca="1" si="0"/>
        <v>Great South Coast Regional Partnership</v>
      </c>
      <c r="AJ1" s="1" t="str">
        <f t="shared" ca="1" si="0"/>
        <v>Greater Sunraysia Pest Free Area Industry Development Committee</v>
      </c>
      <c r="AK1" s="1" t="str">
        <f t="shared" ca="1" si="0"/>
        <v>Greyhound Racing Victoria</v>
      </c>
      <c r="AL1" s="1" t="str">
        <f t="shared" ca="1" si="0"/>
        <v>Greyhound Racing Victoria Racing Appeals And Disciplinary Board</v>
      </c>
      <c r="AM1" s="1" t="str">
        <f t="shared" ca="1" si="0"/>
        <v>Harness Racing Victoria</v>
      </c>
      <c r="AN1" s="1" t="str">
        <f t="shared" ca="1" si="0"/>
        <v>Harness Racing Victoria Racing Appeals And Disciplinary Board</v>
      </c>
      <c r="AO1" s="1" t="str">
        <f t="shared" ca="1" si="0"/>
        <v>Infrastructure Reference Panel</v>
      </c>
      <c r="AP1" s="1" t="str">
        <f t="shared" ca="1" si="0"/>
        <v>Jobs and Innovation</v>
      </c>
      <c r="AQ1" s="1" t="str">
        <f t="shared" ca="1" si="0"/>
        <v>Kardinia Park Advisory Committee</v>
      </c>
      <c r="AR1" s="1" t="str">
        <f t="shared" ca="1" si="0"/>
        <v>Kardinia Park Stadium Trust</v>
      </c>
      <c r="AS1" s="1" t="str">
        <f t="shared" ca="1" si="0"/>
        <v>Latrobe Valley Authority</v>
      </c>
      <c r="AT1" s="1" t="str">
        <f t="shared" ca="1" si="0"/>
        <v>Launch Victoria</v>
      </c>
      <c r="AU1" s="1" t="str">
        <f t="shared" ca="1" si="0"/>
        <v>Level Crossing Removal Authority</v>
      </c>
      <c r="AV1" s="1" t="str">
        <f t="shared" ca="1" si="0"/>
        <v>Library Board Of Victoria</v>
      </c>
      <c r="AW1" s="1" t="str">
        <f t="shared" ca="1" si="0"/>
        <v>Linking Melbourne Authority</v>
      </c>
      <c r="AX1" s="1" t="str">
        <f t="shared" ca="1" si="0"/>
        <v>Loddon Campaspe Regional Partnership</v>
      </c>
      <c r="AY1" s="1" t="str">
        <f t="shared" ca="1" si="0"/>
        <v>Mallee Regional Partnership</v>
      </c>
      <c r="AZ1" s="1" t="str">
        <f t="shared" ca="1" si="0"/>
        <v>Melbourne and Olympic Parks Trust</v>
      </c>
      <c r="BA1" s="1" t="str">
        <f t="shared" ca="1" si="0"/>
        <v>Melbourne Convention and Exhibition Trust</v>
      </c>
      <c r="BB1" s="1" t="str">
        <f t="shared" ca="1" si="0"/>
        <v>Melbourne Cricket Ground Trust (MCG)</v>
      </c>
      <c r="BC1" s="1" t="str">
        <f t="shared" ca="1" si="0"/>
        <v>Melbourne Market Authority</v>
      </c>
      <c r="BD1" s="1" t="str">
        <f t="shared" ca="1" si="0"/>
        <v>Melbourne Metro Rail Authority</v>
      </c>
      <c r="BE1" s="1" t="str">
        <f t="shared" ca="1" si="0"/>
        <v>Mining Warden</v>
      </c>
      <c r="BF1" s="1" t="str">
        <f t="shared" ca="1" si="0"/>
        <v>Ministerial Freight Advisory Council</v>
      </c>
      <c r="BG1" s="1" t="str">
        <f t="shared" ca="1" si="0"/>
        <v>Multicultural Business Ministerial Council</v>
      </c>
      <c r="BH1" s="1" t="str">
        <f t="shared" ca="1" si="0"/>
        <v>Murray Valley Wine Grape Industry Development Committee</v>
      </c>
      <c r="BI1" s="1" t="str">
        <f t="shared" ca="1" si="0"/>
        <v>Museums Board Of Victoria</v>
      </c>
      <c r="BJ1" s="1" t="str">
        <f t="shared" ca="1" si="0"/>
        <v>National Livestock Identification System Implementation Advisory Committee</v>
      </c>
      <c r="BK1" s="1" t="str">
        <f t="shared" ca="1" si="0"/>
        <v>North East Link Authority</v>
      </c>
      <c r="BL1" s="1" t="str">
        <f t="shared" ca="1" si="0"/>
        <v>Northern Victorian Fresh Tomato Industry Development Committee</v>
      </c>
      <c r="BM1" s="1" t="str">
        <f t="shared" ca="1" si="0"/>
        <v>Office of Suburban Development</v>
      </c>
      <c r="BN1" s="1" t="str">
        <f t="shared" ca="1" si="0"/>
        <v>Ovens Murray Regional Partnership</v>
      </c>
      <c r="BO1" s="1" t="str">
        <f t="shared" ca="1" si="0"/>
        <v>Panel Of Administrators For The Brimbank City Council</v>
      </c>
      <c r="BP1" s="1" t="str">
        <f t="shared" ca="1" si="0"/>
        <v>Panel Of Administrators For The Rural City Of Wangaratta</v>
      </c>
      <c r="BQ1" s="1" t="str">
        <f t="shared" ca="1" si="0"/>
        <v>Panel To Support The Implementation Of Target One Million</v>
      </c>
      <c r="BR1" s="1" t="str">
        <f t="shared" ca="1" si="0"/>
        <v>Phytogene Pty Ltd</v>
      </c>
      <c r="BS1" s="1" t="str">
        <f t="shared" ca="1" si="0"/>
        <v>Port Lessor</v>
      </c>
      <c r="BT1" s="1" t="str">
        <f t="shared" ref="BT1:DQ1" ca="1" si="1">OFFSET($A2,(MATCH(BS1,$A:$A)-1),0)</f>
        <v>Port Of Gippsland</v>
      </c>
      <c r="BU1" s="1" t="str">
        <f t="shared" ca="1" si="1"/>
        <v>Port of Melbourne Operations Pty Ltd</v>
      </c>
      <c r="BV1" s="1" t="str">
        <f t="shared" ca="1" si="1"/>
        <v>PrimeSafe</v>
      </c>
      <c r="BW1" s="1" t="str">
        <f t="shared" ca="1" si="1"/>
        <v>Primesafe Selection Committee</v>
      </c>
      <c r="BX1" s="1" t="str">
        <f t="shared" ca="1" si="1"/>
        <v>Priority Precincts Authority</v>
      </c>
      <c r="BY1" s="1" t="str">
        <f t="shared" ca="1" si="1"/>
        <v>Professional Boxing And Combat Sports Board</v>
      </c>
      <c r="BZ1" s="1" t="str">
        <f t="shared" ca="1" si="1"/>
        <v>Public Transport Access Committee</v>
      </c>
      <c r="CA1" s="1" t="str">
        <f t="shared" ca="1" si="1"/>
        <v>Public Transport Development Authority (part of PTV)</v>
      </c>
      <c r="CB1" s="1" t="str">
        <f t="shared" ca="1" si="1"/>
        <v>Public Transport Ombudsman Ltd</v>
      </c>
      <c r="CC1" s="1" t="str">
        <f t="shared" ca="1" si="1"/>
        <v>Racing Integrity Commissioner</v>
      </c>
      <c r="CD1" s="1" t="str">
        <f t="shared" ca="1" si="1"/>
        <v>Recreational Fishing Grants Working Group</v>
      </c>
      <c r="CE1" s="1" t="str">
        <f t="shared" ca="1" si="1"/>
        <v>Regional Development Advisory Committee</v>
      </c>
      <c r="CF1" s="1" t="str">
        <f t="shared" ca="1" si="1"/>
        <v>Royal Melbourne Showgrounds</v>
      </c>
      <c r="CG1" s="1" t="str">
        <f t="shared" ca="1" si="1"/>
        <v>Rural Assistance Commissioner</v>
      </c>
      <c r="CH1" s="1" t="str">
        <f t="shared" ca="1" si="1"/>
        <v>Sheep And Goat Compensation Advisory Committee</v>
      </c>
      <c r="CI1" s="1" t="str">
        <f t="shared" ca="1" si="1"/>
        <v>Sheep And Goat Identification Advisory Committee</v>
      </c>
      <c r="CJ1" s="1" t="str">
        <f t="shared" ca="1" si="1"/>
        <v>Small Business Ministerial Council</v>
      </c>
      <c r="CK1" s="1" t="str">
        <f t="shared" ca="1" si="1"/>
        <v>Snobs Creek Fish Production And Liberation Advisory Board</v>
      </c>
      <c r="CL1" s="1" t="str">
        <f t="shared" ca="1" si="1"/>
        <v>Social and Economic Inclusion</v>
      </c>
      <c r="CM1" s="1" t="str">
        <f t="shared" ca="1" si="1"/>
        <v>Sport And Recreation Camps</v>
      </c>
      <c r="CN1" s="1" t="str">
        <f t="shared" ca="1" si="1"/>
        <v>State Sports Centres Trust (Melbourne Sports Hub)</v>
      </c>
      <c r="CO1" s="1" t="str">
        <f t="shared" ca="1" si="1"/>
        <v>Sunraysia Industry Development Committee</v>
      </c>
      <c r="CP1" s="1" t="str">
        <f t="shared" ca="1" si="1"/>
        <v>Swine Industry Projects Advisory Committee</v>
      </c>
      <c r="CQ1" s="1" t="str">
        <f t="shared" ca="1" si="1"/>
        <v>Taxi Services Commission</v>
      </c>
      <c r="CR1" s="1" t="str">
        <f t="shared" ca="1" si="1"/>
        <v>Technical Review Board</v>
      </c>
      <c r="CS1" s="1" t="str">
        <f t="shared" ca="1" si="1"/>
        <v>Tourism Victoria</v>
      </c>
      <c r="CT1" s="1" t="str">
        <f t="shared" ca="1" si="1"/>
        <v>Transport Industry Council</v>
      </c>
      <c r="CU1" s="1" t="str">
        <f t="shared" ca="1" si="1"/>
        <v>Urban Renewal Authority</v>
      </c>
      <c r="CV1" s="1" t="str">
        <f t="shared" ca="1" si="1"/>
        <v>Veterinary Practitioners Registration Board Of Victoria Panel Hearings</v>
      </c>
      <c r="CW1" s="1" t="str">
        <f t="shared" ca="1" si="1"/>
        <v>Veterinary Practitioners Regulation Board</v>
      </c>
      <c r="CX1" s="1" t="str">
        <f t="shared" ca="1" si="1"/>
        <v>VicForests</v>
      </c>
      <c r="CY1" s="1" t="str">
        <f t="shared" ca="1" si="1"/>
        <v>Victoria Trade And Investment Office Pty Ltd</v>
      </c>
      <c r="CZ1" s="1" t="str">
        <f t="shared" ca="1" si="1"/>
        <v>Victorian Agricultural Chemicals Advisory Committee</v>
      </c>
      <c r="DA1" s="1" t="str">
        <f t="shared" ca="1" si="1"/>
        <v>Victorian Agriculture Advisory Council</v>
      </c>
      <c r="DB1" s="1" t="str">
        <f t="shared" ca="1" si="1"/>
        <v>Victorian Broiler Industry Negotiation Committee</v>
      </c>
      <c r="DC1" s="1" t="str">
        <f t="shared" ca="1" si="1"/>
        <v>Victorian Fisheries Authority</v>
      </c>
      <c r="DD1" s="1" t="str">
        <f t="shared" ca="1" si="1"/>
        <v>Victorian Institute Of Sport</v>
      </c>
      <c r="DE1" s="1" t="str">
        <f t="shared" ca="1" si="1"/>
        <v>Victorian Major Events Company</v>
      </c>
      <c r="DF1" s="1" t="str">
        <f t="shared" ca="1" si="1"/>
        <v>Victorian Planning Authority</v>
      </c>
      <c r="DG1" s="1" t="str">
        <f t="shared" ca="1" si="1"/>
        <v>Victorian Rail Track Corporation</v>
      </c>
      <c r="DH1" s="1" t="str">
        <f t="shared" ca="1" si="1"/>
        <v>Victorian Railway Crossing Safety Steering Committee</v>
      </c>
      <c r="DI1" s="1" t="str">
        <f t="shared" ca="1" si="1"/>
        <v>Victorian Regional Channels Authority</v>
      </c>
      <c r="DJ1" s="1" t="str">
        <f t="shared" ca="1" si="1"/>
        <v>Victorian Strawberry Industry Development Committee</v>
      </c>
      <c r="DK1" s="1" t="str">
        <f t="shared" ca="1" si="1"/>
        <v>Victorian Strawberry Industry Development Corp</v>
      </c>
      <c r="DL1" s="1" t="str">
        <f t="shared" ca="1" si="1"/>
        <v>Visit Victoria</v>
      </c>
      <c r="DM1" s="1" t="str">
        <f t="shared" ca="1" si="1"/>
        <v>Visitor Economy Ministerial Advisory Committee</v>
      </c>
      <c r="DN1" s="1" t="str">
        <f t="shared" ca="1" si="1"/>
        <v>Western Distributor Authority</v>
      </c>
      <c r="DO1" s="1" t="str">
        <f t="shared" ca="1" si="1"/>
        <v>Working Families Council</v>
      </c>
      <c r="DP1" s="1" t="str">
        <f t="shared" ca="1" si="1"/>
        <v>Young Farmers Ministerial Advisory Council</v>
      </c>
      <c r="DQ1" s="1" t="str">
        <f t="shared" ca="1" si="1"/>
        <v>Youth Parole Board</v>
      </c>
    </row>
    <row r="2" spans="1:121" x14ac:dyDescent="0.45">
      <c r="A2" t="str">
        <f>'State Depts'!H2</f>
        <v>Aboriginal Economic Development</v>
      </c>
      <c r="Q2" t="s">
        <v>4133</v>
      </c>
    </row>
    <row r="3" spans="1:121" x14ac:dyDescent="0.45">
      <c r="A3" t="str">
        <f>'State Depts'!H3</f>
        <v>Advanced Manufacturing Advisory Council</v>
      </c>
      <c r="Q3" t="s">
        <v>4187</v>
      </c>
    </row>
    <row r="4" spans="1:121" x14ac:dyDescent="0.45">
      <c r="A4" t="str">
        <f>'State Depts'!H4</f>
        <v>Advanced Metering Infrastructure Ministerial Advisory Council</v>
      </c>
      <c r="Q4" t="s">
        <v>224</v>
      </c>
    </row>
    <row r="5" spans="1:121" x14ac:dyDescent="0.45">
      <c r="A5" t="str">
        <f>'State Depts'!H5</f>
        <v>Agricultural Research And Extension Animal Ethics Committee</v>
      </c>
      <c r="Q5" t="s">
        <v>4135</v>
      </c>
    </row>
    <row r="6" spans="1:121" x14ac:dyDescent="0.45">
      <c r="A6" t="str">
        <f>'State Depts'!H6</f>
        <v>Agriculture Victoria Services Pty Ltd</v>
      </c>
      <c r="Q6" t="s">
        <v>158</v>
      </c>
    </row>
    <row r="7" spans="1:121" x14ac:dyDescent="0.45">
      <c r="A7" t="str">
        <f>'State Depts'!H7</f>
        <v>Animal Welfare Advisory Committee</v>
      </c>
      <c r="Q7" t="s">
        <v>228</v>
      </c>
    </row>
    <row r="8" spans="1:121" x14ac:dyDescent="0.45">
      <c r="A8" t="str">
        <f>'State Depts'!H8</f>
        <v>Apicultural Industry Advisory Committee</v>
      </c>
      <c r="Q8" t="s">
        <v>229</v>
      </c>
    </row>
    <row r="9" spans="1:121" x14ac:dyDescent="0.45">
      <c r="A9" t="str">
        <f>'State Depts'!H9</f>
        <v>Australian Grand Prix Corporation</v>
      </c>
      <c r="Q9" t="s">
        <v>4165</v>
      </c>
    </row>
    <row r="10" spans="1:121" x14ac:dyDescent="0.45">
      <c r="A10" t="str">
        <f>'State Depts'!H10</f>
        <v>Barwon Regional Partnership</v>
      </c>
      <c r="Q10" t="s">
        <v>4136</v>
      </c>
    </row>
    <row r="11" spans="1:121" x14ac:dyDescent="0.45">
      <c r="A11" t="str">
        <f>'State Depts'!H11</f>
        <v>Brown Coal Innovation Australia Limited</v>
      </c>
      <c r="Q11" t="s">
        <v>234</v>
      </c>
    </row>
    <row r="12" spans="1:121" x14ac:dyDescent="0.45">
      <c r="A12" t="str">
        <f>'State Depts'!H12</f>
        <v>Building Industry Consultative Council</v>
      </c>
    </row>
    <row r="13" spans="1:121" x14ac:dyDescent="0.45">
      <c r="A13" t="str">
        <f>'State Depts'!H13</f>
        <v>Business Victoria</v>
      </c>
    </row>
    <row r="14" spans="1:121" x14ac:dyDescent="0.45">
      <c r="A14" t="str">
        <f>'State Depts'!H14</f>
        <v>Cattle Compensation Advisory Committee</v>
      </c>
    </row>
    <row r="15" spans="1:121" x14ac:dyDescent="0.45">
      <c r="A15" t="str">
        <f>'State Depts'!H15</f>
        <v>Central Highlands Regional Partnership</v>
      </c>
    </row>
    <row r="16" spans="1:121" x14ac:dyDescent="0.45">
      <c r="A16" t="str">
        <f>'State Depts'!H16</f>
        <v>Council of Trustees of the National Gallery of Victoria</v>
      </c>
    </row>
    <row r="17" spans="1:1" x14ac:dyDescent="0.45">
      <c r="A17" t="str">
        <f>'State Depts'!H17</f>
        <v>Creative Victoria</v>
      </c>
    </row>
    <row r="18" spans="1:1" x14ac:dyDescent="0.45">
      <c r="A18" t="str">
        <f>'State Depts'!H18</f>
        <v>Dairy Food Safety Victoria</v>
      </c>
    </row>
    <row r="19" spans="1:1" x14ac:dyDescent="0.45">
      <c r="A19" t="str">
        <f>'State Depts'!H19</f>
        <v>Dairy Food Safety Victoria Selection Committee</v>
      </c>
    </row>
    <row r="20" spans="1:1" x14ac:dyDescent="0.45">
      <c r="A20" t="str">
        <f>'State Depts'!H20</f>
        <v>Defence Council Victoria</v>
      </c>
    </row>
    <row r="21" spans="1:1" x14ac:dyDescent="0.45">
      <c r="A21" t="str">
        <f>'State Depts'!H21</f>
        <v>Department of Jobs, Precincts and Regions (DJPR)</v>
      </c>
    </row>
    <row r="22" spans="1:1" x14ac:dyDescent="0.45">
      <c r="A22" t="str">
        <f>'State Depts'!H22</f>
        <v>Development Victoria</v>
      </c>
    </row>
    <row r="23" spans="1:1" x14ac:dyDescent="0.45">
      <c r="A23" t="str">
        <f>'State Depts'!H23</f>
        <v>Earth Resources Ministerial Advisory Council</v>
      </c>
    </row>
    <row r="24" spans="1:1" x14ac:dyDescent="0.45">
      <c r="A24" t="str">
        <f>'State Depts'!H24</f>
        <v>Emerald Tourist Railway Board</v>
      </c>
    </row>
    <row r="25" spans="1:1" x14ac:dyDescent="0.45">
      <c r="A25" t="str">
        <f>'State Depts'!H25</f>
        <v>Emergency Closures Advisory Committee</v>
      </c>
    </row>
    <row r="26" spans="1:1" x14ac:dyDescent="0.45">
      <c r="A26" t="str">
        <f>'State Depts'!H26</f>
        <v>Federation Square Pty Ltd</v>
      </c>
    </row>
    <row r="27" spans="1:1" x14ac:dyDescent="0.45">
      <c r="A27" t="str">
        <f>'State Depts'!H27</f>
        <v>Fisheries Advisory Council</v>
      </c>
    </row>
    <row r="28" spans="1:1" x14ac:dyDescent="0.45">
      <c r="A28" t="str">
        <f>'State Depts'!H28</f>
        <v>Fisheries Cost Recovery Standing Committee</v>
      </c>
    </row>
    <row r="29" spans="1:1" x14ac:dyDescent="0.45">
      <c r="A29" t="str">
        <f>'State Depts'!H29</f>
        <v>Forestry Industry Council</v>
      </c>
    </row>
    <row r="30" spans="1:1" x14ac:dyDescent="0.45">
      <c r="A30" t="str">
        <f>'State Depts'!H30</f>
        <v>Future Industries Ministerial Advisory Council</v>
      </c>
    </row>
    <row r="31" spans="1:1" x14ac:dyDescent="0.45">
      <c r="A31" t="str">
        <f>'State Depts'!H31</f>
        <v>Game Management Authority</v>
      </c>
    </row>
    <row r="32" spans="1:1" x14ac:dyDescent="0.45">
      <c r="A32" t="str">
        <f>'State Depts'!H32</f>
        <v>Gippsland Ports Committee of Management Inc.</v>
      </c>
    </row>
    <row r="33" spans="1:1" x14ac:dyDescent="0.45">
      <c r="A33" t="str">
        <f>'State Depts'!H33</f>
        <v>Gippsland Regional Partnership</v>
      </c>
    </row>
    <row r="34" spans="1:1" x14ac:dyDescent="0.45">
      <c r="A34" t="str">
        <f>'State Depts'!H34</f>
        <v>Goulburn Regional Partnership</v>
      </c>
    </row>
    <row r="35" spans="1:1" x14ac:dyDescent="0.45">
      <c r="A35" t="str">
        <f>'State Depts'!H35</f>
        <v>Great South Coast Regional Partnership</v>
      </c>
    </row>
    <row r="36" spans="1:1" x14ac:dyDescent="0.45">
      <c r="A36" t="str">
        <f>'State Depts'!H36</f>
        <v>Greater Sunraysia Pest Free Area Industry Development Committee</v>
      </c>
    </row>
    <row r="37" spans="1:1" x14ac:dyDescent="0.45">
      <c r="A37" t="str">
        <f>'State Depts'!H37</f>
        <v>Greyhound Racing Victoria</v>
      </c>
    </row>
    <row r="38" spans="1:1" x14ac:dyDescent="0.45">
      <c r="A38" t="str">
        <f>'State Depts'!H38</f>
        <v>Greyhound Racing Victoria Racing Appeals And Disciplinary Board</v>
      </c>
    </row>
    <row r="39" spans="1:1" x14ac:dyDescent="0.45">
      <c r="A39" t="str">
        <f>'State Depts'!H39</f>
        <v>Harness Racing Victoria</v>
      </c>
    </row>
    <row r="40" spans="1:1" x14ac:dyDescent="0.45">
      <c r="A40" t="str">
        <f>'State Depts'!H40</f>
        <v>Harness Racing Victoria Racing Appeals And Disciplinary Board</v>
      </c>
    </row>
    <row r="41" spans="1:1" x14ac:dyDescent="0.45">
      <c r="A41" t="str">
        <f>'State Depts'!H41</f>
        <v>Infrastructure Reference Panel</v>
      </c>
    </row>
    <row r="42" spans="1:1" x14ac:dyDescent="0.45">
      <c r="A42" t="str">
        <f>'State Depts'!H42</f>
        <v>Jobs and Innovation</v>
      </c>
    </row>
    <row r="43" spans="1:1" x14ac:dyDescent="0.45">
      <c r="A43" t="str">
        <f>'State Depts'!H43</f>
        <v>Kardinia Park Advisory Committee</v>
      </c>
    </row>
    <row r="44" spans="1:1" x14ac:dyDescent="0.45">
      <c r="A44" t="str">
        <f>'State Depts'!H44</f>
        <v>Kardinia Park Stadium Trust</v>
      </c>
    </row>
    <row r="45" spans="1:1" x14ac:dyDescent="0.45">
      <c r="A45" t="str">
        <f>'State Depts'!H45</f>
        <v>Latrobe Valley Authority</v>
      </c>
    </row>
    <row r="46" spans="1:1" x14ac:dyDescent="0.45">
      <c r="A46" t="str">
        <f>'State Depts'!H46</f>
        <v>Launch Victoria</v>
      </c>
    </row>
    <row r="47" spans="1:1" x14ac:dyDescent="0.45">
      <c r="A47" t="str">
        <f>'State Depts'!H47</f>
        <v>Level Crossing Removal Authority</v>
      </c>
    </row>
    <row r="48" spans="1:1" x14ac:dyDescent="0.45">
      <c r="A48" t="str">
        <f>'State Depts'!H48</f>
        <v>Library Board Of Victoria</v>
      </c>
    </row>
    <row r="49" spans="1:1" x14ac:dyDescent="0.45">
      <c r="A49" t="str">
        <f>'State Depts'!H49</f>
        <v>Linking Melbourne Authority</v>
      </c>
    </row>
    <row r="50" spans="1:1" x14ac:dyDescent="0.45">
      <c r="A50" t="str">
        <f>'State Depts'!H50</f>
        <v>Loddon Campaspe Regional Partnership</v>
      </c>
    </row>
    <row r="51" spans="1:1" x14ac:dyDescent="0.45">
      <c r="A51" t="str">
        <f>'State Depts'!H51</f>
        <v>Mallee Regional Partnership</v>
      </c>
    </row>
    <row r="52" spans="1:1" x14ac:dyDescent="0.45">
      <c r="A52" t="str">
        <f>'State Depts'!H52</f>
        <v>Melbourne and Olympic Parks Trust</v>
      </c>
    </row>
    <row r="53" spans="1:1" x14ac:dyDescent="0.45">
      <c r="A53" t="str">
        <f>'State Depts'!H53</f>
        <v>Melbourne Convention and Exhibition Trust</v>
      </c>
    </row>
    <row r="54" spans="1:1" x14ac:dyDescent="0.45">
      <c r="A54" t="str">
        <f>'State Depts'!H54</f>
        <v>Melbourne Cricket Ground Trust (MCG)</v>
      </c>
    </row>
    <row r="55" spans="1:1" x14ac:dyDescent="0.45">
      <c r="A55" t="str">
        <f>'State Depts'!H55</f>
        <v>Melbourne Market Authority</v>
      </c>
    </row>
    <row r="56" spans="1:1" x14ac:dyDescent="0.45">
      <c r="A56" t="str">
        <f>'State Depts'!H56</f>
        <v>Melbourne Metro Rail Authority</v>
      </c>
    </row>
    <row r="57" spans="1:1" x14ac:dyDescent="0.45">
      <c r="A57" t="str">
        <f>'State Depts'!H57</f>
        <v>Mining Warden</v>
      </c>
    </row>
    <row r="58" spans="1:1" x14ac:dyDescent="0.45">
      <c r="A58" t="str">
        <f>'State Depts'!H58</f>
        <v>Ministerial Freight Advisory Council</v>
      </c>
    </row>
    <row r="59" spans="1:1" x14ac:dyDescent="0.45">
      <c r="A59" t="str">
        <f>'State Depts'!H59</f>
        <v>Multicultural Business Ministerial Council</v>
      </c>
    </row>
    <row r="60" spans="1:1" x14ac:dyDescent="0.45">
      <c r="A60" t="str">
        <f>'State Depts'!H60</f>
        <v>Murray Valley Wine Grape Industry Development Committee</v>
      </c>
    </row>
    <row r="61" spans="1:1" x14ac:dyDescent="0.45">
      <c r="A61" t="str">
        <f>'State Depts'!H61</f>
        <v>Museums Board Of Victoria</v>
      </c>
    </row>
    <row r="62" spans="1:1" x14ac:dyDescent="0.45">
      <c r="A62" t="str">
        <f>'State Depts'!H62</f>
        <v>National Livestock Identification System Implementation Advisory Committee</v>
      </c>
    </row>
    <row r="63" spans="1:1" x14ac:dyDescent="0.45">
      <c r="A63" t="str">
        <f>'State Depts'!H63</f>
        <v>North East Link Authority</v>
      </c>
    </row>
    <row r="64" spans="1:1" x14ac:dyDescent="0.45">
      <c r="A64" t="str">
        <f>'State Depts'!H64</f>
        <v>Northern Victorian Fresh Tomato Industry Development Committee</v>
      </c>
    </row>
    <row r="65" spans="1:1" x14ac:dyDescent="0.45">
      <c r="A65" t="str">
        <f>'State Depts'!H65</f>
        <v>Office of Suburban Development</v>
      </c>
    </row>
    <row r="66" spans="1:1" x14ac:dyDescent="0.45">
      <c r="A66" t="str">
        <f>'State Depts'!H66</f>
        <v>Ovens Murray Regional Partnership</v>
      </c>
    </row>
    <row r="67" spans="1:1" x14ac:dyDescent="0.45">
      <c r="A67" t="str">
        <f>'State Depts'!H67</f>
        <v>Panel Of Administrators For The Brimbank City Council</v>
      </c>
    </row>
    <row r="68" spans="1:1" x14ac:dyDescent="0.45">
      <c r="A68" t="str">
        <f>'State Depts'!H68</f>
        <v>Panel Of Administrators For The Rural City Of Wangaratta</v>
      </c>
    </row>
    <row r="69" spans="1:1" x14ac:dyDescent="0.45">
      <c r="A69" t="str">
        <f>'State Depts'!H69</f>
        <v>Panel To Support The Implementation Of Target One Million</v>
      </c>
    </row>
    <row r="70" spans="1:1" x14ac:dyDescent="0.45">
      <c r="A70" t="str">
        <f>'State Depts'!H70</f>
        <v>Phytogene Pty Ltd</v>
      </c>
    </row>
    <row r="71" spans="1:1" x14ac:dyDescent="0.45">
      <c r="A71" t="str">
        <f>'State Depts'!H71</f>
        <v>Port Lessor</v>
      </c>
    </row>
    <row r="72" spans="1:1" x14ac:dyDescent="0.45">
      <c r="A72" t="str">
        <f>'State Depts'!H72</f>
        <v>Port Of Gippsland</v>
      </c>
    </row>
    <row r="73" spans="1:1" x14ac:dyDescent="0.45">
      <c r="A73" t="str">
        <f>'State Depts'!H73</f>
        <v>Port of Melbourne Operations Pty Ltd</v>
      </c>
    </row>
    <row r="74" spans="1:1" x14ac:dyDescent="0.45">
      <c r="A74" t="str">
        <f>'State Depts'!H74</f>
        <v>PrimeSafe</v>
      </c>
    </row>
    <row r="75" spans="1:1" x14ac:dyDescent="0.45">
      <c r="A75" t="str">
        <f>'State Depts'!H75</f>
        <v>Primesafe Selection Committee</v>
      </c>
    </row>
    <row r="76" spans="1:1" x14ac:dyDescent="0.45">
      <c r="A76" t="str">
        <f>'State Depts'!H76</f>
        <v>Priority Precincts Authority</v>
      </c>
    </row>
    <row r="77" spans="1:1" x14ac:dyDescent="0.45">
      <c r="A77" t="str">
        <f>'State Depts'!H77</f>
        <v>Professional Boxing And Combat Sports Board</v>
      </c>
    </row>
    <row r="78" spans="1:1" x14ac:dyDescent="0.45">
      <c r="A78" t="str">
        <f>'State Depts'!H78</f>
        <v>Public Transport Access Committee</v>
      </c>
    </row>
    <row r="79" spans="1:1" x14ac:dyDescent="0.45">
      <c r="A79" t="str">
        <f>'State Depts'!H79</f>
        <v>Public Transport Development Authority (part of PTV)</v>
      </c>
    </row>
    <row r="80" spans="1:1" x14ac:dyDescent="0.45">
      <c r="A80" t="str">
        <f>'State Depts'!H80</f>
        <v>Public Transport Ombudsman Ltd</v>
      </c>
    </row>
    <row r="81" spans="1:1" x14ac:dyDescent="0.45">
      <c r="A81" t="str">
        <f>'State Depts'!H81</f>
        <v>Racing Integrity Commissioner</v>
      </c>
    </row>
    <row r="82" spans="1:1" x14ac:dyDescent="0.45">
      <c r="A82" t="str">
        <f>'State Depts'!H82</f>
        <v>Recreational Fishing Grants Working Group</v>
      </c>
    </row>
    <row r="83" spans="1:1" x14ac:dyDescent="0.45">
      <c r="A83" t="str">
        <f>'State Depts'!H83</f>
        <v>Regional Development Advisory Committee</v>
      </c>
    </row>
    <row r="84" spans="1:1" x14ac:dyDescent="0.45">
      <c r="A84" t="str">
        <f>'State Depts'!H84</f>
        <v>Royal Melbourne Showgrounds</v>
      </c>
    </row>
    <row r="85" spans="1:1" x14ac:dyDescent="0.45">
      <c r="A85" t="str">
        <f>'State Depts'!H85</f>
        <v>Rural Assistance Commissioner</v>
      </c>
    </row>
    <row r="86" spans="1:1" x14ac:dyDescent="0.45">
      <c r="A86" t="str">
        <f>'State Depts'!H86</f>
        <v>Sheep And Goat Compensation Advisory Committee</v>
      </c>
    </row>
    <row r="87" spans="1:1" x14ac:dyDescent="0.45">
      <c r="A87" t="str">
        <f>'State Depts'!H87</f>
        <v>Sheep And Goat Identification Advisory Committee</v>
      </c>
    </row>
    <row r="88" spans="1:1" x14ac:dyDescent="0.45">
      <c r="A88" t="str">
        <f>'State Depts'!H88</f>
        <v>Small Business Ministerial Council</v>
      </c>
    </row>
    <row r="89" spans="1:1" x14ac:dyDescent="0.45">
      <c r="A89" t="str">
        <f>'State Depts'!H89</f>
        <v>Snobs Creek Fish Production And Liberation Advisory Board</v>
      </c>
    </row>
    <row r="90" spans="1:1" x14ac:dyDescent="0.45">
      <c r="A90" t="str">
        <f>'State Depts'!H90</f>
        <v>Social and Economic Inclusion</v>
      </c>
    </row>
    <row r="91" spans="1:1" x14ac:dyDescent="0.45">
      <c r="A91" t="str">
        <f>'State Depts'!H91</f>
        <v>Sport And Recreation Camps</v>
      </c>
    </row>
    <row r="92" spans="1:1" x14ac:dyDescent="0.45">
      <c r="A92" t="str">
        <f>'State Depts'!H92</f>
        <v>State Sports Centres Trust (Melbourne Sports Hub)</v>
      </c>
    </row>
    <row r="93" spans="1:1" x14ac:dyDescent="0.45">
      <c r="A93" t="str">
        <f>'State Depts'!H93</f>
        <v>Sunraysia Industry Development Committee</v>
      </c>
    </row>
    <row r="94" spans="1:1" x14ac:dyDescent="0.45">
      <c r="A94" t="str">
        <f>'State Depts'!H94</f>
        <v>Swine Industry Projects Advisory Committee</v>
      </c>
    </row>
    <row r="95" spans="1:1" x14ac:dyDescent="0.45">
      <c r="A95" t="str">
        <f>'State Depts'!H95</f>
        <v>Taxi Services Commission</v>
      </c>
    </row>
    <row r="96" spans="1:1" x14ac:dyDescent="0.45">
      <c r="A96" t="str">
        <f>'State Depts'!H96</f>
        <v>Technical Review Board</v>
      </c>
    </row>
    <row r="97" spans="1:1" x14ac:dyDescent="0.45">
      <c r="A97" t="str">
        <f>'State Depts'!H97</f>
        <v>Tourism Victoria</v>
      </c>
    </row>
    <row r="98" spans="1:1" x14ac:dyDescent="0.45">
      <c r="A98" t="str">
        <f>'State Depts'!H98</f>
        <v>Transport Industry Council</v>
      </c>
    </row>
    <row r="99" spans="1:1" x14ac:dyDescent="0.45">
      <c r="A99" t="str">
        <f>'State Depts'!H99</f>
        <v>Urban Renewal Authority</v>
      </c>
    </row>
    <row r="100" spans="1:1" x14ac:dyDescent="0.45">
      <c r="A100" t="str">
        <f>'State Depts'!H100</f>
        <v>Veterinary Practitioners Registration Board Of Victoria Panel Hearings</v>
      </c>
    </row>
    <row r="101" spans="1:1" x14ac:dyDescent="0.45">
      <c r="A101" t="str">
        <f>'State Depts'!H101</f>
        <v>Veterinary Practitioners Regulation Board</v>
      </c>
    </row>
    <row r="102" spans="1:1" x14ac:dyDescent="0.45">
      <c r="A102" t="str">
        <f>'State Depts'!H102</f>
        <v>VicForests</v>
      </c>
    </row>
    <row r="103" spans="1:1" x14ac:dyDescent="0.45">
      <c r="A103" t="str">
        <f>'State Depts'!H103</f>
        <v>Victoria Trade And Investment Office Pty Ltd</v>
      </c>
    </row>
    <row r="104" spans="1:1" x14ac:dyDescent="0.45">
      <c r="A104" t="str">
        <f>'State Depts'!H104</f>
        <v>Victorian Agricultural Chemicals Advisory Committee</v>
      </c>
    </row>
    <row r="105" spans="1:1" x14ac:dyDescent="0.45">
      <c r="A105" t="str">
        <f>'State Depts'!H105</f>
        <v>Victorian Agriculture Advisory Council</v>
      </c>
    </row>
    <row r="106" spans="1:1" x14ac:dyDescent="0.45">
      <c r="A106" t="str">
        <f>'State Depts'!H106</f>
        <v>Victorian Broiler Industry Negotiation Committee</v>
      </c>
    </row>
    <row r="107" spans="1:1" x14ac:dyDescent="0.45">
      <c r="A107" t="str">
        <f>'State Depts'!H107</f>
        <v>Victorian Fisheries Authority</v>
      </c>
    </row>
    <row r="108" spans="1:1" x14ac:dyDescent="0.45">
      <c r="A108" t="str">
        <f>'State Depts'!H108</f>
        <v>Victorian Institute Of Sport</v>
      </c>
    </row>
    <row r="109" spans="1:1" x14ac:dyDescent="0.45">
      <c r="A109" t="str">
        <f>'State Depts'!H109</f>
        <v>Victorian Major Events Company</v>
      </c>
    </row>
    <row r="110" spans="1:1" x14ac:dyDescent="0.45">
      <c r="A110" t="str">
        <f>'State Depts'!H110</f>
        <v>Victorian Planning Authority</v>
      </c>
    </row>
    <row r="111" spans="1:1" x14ac:dyDescent="0.45">
      <c r="A111" t="str">
        <f>'State Depts'!H111</f>
        <v>Victorian Rail Track Corporation</v>
      </c>
    </row>
    <row r="112" spans="1:1" x14ac:dyDescent="0.45">
      <c r="A112" t="str">
        <f>'State Depts'!H112</f>
        <v>Victorian Railway Crossing Safety Steering Committee</v>
      </c>
    </row>
    <row r="113" spans="1:1" x14ac:dyDescent="0.45">
      <c r="A113" t="str">
        <f>'State Depts'!H113</f>
        <v>Victorian Regional Channels Authority</v>
      </c>
    </row>
    <row r="114" spans="1:1" x14ac:dyDescent="0.45">
      <c r="A114" t="str">
        <f>'State Depts'!H114</f>
        <v>Victorian Strawberry Industry Development Committee</v>
      </c>
    </row>
    <row r="115" spans="1:1" x14ac:dyDescent="0.45">
      <c r="A115" t="str">
        <f>'State Depts'!H115</f>
        <v>Victorian Strawberry Industry Development Corp</v>
      </c>
    </row>
    <row r="116" spans="1:1" x14ac:dyDescent="0.45">
      <c r="A116" t="str">
        <f>'State Depts'!H116</f>
        <v>Visit Victoria</v>
      </c>
    </row>
    <row r="117" spans="1:1" x14ac:dyDescent="0.45">
      <c r="A117" t="str">
        <f>'State Depts'!H117</f>
        <v>Visitor Economy Ministerial Advisory Committee</v>
      </c>
    </row>
    <row r="118" spans="1:1" x14ac:dyDescent="0.45">
      <c r="A118" t="str">
        <f>'State Depts'!H118</f>
        <v>Western Distributor Authority</v>
      </c>
    </row>
    <row r="119" spans="1:1" x14ac:dyDescent="0.45">
      <c r="A119" t="str">
        <f>'State Depts'!H119</f>
        <v>Working Families Council</v>
      </c>
    </row>
    <row r="120" spans="1:1" x14ac:dyDescent="0.45">
      <c r="A120" t="str">
        <f>'State Depts'!H120</f>
        <v>Young Farmers Ministerial Advisory Council</v>
      </c>
    </row>
    <row r="121" spans="1:1" x14ac:dyDescent="0.45">
      <c r="A121" t="str">
        <f>'State Depts'!H121</f>
        <v>Youth Parole Board</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ACZ780"/>
  <sheetViews>
    <sheetView zoomScale="85" zoomScaleNormal="85" workbookViewId="0">
      <pane ySplit="1" topLeftCell="A2" activePane="bottomLeft" state="frozen"/>
      <selection pane="bottomLeft"/>
    </sheetView>
  </sheetViews>
  <sheetFormatPr defaultColWidth="9.1328125" defaultRowHeight="14.25" x14ac:dyDescent="0.45"/>
  <cols>
    <col min="1" max="1" width="41.1328125" customWidth="1"/>
    <col min="10" max="10" width="22.59765625" bestFit="1" customWidth="1"/>
    <col min="13" max="14" width="14.59765625" customWidth="1"/>
    <col min="16" max="16" width="25.3984375" customWidth="1"/>
  </cols>
  <sheetData>
    <row r="1" spans="1:780" s="1" customFormat="1" x14ac:dyDescent="0.45">
      <c r="A1" s="1" t="s">
        <v>127</v>
      </c>
      <c r="B1" s="1" t="str">
        <f>A2</f>
        <v>Aberfeldy Cemetery Trust</v>
      </c>
      <c r="C1" s="1" t="str">
        <f ca="1">OFFSET($A2,(MATCH(B1,$A:$A)-1),0)</f>
        <v>Ability Works Australia Ltd</v>
      </c>
      <c r="D1" s="1" t="str">
        <f ca="1">OFFSET($A2,(MATCH(C1,$A:$A)-1),0)</f>
        <v>Aboriginal Community Elders Services Inc.</v>
      </c>
      <c r="E1" s="1" t="str">
        <f ca="1">OFFSET($A2,(MATCH(D1,$A:$A)-1),0)</f>
        <v>Aborigines Advancement League Inc.</v>
      </c>
      <c r="F1" s="1" t="str">
        <f ca="1">OFFSET($A2,(MATCH(E1,$A:$A)-1),0)</f>
        <v>Access Health and Community</v>
      </c>
      <c r="G1" s="1" t="str">
        <f ca="1">OFFSET($A2,(MATCH(F1,$A:$A)-1),0)</f>
        <v>Access Services For Koories Ltd</v>
      </c>
      <c r="H1" s="1" t="str">
        <f t="shared" ref="H1:BS1" ca="1" si="0">OFFSET($A2,(MATCH(G1,$A:$A)-1),0)</f>
        <v>Adass Israel Cemetery Trust</v>
      </c>
      <c r="I1" s="1" t="str">
        <f t="shared" ca="1" si="0"/>
        <v>Alberton Cemetery Trust</v>
      </c>
      <c r="J1" s="1" t="str">
        <f t="shared" ca="1" si="0"/>
        <v>Albury Wodonga Health</v>
      </c>
      <c r="K1" s="1" t="str">
        <f t="shared" ca="1" si="0"/>
        <v>Alexandra Cemetery Trust</v>
      </c>
      <c r="L1" s="1" t="str">
        <f t="shared" ca="1" si="0"/>
        <v>Alexandra District Health</v>
      </c>
      <c r="M1" s="1" t="str">
        <f t="shared" ca="1" si="0"/>
        <v>Alfred Health</v>
      </c>
      <c r="N1" s="1" t="str">
        <f t="shared" ca="1" si="0"/>
        <v>Alpine Health</v>
      </c>
      <c r="O1" s="1" t="str">
        <f t="shared" ca="1" si="0"/>
        <v>Ambulance Performance And Policy Consultative Committee</v>
      </c>
      <c r="P1" s="1" t="str">
        <f t="shared" ca="1" si="0"/>
        <v>Ambulance Victoria</v>
      </c>
      <c r="Q1" s="1" t="str">
        <f t="shared" ca="1" si="0"/>
        <v>Amherst Cemetery Trust</v>
      </c>
      <c r="R1" s="1" t="str">
        <f t="shared" ca="1" si="0"/>
        <v>Amphitheatre Cemetery Trust</v>
      </c>
      <c r="S1" s="1" t="str">
        <f t="shared" ca="1" si="0"/>
        <v>AMREP AS Pty Ltd</v>
      </c>
      <c r="T1" s="1" t="str">
        <f t="shared" ca="1" si="0"/>
        <v>Antwerp Cemetery Trust</v>
      </c>
      <c r="U1" s="1" t="str">
        <f t="shared" ca="1" si="0"/>
        <v>Apollo Bay Cemetery Trust</v>
      </c>
      <c r="V1" s="1" t="str">
        <f t="shared" ca="1" si="0"/>
        <v>Apsley Cemetery Trust</v>
      </c>
      <c r="W1" s="1" t="str">
        <f t="shared" ca="1" si="0"/>
        <v>Ararat Cemetery Trust</v>
      </c>
      <c r="X1" s="1" t="str">
        <f t="shared" ca="1" si="0"/>
        <v>Arthurs Creek Cemetery Trust</v>
      </c>
      <c r="Y1" s="1" t="str">
        <f t="shared" ca="1" si="0"/>
        <v>Ashens Cemetery Trust</v>
      </c>
      <c r="Z1" s="1" t="str">
        <f t="shared" ca="1" si="0"/>
        <v>Austhos Pty Ltd</v>
      </c>
      <c r="AA1" s="1" t="str">
        <f t="shared" ca="1" si="0"/>
        <v>Austin Health</v>
      </c>
      <c r="AB1" s="1" t="str">
        <f t="shared" ca="1" si="0"/>
        <v>Austin Medical Research Foundation</v>
      </c>
      <c r="AC1" s="1" t="str">
        <f t="shared" ca="1" si="0"/>
        <v>Avenel Cemetery Trust</v>
      </c>
      <c r="AD1" s="1" t="str">
        <f t="shared" ca="1" si="0"/>
        <v>Avoca Cemetery Trust</v>
      </c>
      <c r="AE1" s="1" t="str">
        <f t="shared" ca="1" si="0"/>
        <v>Bairnsdale Cemetery Trust</v>
      </c>
      <c r="AF1" s="1" t="str">
        <f t="shared" ca="1" si="0"/>
        <v>Bairnsdale Regional Health Service</v>
      </c>
      <c r="AG1" s="1" t="str">
        <f t="shared" ca="1" si="0"/>
        <v>Baker Heart and Diabetes Institute Ltd</v>
      </c>
      <c r="AH1" s="1" t="str">
        <f t="shared" ca="1" si="0"/>
        <v>Ballan Cemetery Trust</v>
      </c>
      <c r="AI1" s="1" t="str">
        <f t="shared" ca="1" si="0"/>
        <v>Ballangeich Cemetery Trust</v>
      </c>
      <c r="AJ1" s="1" t="str">
        <f t="shared" ca="1" si="0"/>
        <v>Ballarat and District Aboriginal Co-operative Ltd</v>
      </c>
      <c r="AK1" s="1" t="str">
        <f t="shared" ca="1" si="0"/>
        <v>Ballarat District Nursing and Healthcare</v>
      </c>
      <c r="AL1" s="1" t="str">
        <f t="shared" ca="1" si="0"/>
        <v>Ballarat General Cemeteries Trust</v>
      </c>
      <c r="AM1" s="1" t="str">
        <f t="shared" ca="1" si="0"/>
        <v>Ballarat Health Services</v>
      </c>
      <c r="AN1" s="1" t="str">
        <f t="shared" ca="1" si="0"/>
        <v>Ballarat Hospice Care Inc.</v>
      </c>
      <c r="AO1" s="1" t="str">
        <f t="shared" ca="1" si="0"/>
        <v>Balmoral Bush Nursing Centre</v>
      </c>
      <c r="AP1" s="1" t="str">
        <f t="shared" ca="1" si="0"/>
        <v>Balmoral Cemetery Trust</v>
      </c>
      <c r="AQ1" s="1" t="str">
        <f t="shared" ca="1" si="0"/>
        <v>Bambra Cemetery Trust</v>
      </c>
      <c r="AR1" s="1" t="str">
        <f t="shared" ca="1" si="0"/>
        <v>Banksia Palliative Care Service Inc.</v>
      </c>
      <c r="AS1" s="1" t="str">
        <f t="shared" ca="1" si="0"/>
        <v>Bannerton Cemetery Trust</v>
      </c>
      <c r="AT1" s="1" t="str">
        <f t="shared" ca="1" si="0"/>
        <v>Bannockburn Cemetery Trust</v>
      </c>
      <c r="AU1" s="1" t="str">
        <f t="shared" ca="1" si="0"/>
        <v>Banyule Cemeteries Trust</v>
      </c>
      <c r="AV1" s="1" t="str">
        <f t="shared" ca="1" si="0"/>
        <v>Banyule Community Health</v>
      </c>
      <c r="AW1" s="1" t="str">
        <f t="shared" ca="1" si="0"/>
        <v>Baringhup Cemetery Trust</v>
      </c>
      <c r="AX1" s="1" t="str">
        <f t="shared" ca="1" si="0"/>
        <v>Barkly Cemetery Trust</v>
      </c>
      <c r="AY1" s="1" t="str">
        <f t="shared" ca="1" si="0"/>
        <v>Barmah Cemetery Trust</v>
      </c>
      <c r="AZ1" s="1" t="str">
        <f t="shared" ca="1" si="0"/>
        <v>Barnawartha Cemetery Trust</v>
      </c>
      <c r="BA1" s="1" t="str">
        <f t="shared" ca="1" si="0"/>
        <v>Barwon Centre Against Sexual Assault</v>
      </c>
      <c r="BB1" s="1" t="str">
        <f t="shared" ca="1" si="0"/>
        <v>Barwon Health</v>
      </c>
      <c r="BC1" s="1" t="str">
        <f t="shared" ca="1" si="0"/>
        <v>Bass Coast Health</v>
      </c>
      <c r="BD1" s="1" t="str">
        <f t="shared" ca="1" si="0"/>
        <v>Bealiba Cemetery Trust</v>
      </c>
      <c r="BE1" s="1" t="str">
        <f t="shared" ca="1" si="0"/>
        <v>Beaufort And Skipton Health Service</v>
      </c>
      <c r="BF1" s="1" t="str">
        <f t="shared" ca="1" si="0"/>
        <v>Beaufort Cemetery Trust</v>
      </c>
      <c r="BG1" s="1" t="str">
        <f t="shared" ca="1" si="0"/>
        <v>Beechworth Cemetery Trust</v>
      </c>
      <c r="BH1" s="1" t="str">
        <f t="shared" ca="1" si="0"/>
        <v>Beechworth Health Service</v>
      </c>
      <c r="BI1" s="1" t="str">
        <f t="shared" ca="1" si="0"/>
        <v>Beenak Cemetery Trust</v>
      </c>
      <c r="BJ1" s="1" t="str">
        <f t="shared" ca="1" si="0"/>
        <v>Bellarine Community Health Ltd</v>
      </c>
      <c r="BK1" s="1" t="str">
        <f t="shared" ca="1" si="0"/>
        <v>Bellbrae Cemetery Trust</v>
      </c>
      <c r="BL1" s="1" t="str">
        <f t="shared" ca="1" si="0"/>
        <v>Bellellen Cemetery Trust</v>
      </c>
      <c r="BM1" s="1" t="str">
        <f t="shared" ca="1" si="0"/>
        <v>Benalla Cemetery Trust</v>
      </c>
      <c r="BN1" s="1" t="str">
        <f t="shared" ca="1" si="0"/>
        <v>Benalla Health</v>
      </c>
      <c r="BO1" s="1" t="str">
        <f t="shared" ca="1" si="0"/>
        <v>Benambra Cemetery Trust</v>
      </c>
      <c r="BP1" s="1" t="str">
        <f t="shared" ca="1" si="0"/>
        <v>Bendigo and District Aboriginal Co-operative</v>
      </c>
      <c r="BQ1" s="1" t="str">
        <f t="shared" ca="1" si="0"/>
        <v>Bendigo Cemeteries Trust</v>
      </c>
      <c r="BR1" s="1" t="str">
        <f t="shared" ca="1" si="0"/>
        <v>Bendigo Health</v>
      </c>
      <c r="BS1" s="1" t="str">
        <f t="shared" ca="1" si="0"/>
        <v>Bendoc Cemetery Trust</v>
      </c>
      <c r="BT1" s="1" t="str">
        <f t="shared" ref="BT1:EE1" ca="1" si="1">OFFSET($A2,(MATCH(BS1,$A:$A)-1),0)</f>
        <v>Bentleigh-Bayside Community Health</v>
      </c>
      <c r="BU1" s="1" t="str">
        <f t="shared" ca="1" si="1"/>
        <v>Berriwillock Cemetery Trust</v>
      </c>
      <c r="BV1" s="1" t="str">
        <f t="shared" ca="1" si="1"/>
        <v>Berwick And Harkaway Cemetery Trust</v>
      </c>
      <c r="BW1" s="1" t="str">
        <f t="shared" ca="1" si="1"/>
        <v>Bethanga Cemetery Trust</v>
      </c>
      <c r="BX1" s="1" t="str">
        <f t="shared" ca="1" si="1"/>
        <v>Beulah Cemetery Trust</v>
      </c>
      <c r="BY1" s="1" t="str">
        <f t="shared" ca="1" si="1"/>
        <v>Birchip Cemetery Trust</v>
      </c>
      <c r="BZ1" s="1" t="str">
        <f t="shared" ca="1" si="1"/>
        <v>Blackheath Cemetery</v>
      </c>
      <c r="CA1" s="1" t="str">
        <f t="shared" ca="1" si="1"/>
        <v>Blackwood Cemetery Trust</v>
      </c>
      <c r="CB1" s="1" t="str">
        <f t="shared" ca="1" si="1"/>
        <v>Boinka Cemetery Trust</v>
      </c>
      <c r="CC1" s="1" t="str">
        <f t="shared" ca="1" si="1"/>
        <v>Boolara Cemetery Trust</v>
      </c>
      <c r="CD1" s="1" t="str">
        <f t="shared" ca="1" si="1"/>
        <v>Boorhaman Cemetery Trust</v>
      </c>
      <c r="CE1" s="1" t="str">
        <f t="shared" ca="1" si="1"/>
        <v>Boort Cemetery Trust</v>
      </c>
      <c r="CF1" s="1" t="str">
        <f t="shared" ca="1" si="1"/>
        <v>Boort District Health</v>
      </c>
      <c r="CG1" s="1" t="str">
        <f t="shared" ca="1" si="1"/>
        <v>Boram Boram Cemetery Trust</v>
      </c>
      <c r="CH1" s="1" t="str">
        <f t="shared" ca="1" si="1"/>
        <v>Boroondara Cemetery Trust (Kew)</v>
      </c>
      <c r="CI1" s="1" t="str">
        <f t="shared" ca="1" si="1"/>
        <v>Bowman Forest Cemetery Trust</v>
      </c>
      <c r="CJ1" s="1" t="str">
        <f t="shared" ca="1" si="1"/>
        <v>Box Hill Cemetery Trust</v>
      </c>
      <c r="CK1" s="1" t="str">
        <f t="shared" ca="1" si="1"/>
        <v>Branxholme Cemetery Trust</v>
      </c>
      <c r="CL1" s="1" t="str">
        <f t="shared" ca="1" si="1"/>
        <v>BreastScreen Victoria</v>
      </c>
      <c r="CM1" s="1" t="str">
        <f t="shared" ca="1" si="1"/>
        <v>Briagolong Cemetery Trust</v>
      </c>
      <c r="CN1" s="1" t="str">
        <f t="shared" ca="1" si="1"/>
        <v>Bridgewater Cemetery Trust</v>
      </c>
      <c r="CO1" s="1" t="str">
        <f t="shared" ca="1" si="1"/>
        <v>Bright Cemetery Trust</v>
      </c>
      <c r="CP1" s="1" t="str">
        <f t="shared" ca="1" si="1"/>
        <v>Brim Cemetery Trust</v>
      </c>
      <c r="CQ1" s="1" t="str">
        <f t="shared" ca="1" si="1"/>
        <v>Brimpaen Cemetery Trust</v>
      </c>
      <c r="CR1" s="1" t="str">
        <f t="shared" ca="1" si="1"/>
        <v>Broadford Cemetery Trust</v>
      </c>
      <c r="CS1" s="1" t="str">
        <f t="shared" ca="1" si="1"/>
        <v>Brunswick Industries Association Inc.</v>
      </c>
      <c r="CT1" s="1" t="str">
        <f t="shared" ca="1" si="1"/>
        <v>Bruthen Cemetery Trust</v>
      </c>
      <c r="CU1" s="1" t="str">
        <f t="shared" ca="1" si="1"/>
        <v>Buangor Cemetery Trust</v>
      </c>
      <c r="CV1" s="1" t="str">
        <f t="shared" ca="1" si="1"/>
        <v>Buchan Bush Nursing Association Inc.</v>
      </c>
      <c r="CW1" s="1" t="str">
        <f t="shared" ca="1" si="1"/>
        <v>Buchan Cemetery Trust</v>
      </c>
      <c r="CX1" s="1" t="str">
        <f t="shared" ca="1" si="1"/>
        <v>Budja Budja Aboriginal Co-Operative Ltd</v>
      </c>
      <c r="CY1" s="1" t="str">
        <f t="shared" ca="1" si="1"/>
        <v>Bulla Cemetery Trust</v>
      </c>
      <c r="CZ1" s="1" t="str">
        <f t="shared" ca="1" si="1"/>
        <v>Bullarto Cemetery Trust</v>
      </c>
      <c r="DA1" s="1" t="str">
        <f t="shared" ca="1" si="1"/>
        <v>Bumberrah Cemetery Trust</v>
      </c>
      <c r="DB1" s="1" t="str">
        <f t="shared" ca="1" si="1"/>
        <v>Bung Bong &amp; Wareek Cemetery Trust</v>
      </c>
      <c r="DC1" s="1" t="str">
        <f t="shared" ca="1" si="1"/>
        <v>Bungaree Cemetery Trust</v>
      </c>
      <c r="DD1" s="1" t="str">
        <f t="shared" ca="1" si="1"/>
        <v>Buninyong Cemetery Trust</v>
      </c>
      <c r="DE1" s="1" t="str">
        <f t="shared" ca="1" si="1"/>
        <v>Bunyip Cemetery Trust</v>
      </c>
      <c r="DF1" s="1" t="str">
        <f t="shared" ca="1" si="1"/>
        <v>Burrum Burrum Cemetery Trust</v>
      </c>
      <c r="DG1" s="1" t="str">
        <f t="shared" ca="1" si="1"/>
        <v>Byaduk Cemetery Trust</v>
      </c>
      <c r="DH1" s="1" t="str">
        <f t="shared" ca="1" si="1"/>
        <v>Byaduk North Cemetery Trust</v>
      </c>
      <c r="DI1" s="1" t="str">
        <f t="shared" ca="1" si="1"/>
        <v>Calvary Health Care Bethlehem</v>
      </c>
      <c r="DJ1" s="1" t="str">
        <f t="shared" ca="1" si="1"/>
        <v>Camperdown Cemetery Trust</v>
      </c>
      <c r="DK1" s="1" t="str">
        <f t="shared" ca="1" si="1"/>
        <v>Cancer Council Victoria</v>
      </c>
      <c r="DL1" s="1" t="str">
        <f t="shared" ca="1" si="1"/>
        <v>Cancer Trials Australia</v>
      </c>
      <c r="DM1" s="1" t="str">
        <f t="shared" ca="1" si="1"/>
        <v>Cann River Cemetery Trust</v>
      </c>
      <c r="DN1" s="1" t="str">
        <f t="shared" ca="1" si="1"/>
        <v>Cann Valley Bush Nursing Centre Inc.</v>
      </c>
      <c r="DO1" s="1" t="str">
        <f t="shared" ca="1" si="1"/>
        <v>Cape Bridgewater Cemetery Trust</v>
      </c>
      <c r="DP1" s="1" t="str">
        <f t="shared" ca="1" si="1"/>
        <v>Cape Clear Cemetery Trust</v>
      </c>
      <c r="DQ1" s="1" t="str">
        <f t="shared" ca="1" si="1"/>
        <v>Caramut Cemetery Trust</v>
      </c>
      <c r="DR1" s="1" t="str">
        <f t="shared" ca="1" si="1"/>
        <v>Carisbrook Cemetery Trust</v>
      </c>
      <c r="DS1" s="1" t="str">
        <f t="shared" ca="1" si="1"/>
        <v>Carlsrhue Cemetery Trust</v>
      </c>
      <c r="DT1" s="1" t="str">
        <f t="shared" ca="1" si="1"/>
        <v>Carlyle Cemetery Trust</v>
      </c>
      <c r="DU1" s="1" t="str">
        <f t="shared" ca="1" si="1"/>
        <v>Carngham Cemetery Trust</v>
      </c>
      <c r="DV1" s="1" t="str">
        <f t="shared" ca="1" si="1"/>
        <v>Carrajung Cemetery Trust</v>
      </c>
      <c r="DW1" s="1" t="str">
        <f t="shared" ca="1" si="1"/>
        <v>Carwarp Cemetery Trust</v>
      </c>
      <c r="DX1" s="1" t="str">
        <f t="shared" ca="1" si="1"/>
        <v>Cassilis Cemetery Trust</v>
      </c>
      <c r="DY1" s="1" t="str">
        <f t="shared" ca="1" si="1"/>
        <v>Casterton (New) Cemetery Trust</v>
      </c>
      <c r="DZ1" s="1" t="str">
        <f t="shared" ca="1" si="1"/>
        <v>Casterton Memorial Hospital</v>
      </c>
      <c r="EA1" s="1" t="str">
        <f t="shared" ca="1" si="1"/>
        <v>Castlemaine Cemetery Trust</v>
      </c>
      <c r="EB1" s="1" t="str">
        <f t="shared" ca="1" si="1"/>
        <v>Castlemaine District Community Health Ltd</v>
      </c>
      <c r="EC1" s="1" t="str">
        <f t="shared" ca="1" si="1"/>
        <v>Castlemaine Health</v>
      </c>
      <c r="ED1" s="1" t="str">
        <f t="shared" ca="1" si="1"/>
        <v>Cathcart Cemetery Trust</v>
      </c>
      <c r="EE1" s="1" t="str">
        <f t="shared" ca="1" si="1"/>
        <v>Cathkin Cemetery Trust</v>
      </c>
      <c r="EF1" s="1" t="str">
        <f t="shared" ref="EF1:GQ1" ca="1" si="2">OFFSET($A2,(MATCH(EE1,$A:$A)-1),0)</f>
        <v>Cavendish Cemetery Trust</v>
      </c>
      <c r="EG1" s="1" t="str">
        <f t="shared" ca="1" si="2"/>
        <v>Central Bayside Community Health Services Ltd</v>
      </c>
      <c r="EH1" s="1" t="str">
        <f t="shared" ca="1" si="2"/>
        <v>Central Gippsland Health Service</v>
      </c>
      <c r="EI1" s="1" t="str">
        <f t="shared" ca="1" si="2"/>
        <v>Central Highlands Rural Health</v>
      </c>
      <c r="EJ1" s="1" t="str">
        <f t="shared" ca="1" si="2"/>
        <v>Centre Against Sexual Assault – Loddon Campaspe Region</v>
      </c>
      <c r="EK1" s="1" t="str">
        <f t="shared" ca="1" si="2"/>
        <v>Centre Against Violence</v>
      </c>
      <c r="EL1" s="1" t="str">
        <f t="shared" ca="1" si="2"/>
        <v>Centre for Eye Research Australia</v>
      </c>
      <c r="EM1" s="1" t="str">
        <f t="shared" ca="1" si="2"/>
        <v>Charlton Cemetery Trust</v>
      </c>
      <c r="EN1" s="1" t="str">
        <f t="shared" ca="1" si="2"/>
        <v>Chetwynd Cemetery Trust</v>
      </c>
      <c r="EO1" s="1" t="str">
        <f t="shared" ca="1" si="2"/>
        <v>Chevra Hatzolah Melbourne Inc.</v>
      </c>
      <c r="EP1" s="1" t="str">
        <f t="shared" ca="1" si="2"/>
        <v>Chewton Cemetery Trust</v>
      </c>
      <c r="EQ1" s="1" t="str">
        <f t="shared" ca="1" si="2"/>
        <v>Children's Services Coordination Board</v>
      </c>
      <c r="ER1" s="1" t="str">
        <f t="shared" ca="1" si="2"/>
        <v>Chiltern (New) Cemetery Trust</v>
      </c>
      <c r="ES1" s="1" t="str">
        <f t="shared" ca="1" si="2"/>
        <v>Chinkapook - Eureka Cemetery Trust</v>
      </c>
      <c r="ET1" s="1" t="str">
        <f t="shared" ca="1" si="2"/>
        <v>Chronic Illness Alliance Inc.</v>
      </c>
      <c r="EU1" s="1" t="str">
        <f t="shared" ca="1" si="2"/>
        <v>Clarendon Cemetery Trust</v>
      </c>
      <c r="EV1" s="1" t="str">
        <f t="shared" ca="1" si="2"/>
        <v>Clear Lake Cemetery Trust</v>
      </c>
      <c r="EW1" s="1" t="str">
        <f t="shared" ca="1" si="2"/>
        <v>Clunes Cemetery Trust</v>
      </c>
      <c r="EX1" s="1" t="str">
        <f t="shared" ca="1" si="2"/>
        <v>Cobaw Community Health Services Ltd</v>
      </c>
      <c r="EY1" s="1" t="str">
        <f t="shared" ca="1" si="2"/>
        <v>Cobden Cemetery Trust</v>
      </c>
      <c r="EZ1" s="1" t="str">
        <f t="shared" ca="1" si="2"/>
        <v>Cobden District Health Service Inc.</v>
      </c>
      <c r="FA1" s="1" t="str">
        <f t="shared" ca="1" si="2"/>
        <v>Cobram Cemetery Trust</v>
      </c>
      <c r="FB1" s="1" t="str">
        <f t="shared" ca="1" si="2"/>
        <v>Coghills Creek Cemetery Trust</v>
      </c>
      <c r="FC1" s="1" t="str">
        <f t="shared" ca="1" si="2"/>
        <v>Cohealth</v>
      </c>
      <c r="FD1" s="1" t="str">
        <f t="shared" ca="1" si="2"/>
        <v>Cohuna Cemetery Trust</v>
      </c>
      <c r="FE1" s="1" t="str">
        <f t="shared" ca="1" si="2"/>
        <v>Cohuna District Hospital</v>
      </c>
      <c r="FF1" s="1" t="str">
        <f t="shared" ca="1" si="2"/>
        <v>Colac Area Health</v>
      </c>
      <c r="FG1" s="1" t="str">
        <f t="shared" ca="1" si="2"/>
        <v>Colac Cemetery</v>
      </c>
      <c r="FH1" s="1" t="str">
        <f t="shared" ca="1" si="2"/>
        <v>Colbinabbin Cemetery Trust</v>
      </c>
      <c r="FI1" s="1" t="str">
        <f t="shared" ca="1" si="2"/>
        <v>Coleraine Cemetery Trust</v>
      </c>
      <c r="FJ1" s="1" t="str">
        <f t="shared" ca="1" si="2"/>
        <v>Commission For Children And Young People</v>
      </c>
      <c r="FK1" s="1" t="str">
        <f t="shared" ca="1" si="2"/>
        <v>Concongella Cemetery Trust</v>
      </c>
      <c r="FL1" s="1" t="str">
        <f t="shared" ca="1" si="2"/>
        <v>Condah Cemetery Trust</v>
      </c>
      <c r="FM1" s="1" t="str">
        <f t="shared" ca="1" si="2"/>
        <v>Consultative Council for Clinical Trials Research</v>
      </c>
      <c r="FN1" s="1" t="str">
        <f t="shared" ca="1" si="2"/>
        <v>Consultative Council On Obstetric And Paediatric Mortality And Morbidity</v>
      </c>
      <c r="FO1" s="1" t="str">
        <f t="shared" ca="1" si="2"/>
        <v>Coongulmerang Cemetery Trust</v>
      </c>
      <c r="FP1" s="1" t="str">
        <f t="shared" ca="1" si="2"/>
        <v>Corack Cemetery Trust</v>
      </c>
      <c r="FQ1" s="1" t="str">
        <f t="shared" ca="1" si="2"/>
        <v>Corinella Cemetery Trust</v>
      </c>
      <c r="FR1" s="1" t="str">
        <f t="shared" ca="1" si="2"/>
        <v>Corop Cemetery Trust</v>
      </c>
      <c r="FS1" s="1" t="str">
        <f t="shared" ca="1" si="2"/>
        <v>Corryong Health</v>
      </c>
      <c r="FT1" s="1" t="str">
        <f t="shared" ca="1" si="2"/>
        <v>Council Of Board Chairs</v>
      </c>
      <c r="FU1" s="1" t="str">
        <f t="shared" ca="1" si="2"/>
        <v>Cowangie Cemetery Trust</v>
      </c>
      <c r="FV1" s="1" t="str">
        <f t="shared" ca="1" si="2"/>
        <v>Cranbourne Cemetery Trust</v>
      </c>
      <c r="FW1" s="1" t="str">
        <f t="shared" ca="1" si="2"/>
        <v>Cressy Cemetery Trust</v>
      </c>
      <c r="FX1" s="1" t="str">
        <f t="shared" ca="1" si="2"/>
        <v>Creswick Cemetery Trust</v>
      </c>
      <c r="FY1" s="1" t="str">
        <f t="shared" ca="1" si="2"/>
        <v>Crib Point Cemetery Trust</v>
      </c>
      <c r="FZ1" s="1" t="str">
        <f t="shared" ca="1" si="2"/>
        <v>Crowlands Cemetery Trust</v>
      </c>
      <c r="GA1" s="1" t="str">
        <f t="shared" ca="1" si="2"/>
        <v>Cudgewa (Wabba) Cemetery Trust</v>
      </c>
      <c r="GB1" s="1" t="str">
        <f t="shared" ca="1" si="2"/>
        <v>Culgoa (Kaniera) Cemetery Trust</v>
      </c>
      <c r="GC1" s="1" t="str">
        <f t="shared" ca="1" si="2"/>
        <v>Dahwedarre Cemetery Trust</v>
      </c>
      <c r="GD1" s="1" t="str">
        <f t="shared" ca="1" si="2"/>
        <v>Dandenong and District Aborigines Co-operative Ltd</v>
      </c>
      <c r="GE1" s="1" t="str">
        <f t="shared" ca="1" si="2"/>
        <v>Darebin Community Health Service</v>
      </c>
      <c r="GF1" s="1" t="str">
        <f t="shared" ca="1" si="2"/>
        <v>Dargo Bush Nursing Centre Inc.</v>
      </c>
      <c r="GG1" s="1" t="str">
        <f t="shared" ca="1" si="2"/>
        <v>Dargo Cemetery Trust</v>
      </c>
      <c r="GH1" s="1" t="str">
        <f t="shared" ca="1" si="2"/>
        <v>Darlingford Upper Goulburn Nursing Home Inc.</v>
      </c>
      <c r="GI1" s="1" t="str">
        <f t="shared" ca="1" si="2"/>
        <v>Darlington Cemetery Trust</v>
      </c>
      <c r="GJ1" s="1" t="str">
        <f t="shared" ca="1" si="2"/>
        <v>Darraweit Guim Cemetery Trust</v>
      </c>
      <c r="GK1" s="1" t="str">
        <f t="shared" ca="1" si="2"/>
        <v>Dartmoor and District Bush Nursing Centre Inc.</v>
      </c>
      <c r="GL1" s="1" t="str">
        <f t="shared" ca="1" si="2"/>
        <v>Dartmoor Cemetery Trust</v>
      </c>
      <c r="GM1" s="1" t="str">
        <f t="shared" ca="1" si="2"/>
        <v>Daylesford Cemetery Trust</v>
      </c>
      <c r="GN1" s="1" t="str">
        <f t="shared" ca="1" si="2"/>
        <v>Deep Lead Cemetery Trust</v>
      </c>
      <c r="GO1" s="1" t="str">
        <f t="shared" ca="1" si="2"/>
        <v>Dental Health Services Victoria</v>
      </c>
      <c r="GP1" s="1" t="str">
        <f t="shared" ca="1" si="2"/>
        <v>Department of Health and Human Services (DHHS)</v>
      </c>
      <c r="GQ1" s="1" t="str">
        <f t="shared" ca="1" si="2"/>
        <v>Dergholm Cemetery Trust</v>
      </c>
      <c r="GR1" s="1" t="str">
        <f t="shared" ref="GR1:JC1" ca="1" si="3">OFFSET($A2,(MATCH(GQ1,$A:$A)-1),0)</f>
        <v>Derrinallum Cemetery Trust</v>
      </c>
      <c r="GS1" s="1" t="str">
        <f t="shared" ca="1" si="3"/>
        <v>Devenish Cemetery Trust</v>
      </c>
      <c r="GT1" s="1" t="str">
        <f t="shared" ca="1" si="3"/>
        <v>Dhauwurd-Wurrung Portland and District Aboriginal Community Health Service Inc</v>
      </c>
      <c r="GU1" s="1" t="str">
        <f t="shared" ca="1" si="3"/>
        <v>Dianella Community Health Ltd</v>
      </c>
      <c r="GV1" s="1" t="str">
        <f t="shared" ca="1" si="3"/>
        <v>Digby Cemetery Trust</v>
      </c>
      <c r="GW1" s="1" t="str">
        <f t="shared" ca="1" si="3"/>
        <v>Dimboola Cemetery Trust</v>
      </c>
      <c r="GX1" s="1" t="str">
        <f t="shared" ca="1" si="3"/>
        <v>Dingee Bush Nursing Centre Inc.</v>
      </c>
      <c r="GY1" s="1" t="str">
        <f t="shared" ca="1" si="3"/>
        <v>Disability Services Board</v>
      </c>
      <c r="GZ1" s="1" t="str">
        <f t="shared" ca="1" si="3"/>
        <v>Disability Services Commissioner</v>
      </c>
      <c r="HA1" s="1" t="str">
        <f t="shared" ca="1" si="3"/>
        <v>Djerriwarrh Health Services</v>
      </c>
      <c r="HB1" s="1" t="str">
        <f t="shared" ca="1" si="3"/>
        <v>Donald Public Cemetery Trust</v>
      </c>
      <c r="HC1" s="1" t="str">
        <f t="shared" ca="1" si="3"/>
        <v>Donnybrook Cemetery Trust</v>
      </c>
      <c r="HD1" s="1" t="str">
        <f t="shared" ca="1" si="3"/>
        <v>Donwood Community Aged Care Services Inc.</v>
      </c>
      <c r="HE1" s="1" t="str">
        <f t="shared" ca="1" si="3"/>
        <v>Dookie Cemetery Trust</v>
      </c>
      <c r="HF1" s="1" t="str">
        <f t="shared" ca="1" si="3"/>
        <v>Dookie East Cemetery Trust</v>
      </c>
      <c r="HG1" s="1" t="str">
        <f t="shared" ca="1" si="3"/>
        <v>Dowling Forest Cemetery Trust</v>
      </c>
      <c r="HH1" s="1" t="str">
        <f t="shared" ca="1" si="3"/>
        <v>Drik Drik Cemetery Trust</v>
      </c>
      <c r="HI1" s="1" t="str">
        <f t="shared" ca="1" si="3"/>
        <v>Drouin Cemetery Trust</v>
      </c>
      <c r="HJ1" s="1" t="str">
        <f t="shared" ca="1" si="3"/>
        <v>Drouin West Cemetery Trust</v>
      </c>
      <c r="HK1" s="1" t="str">
        <f t="shared" ca="1" si="3"/>
        <v>Dunkeld Cemetery Trust</v>
      </c>
      <c r="HL1" s="1" t="str">
        <f t="shared" ca="1" si="3"/>
        <v>Dunolly (New) Cemetery Trust</v>
      </c>
      <c r="HM1" s="1" t="str">
        <f t="shared" ca="1" si="3"/>
        <v>Durham Ox Cemetery Trust</v>
      </c>
      <c r="HN1" s="1" t="str">
        <f t="shared" ca="1" si="3"/>
        <v>East Gippsland Shire Cemetery Trust</v>
      </c>
      <c r="HO1" s="1" t="str">
        <f t="shared" ca="1" si="3"/>
        <v>East Grampians Health Service</v>
      </c>
      <c r="HP1" s="1" t="str">
        <f t="shared" ca="1" si="3"/>
        <v>East Wimmera Health Service</v>
      </c>
      <c r="HQ1" s="1" t="str">
        <f t="shared" ca="1" si="3"/>
        <v>Eastern Health</v>
      </c>
      <c r="HR1" s="1" t="str">
        <f t="shared" ca="1" si="3"/>
        <v>Eastern Palliative Care</v>
      </c>
      <c r="HS1" s="1" t="str">
        <f t="shared" ca="1" si="3"/>
        <v>Echuca Cemetery Trust</v>
      </c>
      <c r="HT1" s="1" t="str">
        <f t="shared" ca="1" si="3"/>
        <v>Echuca Regional Health</v>
      </c>
      <c r="HU1" s="1" t="str">
        <f t="shared" ca="1" si="3"/>
        <v>Eddington Cemetery Trust</v>
      </c>
      <c r="HV1" s="1" t="str">
        <f t="shared" ca="1" si="3"/>
        <v>Edenhope And District Memorial Hospital</v>
      </c>
      <c r="HW1" s="1" t="str">
        <f t="shared" ca="1" si="3"/>
        <v>Eganstown Cemetery Trust</v>
      </c>
      <c r="HX1" s="1" t="str">
        <f t="shared" ca="1" si="3"/>
        <v>Eildon Weir Cemetery Trust</v>
      </c>
      <c r="HY1" s="1" t="str">
        <f t="shared" ca="1" si="3"/>
        <v>Elaine Cemetery Trust</v>
      </c>
      <c r="HZ1" s="1" t="str">
        <f t="shared" ca="1" si="3"/>
        <v>Eldorado Cemetery Trust</v>
      </c>
      <c r="IA1" s="1" t="str">
        <f t="shared" ca="1" si="3"/>
        <v>Ellerslie Cemetery Trust</v>
      </c>
      <c r="IB1" s="1" t="str">
        <f t="shared" ca="1" si="3"/>
        <v>Elmhurst Bush Nursing Centre Inc.</v>
      </c>
      <c r="IC1" s="1" t="str">
        <f t="shared" ca="1" si="3"/>
        <v>Elmhurst Cemetery Trust</v>
      </c>
      <c r="ID1" s="1" t="str">
        <f t="shared" ca="1" si="3"/>
        <v>Elmore Cemetery Trust</v>
      </c>
      <c r="IE1" s="1" t="str">
        <f t="shared" ca="1" si="3"/>
        <v>Elphinstone Cemetery Trust</v>
      </c>
      <c r="IF1" s="1" t="str">
        <f t="shared" ca="1" si="3"/>
        <v>Eltham Cemetery Trust</v>
      </c>
      <c r="IG1" s="1" t="str">
        <f t="shared" ca="1" si="3"/>
        <v>Ensay Bush Nursing Centre</v>
      </c>
      <c r="IH1" s="1" t="str">
        <f t="shared" ca="1" si="3"/>
        <v>Ensay Cemetery Trust</v>
      </c>
      <c r="II1" s="1" t="str">
        <f t="shared" ca="1" si="3"/>
        <v>Epping Cemetery Trust</v>
      </c>
      <c r="IJ1" s="1" t="str">
        <f t="shared" ca="1" si="3"/>
        <v>Eureka (Chinkapook) Cemetery Trust</v>
      </c>
      <c r="IK1" s="1" t="str">
        <f t="shared" ca="1" si="3"/>
        <v>Euroa Cemetery Trust</v>
      </c>
      <c r="IL1" s="1" t="str">
        <f t="shared" ca="1" si="3"/>
        <v>Family Care Sisters (Grey Sisters) Inc.</v>
      </c>
      <c r="IM1" s="1" t="str">
        <f t="shared" ca="1" si="3"/>
        <v>Family Planning Victoria Inc.</v>
      </c>
      <c r="IN1" s="1" t="str">
        <f t="shared" ca="1" si="3"/>
        <v>Family Safety Victoria</v>
      </c>
      <c r="IO1" s="1" t="str">
        <f t="shared" ca="1" si="3"/>
        <v>Family Violence Housing Assistance Implementation Taskforce</v>
      </c>
      <c r="IP1" s="1" t="str">
        <f t="shared" ca="1" si="3"/>
        <v>Ferntree Gully Cemetery Trust</v>
      </c>
      <c r="IQ1" s="1" t="str">
        <f t="shared" ca="1" si="3"/>
        <v>Fight Cancer Foundation Ltd</v>
      </c>
      <c r="IR1" s="1" t="str">
        <f t="shared" ca="1" si="3"/>
        <v>Forensic Leave Panel</v>
      </c>
      <c r="IS1" s="1" t="str">
        <f t="shared" ca="1" si="3"/>
        <v>Foster Cemetery Trust</v>
      </c>
      <c r="IT1" s="1" t="str">
        <f t="shared" ca="1" si="3"/>
        <v>Franklinford Cemetery Trust</v>
      </c>
      <c r="IU1" s="1" t="str">
        <f t="shared" ca="1" si="3"/>
        <v>Frankston Cemetery Trust</v>
      </c>
      <c r="IV1" s="1" t="str">
        <f t="shared" ca="1" si="3"/>
        <v>Frankston Memorial Park</v>
      </c>
      <c r="IW1" s="1" t="str">
        <f t="shared" ca="1" si="3"/>
        <v>French Island Cemetery Trust</v>
      </c>
      <c r="IX1" s="1" t="str">
        <f t="shared" ca="1" si="3"/>
        <v>Fryerstown Cemetery Trust</v>
      </c>
      <c r="IY1" s="1" t="str">
        <f t="shared" ca="1" si="3"/>
        <v>Gaffney's Creek Cemetery Trust</v>
      </c>
      <c r="IZ1" s="1" t="str">
        <f t="shared" ca="1" si="3"/>
        <v>Garvoc Cemetery Trust</v>
      </c>
      <c r="JA1" s="1" t="str">
        <f t="shared" ca="1" si="3"/>
        <v>Gateway Health</v>
      </c>
      <c r="JB1" s="1" t="str">
        <f t="shared" ca="1" si="3"/>
        <v>Geelong Cemeteries Trust</v>
      </c>
      <c r="JC1" s="1" t="str">
        <f t="shared" ca="1" si="3"/>
        <v>Gelantipy District Bush Nursing Centre Inc.</v>
      </c>
      <c r="JD1" s="1" t="str">
        <f t="shared" ref="JD1:LO1" ca="1" si="4">OFFSET($A2,(MATCH(JC1,$A:$A)-1),0)</f>
        <v>Gembrook Cemetery Trust</v>
      </c>
      <c r="JE1" s="1" t="str">
        <f t="shared" ca="1" si="4"/>
        <v>Gippsland and East Gippsland Aboriginal Co-operation</v>
      </c>
      <c r="JF1" s="1" t="str">
        <f t="shared" ca="1" si="4"/>
        <v>Gippsland Centre Against Sexual Assault Inc.</v>
      </c>
      <c r="JG1" s="1" t="str">
        <f t="shared" ca="1" si="4"/>
        <v>Gippsland Lakes Community Health</v>
      </c>
      <c r="JH1" s="1" t="str">
        <f t="shared" ca="1" si="4"/>
        <v>Gippsland Memorial Park (Traralgon) Cemetery Trust</v>
      </c>
      <c r="JI1" s="1" t="str">
        <f t="shared" ca="1" si="4"/>
        <v>Gippsland Southern Health Service</v>
      </c>
      <c r="JJ1" s="1" t="str">
        <f t="shared" ca="1" si="4"/>
        <v>Gipsy Point Cemetery Trust</v>
      </c>
      <c r="JK1" s="1" t="str">
        <f t="shared" ca="1" si="4"/>
        <v>Gisborne Cemetery Trust</v>
      </c>
      <c r="JL1" s="1" t="str">
        <f t="shared" ca="1" si="4"/>
        <v>Glengower Cemetery Trust</v>
      </c>
      <c r="JM1" s="1" t="str">
        <f t="shared" ca="1" si="4"/>
        <v>Glenlyon Cemetery Trust</v>
      </c>
      <c r="JN1" s="1" t="str">
        <f t="shared" ca="1" si="4"/>
        <v>Glenmaggie Cemetery Trust</v>
      </c>
      <c r="JO1" s="1" t="str">
        <f t="shared" ca="1" si="4"/>
        <v>Glenorchy Cemetery Trust</v>
      </c>
      <c r="JP1" s="1" t="str">
        <f t="shared" ca="1" si="4"/>
        <v>Glenthompson Cemetery Trust</v>
      </c>
      <c r="JQ1" s="1" t="str">
        <f t="shared" ca="1" si="4"/>
        <v>Gobur Cemetery Trust</v>
      </c>
      <c r="JR1" s="1" t="str">
        <f t="shared" ca="1" si="4"/>
        <v>Goolum Goolum Aboriginal Co-operative Ltd</v>
      </c>
      <c r="JS1" s="1" t="str">
        <f t="shared" ca="1" si="4"/>
        <v>Goornong Cemetery Trust</v>
      </c>
      <c r="JT1" s="1" t="str">
        <f t="shared" ca="1" si="4"/>
        <v>Gordon (New) Cemetery Trust</v>
      </c>
      <c r="JU1" s="1" t="str">
        <f t="shared" ca="1" si="4"/>
        <v>Gormandale Cemetery Trust</v>
      </c>
      <c r="JV1" s="1" t="str">
        <f t="shared" ca="1" si="4"/>
        <v>Goulburn Valley Health</v>
      </c>
      <c r="JW1" s="1" t="str">
        <f t="shared" ca="1" si="4"/>
        <v>Goulburn Valley Hospice Care Service Inc.</v>
      </c>
      <c r="JX1" s="1" t="str">
        <f t="shared" ca="1" si="4"/>
        <v>Gowangardie Cemetery Trust</v>
      </c>
      <c r="JY1" s="1" t="str">
        <f t="shared" ca="1" si="4"/>
        <v>Grampians Community Health</v>
      </c>
      <c r="JZ1" s="1" t="str">
        <f t="shared" ca="1" si="4"/>
        <v>Granite Flat Cemetery Trust</v>
      </c>
      <c r="KA1" s="1" t="str">
        <f t="shared" ca="1" si="4"/>
        <v>Grantville Cemetery Trust</v>
      </c>
      <c r="KB1" s="1" t="str">
        <f t="shared" ca="1" si="4"/>
        <v>Granya Cemetery Trust</v>
      </c>
      <c r="KC1" s="1" t="str">
        <f t="shared" ca="1" si="4"/>
        <v>Gray's Bridge Cemetery Trust</v>
      </c>
      <c r="KD1" s="1" t="str">
        <f t="shared" ca="1" si="4"/>
        <v>Graytown Cemetery Trust</v>
      </c>
      <c r="KE1" s="1" t="str">
        <f t="shared" ca="1" si="4"/>
        <v>Great Ocean Road Health</v>
      </c>
      <c r="KF1" s="1" t="str">
        <f t="shared" ca="1" si="4"/>
        <v>Great Western Cemetery Trust</v>
      </c>
      <c r="KG1" s="1" t="str">
        <f t="shared" ca="1" si="4"/>
        <v>Greater Metropolitan Cemeteries Trust</v>
      </c>
      <c r="KH1" s="1" t="str">
        <f t="shared" ca="1" si="4"/>
        <v>Green Hill Cemetery Trust</v>
      </c>
      <c r="KI1" s="1" t="str">
        <f t="shared" ca="1" si="4"/>
        <v>Green Lake Cemetery Trust</v>
      </c>
      <c r="KJ1" s="1" t="str">
        <f t="shared" ca="1" si="4"/>
        <v>Greendale Cemetery Trust</v>
      </c>
      <c r="KK1" s="1" t="str">
        <f t="shared" ca="1" si="4"/>
        <v>Greta Cemetery Trust</v>
      </c>
      <c r="KL1" s="1" t="str">
        <f t="shared" ca="1" si="4"/>
        <v>Greyhound And Harness Racing Authority</v>
      </c>
      <c r="KM1" s="1" t="str">
        <f t="shared" ca="1" si="4"/>
        <v>Guildford Cemetery Trust</v>
      </c>
      <c r="KN1" s="1" t="str">
        <f t="shared" ca="1" si="4"/>
        <v>Gunditjmara Aboriginal Co-op Ltd</v>
      </c>
      <c r="KO1" s="1" t="str">
        <f t="shared" ca="1" si="4"/>
        <v>Hamilton Cemetery Trust</v>
      </c>
      <c r="KP1" s="1" t="str">
        <f t="shared" ca="1" si="4"/>
        <v>Harcourt Cemetery Trust</v>
      </c>
      <c r="KQ1" s="1" t="str">
        <f t="shared" ca="1" si="4"/>
        <v>Harkaway Cemetery Trust</v>
      </c>
      <c r="KR1" s="1" t="str">
        <f t="shared" ca="1" si="4"/>
        <v>Harrietville Cemetery Trust</v>
      </c>
      <c r="KS1" s="1" t="str">
        <f t="shared" ca="1" si="4"/>
        <v>Harrow Bush Nursing Centre</v>
      </c>
      <c r="KT1" s="1" t="str">
        <f t="shared" ca="1" si="4"/>
        <v>Harrow Cemetery Trust</v>
      </c>
      <c r="KU1" s="1" t="str">
        <f t="shared" ca="1" si="4"/>
        <v>Hawkesdale Cemetery Trust</v>
      </c>
      <c r="KV1" s="1" t="str">
        <f t="shared" ca="1" si="4"/>
        <v>Hazelwood Cemetery Trust</v>
      </c>
      <c r="KW1" s="1" t="str">
        <f t="shared" ca="1" si="4"/>
        <v>Health Education Australia Ltd</v>
      </c>
      <c r="KX1" s="1" t="str">
        <f t="shared" ca="1" si="4"/>
        <v>Health Innovation And Reform Council</v>
      </c>
      <c r="KY1" s="1" t="str">
        <f t="shared" ca="1" si="4"/>
        <v>Health Purchasing Victoria</v>
      </c>
      <c r="KZ1" s="1" t="str">
        <f t="shared" ca="1" si="4"/>
        <v>Health Services Commissioner</v>
      </c>
      <c r="LA1" s="1" t="str">
        <f t="shared" ca="1" si="4"/>
        <v>Health Services Review Council</v>
      </c>
      <c r="LB1" s="1" t="str">
        <f t="shared" ca="1" si="4"/>
        <v>Heathcote Cemetery Trust</v>
      </c>
      <c r="LC1" s="1" t="str">
        <f t="shared" ca="1" si="4"/>
        <v>Heathcote Health</v>
      </c>
      <c r="LD1" s="1" t="str">
        <f t="shared" ca="1" si="4"/>
        <v>Hesse Rural Health Service</v>
      </c>
      <c r="LE1" s="1" t="str">
        <f t="shared" ca="1" si="4"/>
        <v>Hexham Cemetery Trust</v>
      </c>
      <c r="LF1" s="1" t="str">
        <f t="shared" ca="1" si="4"/>
        <v>Heyfield Cemetery Trust</v>
      </c>
      <c r="LG1" s="1" t="str">
        <f t="shared" ca="1" si="4"/>
        <v>Heywood Cemetery Trust</v>
      </c>
      <c r="LH1" s="1" t="str">
        <f t="shared" ca="1" si="4"/>
        <v>Heywood Rural Health</v>
      </c>
      <c r="LI1" s="1" t="str">
        <f t="shared" ca="1" si="4"/>
        <v>Hopetoun Cemetery Trust</v>
      </c>
      <c r="LJ1" s="1" t="str">
        <f t="shared" ca="1" si="4"/>
        <v>Horsham Cemetery Trust</v>
      </c>
      <c r="LK1" s="1" t="str">
        <f t="shared" ca="1" si="4"/>
        <v>Hotspur Cemetery Trust</v>
      </c>
      <c r="LL1" s="1" t="str">
        <f t="shared" ca="1" si="4"/>
        <v>Human Research Ethics Committee</v>
      </c>
      <c r="LM1" s="1" t="str">
        <f t="shared" ca="1" si="4"/>
        <v>Independent Medical Advisory Committee On Medicinal Cannabis</v>
      </c>
      <c r="LN1" s="1" t="str">
        <f t="shared" ca="1" si="4"/>
        <v>Indigo North Health</v>
      </c>
      <c r="LO1" s="1" t="str">
        <f t="shared" ca="1" si="4"/>
        <v>Inglewood and Districts Health Service</v>
      </c>
      <c r="LP1" s="1" t="str">
        <f t="shared" ref="LP1:OA1" ca="1" si="5">OFFSET($A2,(MATCH(LO1,$A:$A)-1),0)</f>
        <v>Inglewood Cemetery Trust</v>
      </c>
      <c r="LQ1" s="1" t="str">
        <f t="shared" ca="1" si="5"/>
        <v>Inner South Community Health Service</v>
      </c>
      <c r="LR1" s="1" t="str">
        <f t="shared" ca="1" si="5"/>
        <v>Institute for Breathing and Sleep</v>
      </c>
      <c r="LS1" s="1" t="str">
        <f t="shared" ca="1" si="5"/>
        <v>Inverleigh Cemetery Trust</v>
      </c>
      <c r="LT1" s="1" t="str">
        <f t="shared" ca="1" si="5"/>
        <v>Inverloch Cemetery Trust</v>
      </c>
      <c r="LU1" s="1" t="str">
        <f t="shared" ca="1" si="5"/>
        <v>IPC Health Ltd</v>
      </c>
      <c r="LV1" s="1" t="str">
        <f t="shared" ca="1" si="5"/>
        <v>Jacaranda Village</v>
      </c>
      <c r="LW1" s="1" t="str">
        <f t="shared" ca="1" si="5"/>
        <v>Jamieson Cemetery Trust</v>
      </c>
      <c r="LX1" s="1" t="str">
        <f t="shared" ca="1" si="5"/>
        <v>Jeparit Cemetery Trust</v>
      </c>
      <c r="LY1" s="1" t="str">
        <f t="shared" ca="1" si="5"/>
        <v>John Foord (Wahgunyah) Public Cemetery</v>
      </c>
      <c r="LZ1" s="1" t="str">
        <f t="shared" ca="1" si="5"/>
        <v>Joyce's Creek Cemetery Trust</v>
      </c>
      <c r="MA1" s="1" t="str">
        <f t="shared" ca="1" si="5"/>
        <v>Jung (Jerro) Cemetery Trust</v>
      </c>
      <c r="MB1" s="1" t="str">
        <f t="shared" ca="1" si="5"/>
        <v>Kangaroo Ground Cemetery Trust</v>
      </c>
      <c r="MC1" s="1" t="str">
        <f t="shared" ca="1" si="5"/>
        <v>Karnak Cemetery Trust</v>
      </c>
      <c r="MD1" s="1" t="str">
        <f t="shared" ca="1" si="5"/>
        <v>Katamatite Cemetery Trust</v>
      </c>
      <c r="ME1" s="1" t="str">
        <f t="shared" ca="1" si="5"/>
        <v>Katandra Cemetery Trust</v>
      </c>
      <c r="MF1" s="1" t="str">
        <f t="shared" ca="1" si="5"/>
        <v>Katyil Cemetery Trust</v>
      </c>
      <c r="MG1" s="1" t="str">
        <f t="shared" ca="1" si="5"/>
        <v>Kenmare Cemetery Trust</v>
      </c>
      <c r="MH1" s="1" t="str">
        <f t="shared" ca="1" si="5"/>
        <v>Kerang Cemetery Trust</v>
      </c>
      <c r="MI1" s="1" t="str">
        <f t="shared" ca="1" si="5"/>
        <v>Kerang District Health</v>
      </c>
      <c r="MJ1" s="1" t="str">
        <f t="shared" ca="1" si="5"/>
        <v>Kialla Cemetery Trust</v>
      </c>
      <c r="MK1" s="1" t="str">
        <f t="shared" ca="1" si="5"/>
        <v>Kiata Cemetery Trust</v>
      </c>
      <c r="ML1" s="1" t="str">
        <f t="shared" ca="1" si="5"/>
        <v>Kiewa Cemetery Trust</v>
      </c>
      <c r="MM1" s="1" t="str">
        <f t="shared" ca="1" si="5"/>
        <v>Kilcunda Cemetery Trust</v>
      </c>
      <c r="MN1" s="1" t="str">
        <f t="shared" ca="1" si="5"/>
        <v>Kilmore and District Hospital</v>
      </c>
      <c r="MO1" s="1" t="str">
        <f t="shared" ca="1" si="5"/>
        <v>Kilmore Cemetery Trust</v>
      </c>
      <c r="MP1" s="1" t="str">
        <f t="shared" ca="1" si="5"/>
        <v>Kilnoorat Cemetery Trust</v>
      </c>
      <c r="MQ1" s="1" t="str">
        <f t="shared" ca="1" si="5"/>
        <v>Kinglake Ranges Cemetery Trust</v>
      </c>
      <c r="MR1" s="1" t="str">
        <f t="shared" ca="1" si="5"/>
        <v>Kingower Cemetery Trust</v>
      </c>
      <c r="MS1" s="1" t="str">
        <f t="shared" ca="1" si="5"/>
        <v>Kirrae Health Service</v>
      </c>
      <c r="MT1" s="1" t="str">
        <f t="shared" ca="1" si="5"/>
        <v>Knox Community Health Services</v>
      </c>
      <c r="MU1" s="1" t="str">
        <f t="shared" ca="1" si="5"/>
        <v>Koetong Cemetery Trust</v>
      </c>
      <c r="MV1" s="1" t="str">
        <f t="shared" ca="1" si="5"/>
        <v>Koondrook Cemetery Trust</v>
      </c>
      <c r="MW1" s="1" t="str">
        <f t="shared" ca="1" si="5"/>
        <v>Kooweerup Regional Health Service</v>
      </c>
      <c r="MX1" s="1" t="str">
        <f t="shared" ca="1" si="5"/>
        <v>Korong Vale Cemetery Trust</v>
      </c>
      <c r="MY1" s="1" t="str">
        <f t="shared" ca="1" si="5"/>
        <v>Korumburra Cemetery Trust</v>
      </c>
      <c r="MZ1" s="1" t="str">
        <f t="shared" ca="1" si="5"/>
        <v>Kyabram Cemetery Trust</v>
      </c>
      <c r="NA1" s="1" t="str">
        <f t="shared" ca="1" si="5"/>
        <v>Kyabram District Health Service</v>
      </c>
      <c r="NB1" s="1" t="str">
        <f t="shared" ca="1" si="5"/>
        <v>Kyneton Cemetery Trust</v>
      </c>
      <c r="NC1" s="1" t="str">
        <f t="shared" ca="1" si="5"/>
        <v>Laen North Cemetery Trust</v>
      </c>
      <c r="ND1" s="1" t="str">
        <f t="shared" ca="1" si="5"/>
        <v>Lake Boga Cemetery Trust</v>
      </c>
      <c r="NE1" s="1" t="str">
        <f t="shared" ca="1" si="5"/>
        <v>Lake Bolac Bush Nursing Centre Inc.</v>
      </c>
      <c r="NF1" s="1" t="str">
        <f t="shared" ca="1" si="5"/>
        <v>Lake Bolac Cemetery Trust</v>
      </c>
      <c r="NG1" s="1" t="str">
        <f t="shared" ca="1" si="5"/>
        <v>Lake Rowan Cemetery Trust</v>
      </c>
      <c r="NH1" s="1" t="str">
        <f t="shared" ca="1" si="5"/>
        <v>Lake Tyers Health and Childrens Services Association</v>
      </c>
      <c r="NI1" s="1" t="str">
        <f t="shared" ca="1" si="5"/>
        <v>Lakes Entrance Cemetery Trust</v>
      </c>
      <c r="NJ1" s="1" t="str">
        <f t="shared" ca="1" si="5"/>
        <v>Lalbert Cemetery Trust</v>
      </c>
      <c r="NK1" s="1" t="str">
        <f t="shared" ca="1" si="5"/>
        <v>Lancefield Cemetery Trust</v>
      </c>
      <c r="NL1" s="1" t="str">
        <f t="shared" ca="1" si="5"/>
        <v>Landsborough Cemetery Trust</v>
      </c>
      <c r="NM1" s="1" t="str">
        <f t="shared" ca="1" si="5"/>
        <v>Lang Lang Cemetery Trust</v>
      </c>
      <c r="NN1" s="1" t="str">
        <f t="shared" ca="1" si="5"/>
        <v>Latrobe Community Health Service</v>
      </c>
      <c r="NO1" s="1" t="str">
        <f t="shared" ca="1" si="5"/>
        <v>Latrobe Regional Hospital</v>
      </c>
      <c r="NP1" s="1" t="str">
        <f t="shared" ca="1" si="5"/>
        <v>Leading Age Services Australia Victoria</v>
      </c>
      <c r="NQ1" s="1" t="str">
        <f t="shared" ca="1" si="5"/>
        <v>Learmonth Cemetery Trust</v>
      </c>
      <c r="NR1" s="1" t="str">
        <f t="shared" ca="1" si="5"/>
        <v>Leongatha Cemetery Trust</v>
      </c>
      <c r="NS1" s="1" t="str">
        <f t="shared" ca="1" si="5"/>
        <v>Lethbridge Cemetery Trust</v>
      </c>
      <c r="NT1" s="1" t="str">
        <f t="shared" ca="1" si="5"/>
        <v>Lexton Cemetery Trust</v>
      </c>
      <c r="NU1" s="1" t="str">
        <f t="shared" ca="1" si="5"/>
        <v>Link Health and Community Ltd</v>
      </c>
      <c r="NV1" s="1" t="str">
        <f t="shared" ca="1" si="5"/>
        <v>Linton Cemetery Trust</v>
      </c>
      <c r="NW1" s="1" t="str">
        <f t="shared" ca="1" si="5"/>
        <v>Lismore Cemetery Trust</v>
      </c>
      <c r="NX1" s="1" t="str">
        <f t="shared" ca="1" si="5"/>
        <v>LMHA Network Ltd</v>
      </c>
      <c r="NY1" s="1" t="str">
        <f t="shared" ca="1" si="5"/>
        <v>Lochiel Cemetery Trust</v>
      </c>
      <c r="NZ1" s="1" t="str">
        <f t="shared" ca="1" si="5"/>
        <v>Lockington and District Bush Nursing Centre Inc.</v>
      </c>
      <c r="OA1" s="1" t="str">
        <f t="shared" ca="1" si="5"/>
        <v>Lockwood Cemetery Trust</v>
      </c>
      <c r="OB1" s="1" t="str">
        <f t="shared" ref="OB1:QM1" ca="1" si="6">OFFSET($A2,(MATCH(OA1,$A:$A)-1),0)</f>
        <v>Longwood Cemetery Trust</v>
      </c>
      <c r="OC1" s="1" t="str">
        <f t="shared" ca="1" si="6"/>
        <v>Lorne Community Health Service</v>
      </c>
      <c r="OD1" s="1" t="str">
        <f t="shared" ca="1" si="6"/>
        <v>Lorquon Cemetery Trust</v>
      </c>
      <c r="OE1" s="1" t="str">
        <f t="shared" ca="1" si="6"/>
        <v>Lyndoch Living Inc.</v>
      </c>
      <c r="OF1" s="1" t="str">
        <f t="shared" ca="1" si="6"/>
        <v>Macarthur Cemetery Trust</v>
      </c>
      <c r="OG1" s="1" t="str">
        <f t="shared" ca="1" si="6"/>
        <v>Macedon Cemetery Trust</v>
      </c>
      <c r="OH1" s="1" t="str">
        <f t="shared" ca="1" si="6"/>
        <v>Macedon Ranges Health Services</v>
      </c>
      <c r="OI1" s="1" t="str">
        <f t="shared" ca="1" si="6"/>
        <v>MacFarlane Burnet Institute for Medical Research and Public Health</v>
      </c>
      <c r="OJ1" s="1" t="str">
        <f t="shared" ca="1" si="6"/>
        <v>Maddingley Cemetery Trust</v>
      </c>
      <c r="OK1" s="1" t="str">
        <f t="shared" ca="1" si="6"/>
        <v>Maffra Cemetery Trust</v>
      </c>
      <c r="OL1" s="1" t="str">
        <f t="shared" ca="1" si="6"/>
        <v>Majorca Cemetery Trust</v>
      </c>
      <c r="OM1" s="1" t="str">
        <f t="shared" ca="1" si="6"/>
        <v>Maldon Cemetery Trust</v>
      </c>
      <c r="ON1" s="1" t="str">
        <f t="shared" ca="1" si="6"/>
        <v>Maldon Hospital</v>
      </c>
      <c r="OO1" s="1" t="str">
        <f t="shared" ca="1" si="6"/>
        <v>Mallacoota Cemetery Trust</v>
      </c>
      <c r="OP1" s="1" t="str">
        <f t="shared" ca="1" si="6"/>
        <v>Mallacoota District Health and Support Service Inc.</v>
      </c>
      <c r="OQ1" s="1" t="str">
        <f t="shared" ca="1" si="6"/>
        <v>Mallee District Aboriginal Services</v>
      </c>
      <c r="OR1" s="1" t="str">
        <f t="shared" ca="1" si="6"/>
        <v>Mallee Sexual Assault Unit Inc.</v>
      </c>
      <c r="OS1" s="1" t="str">
        <f t="shared" ca="1" si="6"/>
        <v>Mallee Track Health And Community Service</v>
      </c>
      <c r="OT1" s="1" t="str">
        <f t="shared" ca="1" si="6"/>
        <v>Malmsbury Cemetery Trust</v>
      </c>
      <c r="OU1" s="1" t="str">
        <f t="shared" ca="1" si="6"/>
        <v>Manangatang Cemetery Trust</v>
      </c>
      <c r="OV1" s="1" t="str">
        <f t="shared" ca="1" si="6"/>
        <v>Manningham Community Health Services Ltd</v>
      </c>
      <c r="OW1" s="1" t="str">
        <f t="shared" ca="1" si="6"/>
        <v>Mansfield District Hospital</v>
      </c>
      <c r="OX1" s="1" t="str">
        <f t="shared" ca="1" si="6"/>
        <v>Marlo Cemetery Trust</v>
      </c>
      <c r="OY1" s="1" t="str">
        <f t="shared" ca="1" si="6"/>
        <v>Marong Cemetery Trust</v>
      </c>
      <c r="OZ1" s="1" t="str">
        <f t="shared" ca="1" si="6"/>
        <v>Maroondah Addictions Recovery Project Inc.</v>
      </c>
      <c r="PA1" s="1" t="str">
        <f t="shared" ca="1" si="6"/>
        <v>Maryborough Cemetery Trust</v>
      </c>
      <c r="PB1" s="1" t="str">
        <f t="shared" ca="1" si="6"/>
        <v>Maryborough District Health Service</v>
      </c>
      <c r="PC1" s="1" t="str">
        <f t="shared" ca="1" si="6"/>
        <v>Maryknoll Cemetery Trust</v>
      </c>
      <c r="PD1" s="1" t="str">
        <f t="shared" ca="1" si="6"/>
        <v>Marysville Cemetery Trust</v>
      </c>
      <c r="PE1" s="1" t="str">
        <f t="shared" ca="1" si="6"/>
        <v>Matlock Cemetery Trust</v>
      </c>
      <c r="PF1" s="1" t="str">
        <f t="shared" ca="1" si="6"/>
        <v>Mayfield Education Inc.</v>
      </c>
      <c r="PG1" s="1" t="str">
        <f t="shared" ca="1" si="6"/>
        <v>Meeniyan Cemetery Trust</v>
      </c>
      <c r="PH1" s="1" t="str">
        <f t="shared" ca="1" si="6"/>
        <v>Melbourne Chevra Kadisha Cemetery Trust</v>
      </c>
      <c r="PI1" s="1" t="str">
        <f t="shared" ca="1" si="6"/>
        <v>Melbourne Health</v>
      </c>
      <c r="PJ1" s="1" t="str">
        <f t="shared" ca="1" si="6"/>
        <v>Mental Health Complaints Commissioner</v>
      </c>
      <c r="PK1" s="1" t="str">
        <f t="shared" ca="1" si="6"/>
        <v>Mental Health Expert Taskforce</v>
      </c>
      <c r="PL1" s="1" t="str">
        <f t="shared" ca="1" si="6"/>
        <v>Mental Health Tribunal</v>
      </c>
      <c r="PM1" s="1" t="str">
        <f t="shared" ca="1" si="6"/>
        <v>Merbein Cemetery Trust</v>
      </c>
      <c r="PN1" s="1" t="str">
        <f t="shared" ca="1" si="6"/>
        <v>Mercy Health Victoria Ltd</v>
      </c>
      <c r="PO1" s="1" t="str">
        <f t="shared" ca="1" si="6"/>
        <v>Mercy Palliative Care Inc.</v>
      </c>
      <c r="PP1" s="1" t="str">
        <f t="shared" ca="1" si="6"/>
        <v>Meredith Cemetery Trust</v>
      </c>
      <c r="PQ1" s="1" t="str">
        <f t="shared" ca="1" si="6"/>
        <v>Meringur Cemetery Trust</v>
      </c>
      <c r="PR1" s="1" t="str">
        <f t="shared" ca="1" si="6"/>
        <v>Merino Cemetery Trust</v>
      </c>
      <c r="PS1" s="1" t="str">
        <f t="shared" ca="1" si="6"/>
        <v>Merri Health</v>
      </c>
      <c r="PT1" s="1" t="str">
        <f t="shared" ca="1" si="6"/>
        <v>Milawa Cemetery Trust</v>
      </c>
      <c r="PU1" s="1" t="str">
        <f t="shared" ca="1" si="6"/>
        <v>Mildura Base Hospital Community Advisory Board</v>
      </c>
      <c r="PV1" s="1" t="str">
        <f t="shared" ca="1" si="6"/>
        <v>Mildura Base Public Hospital</v>
      </c>
      <c r="PW1" s="1" t="str">
        <f t="shared" ca="1" si="6"/>
        <v>Mildura Cemetery Trust</v>
      </c>
      <c r="PX1" s="1" t="str">
        <f t="shared" ca="1" si="6"/>
        <v>Mildura Health Private Hospital</v>
      </c>
      <c r="PY1" s="1" t="str">
        <f t="shared" ca="1" si="6"/>
        <v>Minimay Cemetery Trust</v>
      </c>
      <c r="PZ1" s="1" t="str">
        <f t="shared" ca="1" si="6"/>
        <v>Ministerial Advisory Committee On Allied Health</v>
      </c>
      <c r="QA1" s="1" t="str">
        <f t="shared" ca="1" si="6"/>
        <v>Ministerial Advisory Committee On Surgical Services</v>
      </c>
      <c r="QB1" s="1" t="str">
        <f t="shared" ca="1" si="6"/>
        <v>Ministerial Advisory Council For The Victorian Health System Statewide Service And Infrastructure Plan</v>
      </c>
      <c r="QC1" s="1" t="str">
        <f t="shared" ca="1" si="6"/>
        <v>Ministerial Advisory Council On Nursing And Midwifery</v>
      </c>
      <c r="QD1" s="1" t="str">
        <f t="shared" ca="1" si="6"/>
        <v>Ministerial Council For Volunteers</v>
      </c>
      <c r="QE1" s="1" t="str">
        <f t="shared" ca="1" si="6"/>
        <v>Minyip Cemetery Trust</v>
      </c>
      <c r="QF1" s="1" t="str">
        <f t="shared" ca="1" si="6"/>
        <v>Miram Cemetery Trust</v>
      </c>
      <c r="QG1" s="1" t="str">
        <f t="shared" ca="1" si="6"/>
        <v>Mirboo North Cemetery Trust</v>
      </c>
      <c r="QH1" s="1" t="str">
        <f t="shared" ca="1" si="6"/>
        <v>Mitiamo Cemetery Trust</v>
      </c>
      <c r="QI1" s="1" t="str">
        <f t="shared" ca="1" si="6"/>
        <v>Mitta Mitta Cemetery Trust</v>
      </c>
      <c r="QJ1" s="1" t="str">
        <f t="shared" ca="1" si="6"/>
        <v>Moe Cemetery Trust</v>
      </c>
      <c r="QK1" s="1" t="str">
        <f t="shared" ca="1" si="6"/>
        <v>Moe Memorial Park Trust</v>
      </c>
      <c r="QL1" s="1" t="str">
        <f t="shared" ca="1" si="6"/>
        <v>Moliagul Cemetery Trust</v>
      </c>
      <c r="QM1" s="1" t="str">
        <f t="shared" ca="1" si="6"/>
        <v>Monash Health</v>
      </c>
      <c r="QN1" s="1" t="str">
        <f t="shared" ref="QN1:TC1" ca="1" si="7">OFFSET($A2,(MATCH(QM1,$A:$A)-1),0)</f>
        <v>Moonambel Cemetery Trust</v>
      </c>
      <c r="QO1" s="1" t="str">
        <f t="shared" ca="1" si="7"/>
        <v>Moondarra Cemetery Trust</v>
      </c>
      <c r="QP1" s="1" t="str">
        <f t="shared" ca="1" si="7"/>
        <v>Moonlight Head Cemetery Trust</v>
      </c>
      <c r="QQ1" s="1" t="str">
        <f t="shared" ca="1" si="7"/>
        <v>Moorngag Cemetery Trust</v>
      </c>
      <c r="QR1" s="1" t="str">
        <f t="shared" ca="1" si="7"/>
        <v>Mooroopna Cemetery Trust</v>
      </c>
      <c r="QS1" s="1" t="str">
        <f t="shared" ca="1" si="7"/>
        <v>Mornington Peninsula Cemeteries Trust</v>
      </c>
      <c r="QT1" s="1" t="str">
        <f t="shared" ca="1" si="7"/>
        <v>Morrisons Cemetery Trust</v>
      </c>
      <c r="QU1" s="1" t="str">
        <f t="shared" ca="1" si="7"/>
        <v>Mortlake Cemetery Trust</v>
      </c>
      <c r="QV1" s="1" t="str">
        <f t="shared" ca="1" si="7"/>
        <v>Mount Cole Cemetery Trust</v>
      </c>
      <c r="QW1" s="1" t="str">
        <f t="shared" ca="1" si="7"/>
        <v>Mount Egerton Cemetery Trust</v>
      </c>
      <c r="QX1" s="1" t="str">
        <f t="shared" ca="1" si="7"/>
        <v>Mount Prospect Cemetery Trust</v>
      </c>
      <c r="QY1" s="1" t="str">
        <f t="shared" ca="1" si="7"/>
        <v>Moyne Health Services</v>
      </c>
      <c r="QZ1" s="1" t="str">
        <f t="shared" ca="1" si="7"/>
        <v>Moyston Cemetery Trust</v>
      </c>
      <c r="RA1" s="1" t="str">
        <f t="shared" ca="1" si="7"/>
        <v>Muckleford Cemetery Trust</v>
      </c>
      <c r="RB1" s="1" t="str">
        <f t="shared" ca="1" si="7"/>
        <v>Mullum Mullum Indigenous Gathering Place Ltd</v>
      </c>
      <c r="RC1" s="1" t="str">
        <f t="shared" ca="1" si="7"/>
        <v>Mungabareena Aboriginal Corporation</v>
      </c>
      <c r="RD1" s="1" t="str">
        <f t="shared" ca="1" si="7"/>
        <v>Murchison Cemetery Trust</v>
      </c>
      <c r="RE1" s="1" t="str">
        <f t="shared" ca="1" si="7"/>
        <v>Murdoch Children’s Research Institute</v>
      </c>
      <c r="RF1" s="1" t="str">
        <f t="shared" ca="1" si="7"/>
        <v>Murray Valley Aboriginal Co-operative Ltd</v>
      </c>
      <c r="RG1" s="1" t="str">
        <f t="shared" ca="1" si="7"/>
        <v>Murrayville Cemetery Trust</v>
      </c>
      <c r="RH1" s="1" t="str">
        <f t="shared" ca="1" si="7"/>
        <v>Murtoa Cemetery Trust</v>
      </c>
      <c r="RI1" s="1" t="str">
        <f t="shared" ca="1" si="7"/>
        <v>Myrtleford Lawn Cemetery Trust</v>
      </c>
      <c r="RJ1" s="1" t="str">
        <f t="shared" ca="1" si="7"/>
        <v>Mysia Cemetery Trust</v>
      </c>
      <c r="RK1" s="1" t="str">
        <f t="shared" ca="1" si="7"/>
        <v>Mystic Park Cemetery Trust</v>
      </c>
      <c r="RL1" s="1" t="str">
        <f t="shared" ca="1" si="7"/>
        <v>Nagambie Cemetery Trust</v>
      </c>
      <c r="RM1" s="1" t="str">
        <f t="shared" ca="1" si="7"/>
        <v>Nandaly Cemetery Trust</v>
      </c>
      <c r="RN1" s="1" t="str">
        <f t="shared" ca="1" si="7"/>
        <v>Narimga Cemetery Trust</v>
      </c>
      <c r="RO1" s="1" t="str">
        <f t="shared" ca="1" si="7"/>
        <v>Narracan Cemetery Trust</v>
      </c>
      <c r="RP1" s="1" t="str">
        <f t="shared" ca="1" si="7"/>
        <v>Narrawong Cemetery Trust</v>
      </c>
      <c r="RQ1" s="1" t="str">
        <f t="shared" ca="1" si="7"/>
        <v>Nathalia Cemetery Trust</v>
      </c>
      <c r="RR1" s="1" t="str">
        <f t="shared" ca="1" si="7"/>
        <v>Natimuk Cemetery Trust</v>
      </c>
      <c r="RS1" s="1" t="str">
        <f t="shared" ca="1" si="7"/>
        <v>National Ageing Research Institute Ltd</v>
      </c>
      <c r="RT1" s="1" t="str">
        <f t="shared" ca="1" si="7"/>
        <v>Natte Yallock Cemetery Trust</v>
      </c>
      <c r="RU1" s="1" t="str">
        <f t="shared" ca="1" si="7"/>
        <v>Navarre Cemetery Trust</v>
      </c>
      <c r="RV1" s="1" t="str">
        <f t="shared" ca="1" si="7"/>
        <v>NCN Health</v>
      </c>
      <c r="RW1" s="1" t="str">
        <f t="shared" ca="1" si="7"/>
        <v>Neerim Cemetery Trust</v>
      </c>
      <c r="RX1" s="1" t="str">
        <f t="shared" ca="1" si="7"/>
        <v>Nelson Cemetery Trust</v>
      </c>
      <c r="RY1" s="1" t="str">
        <f t="shared" ca="1" si="7"/>
        <v>Netherby Cemetery Trust</v>
      </c>
      <c r="RZ1" s="1" t="str">
        <f t="shared" ca="1" si="7"/>
        <v>Neurosciences Victoria Ltd</v>
      </c>
      <c r="SA1" s="1" t="str">
        <f t="shared" ca="1" si="7"/>
        <v>Newbridge Cemetery Trust</v>
      </c>
      <c r="SB1" s="1" t="str">
        <f t="shared" ca="1" si="7"/>
        <v>Newstead Cemetery Trust</v>
      </c>
      <c r="SC1" s="1" t="str">
        <f t="shared" ca="1" si="7"/>
        <v>Nexus Primary Health</v>
      </c>
      <c r="SD1" s="1" t="str">
        <f t="shared" ca="1" si="7"/>
        <v>Ngwala Willumbong Ltd</v>
      </c>
      <c r="SE1" s="1" t="str">
        <f t="shared" ca="1" si="7"/>
        <v>Nhill Cemetery Trust</v>
      </c>
      <c r="SF1" s="1" t="str">
        <f t="shared" ca="1" si="7"/>
        <v>Nillumbik Cemetery Trust</v>
      </c>
      <c r="SG1" s="1" t="str">
        <f t="shared" ca="1" si="7"/>
        <v>Nillumbik Community Health Service</v>
      </c>
      <c r="SH1" s="1" t="str">
        <f t="shared" ca="1" si="7"/>
        <v>Nirranda Cemetery Trust</v>
      </c>
      <c r="SI1" s="1" t="str">
        <f t="shared" ca="1" si="7"/>
        <v>Njernda Aboriginal Corporation</v>
      </c>
      <c r="SJ1" s="1" t="str">
        <f t="shared" ca="1" si="7"/>
        <v>Noradjuha Cemetery Trust</v>
      </c>
      <c r="SK1" s="1" t="str">
        <f t="shared" ca="1" si="7"/>
        <v>North Richmond Community Health Ltd</v>
      </c>
      <c r="SL1" s="1" t="str">
        <f t="shared" ca="1" si="7"/>
        <v>Northeast Health Wangaratta</v>
      </c>
      <c r="SM1" s="1" t="str">
        <f t="shared" ca="1" si="7"/>
        <v>Northern District Community Health Service</v>
      </c>
      <c r="SN1" s="1" t="str">
        <f t="shared" ca="1" si="7"/>
        <v>Northern Health</v>
      </c>
      <c r="SO1" s="1" t="str">
        <f t="shared" ca="1" si="7"/>
        <v>Northern Health Research, Training and Equipment Foundation Ltd</v>
      </c>
      <c r="SP1" s="1" t="str">
        <f t="shared" ca="1" si="7"/>
        <v>Nucleus Network Ltd</v>
      </c>
      <c r="SQ1" s="1" t="str">
        <f t="shared" ca="1" si="7"/>
        <v>Numurkah Cemetery Trust</v>
      </c>
      <c r="SR1" s="1" t="str">
        <f t="shared" ca="1" si="7"/>
        <v>Numurkah Wunghnu Cemetery Trust</v>
      </c>
      <c r="SS1" s="1" t="str">
        <f t="shared" ca="1" si="7"/>
        <v>Nurrabiel Cemetery Trust</v>
      </c>
      <c r="ST1" s="1" t="str">
        <f t="shared" ca="1" si="7"/>
        <v>Nurse/Midwife To Patient Ratio Improvements Taskforce</v>
      </c>
      <c r="SU1" s="1" t="str">
        <f t="shared" ca="1" si="7"/>
        <v>Nyah Cemetery Trust</v>
      </c>
      <c r="SV1" s="1" t="str">
        <f t="shared" ca="1" si="7"/>
        <v>Nyora Cemetery Trust</v>
      </c>
      <c r="SW1" s="1" t="str">
        <f t="shared" ca="1" si="7"/>
        <v>Omeo Cemetery Trust</v>
      </c>
      <c r="SX1" s="1" t="str">
        <f t="shared" ca="1" si="7"/>
        <v>Omeo District Health</v>
      </c>
      <c r="SY1" s="1" t="str">
        <f t="shared" ca="1" si="7"/>
        <v>Orbost Cemetery Trust</v>
      </c>
      <c r="SZ1" s="1" t="str">
        <f t="shared" ca="1" si="7"/>
        <v>Orbost Regional Health</v>
      </c>
      <c r="TA1" s="1" t="str">
        <f t="shared" ca="1" si="7"/>
        <v>Orygen, The National Centre of Excellence in Youth</v>
      </c>
      <c r="TB1" s="1" t="str">
        <f t="shared" ca="1" si="7"/>
        <v>Ouyen Cemetery Trust</v>
      </c>
      <c r="TC1" s="1" t="str">
        <f t="shared" ca="1" si="7"/>
        <v>O’Brien Institute</v>
      </c>
      <c r="TD1" s="1" t="s">
        <v>4592</v>
      </c>
      <c r="TE1" s="1" t="str">
        <f t="shared" ref="TE1:VK1" ca="1" si="8">OFFSET($A2,(MATCH(TD1,$A:$A)-1),0)</f>
        <v>Palliative Care Victoria</v>
      </c>
      <c r="TF1" s="1" t="str">
        <f t="shared" ca="1" si="8"/>
        <v>Panmure Cemetery Trust</v>
      </c>
      <c r="TG1" s="1" t="str">
        <f t="shared" ca="1" si="8"/>
        <v>Pannoo-bamawm Cemetery Trust</v>
      </c>
      <c r="TH1" s="1" t="str">
        <f t="shared" ca="1" si="8"/>
        <v>Parent-Infant Research Institute</v>
      </c>
      <c r="TI1" s="1" t="str">
        <f t="shared" ca="1" si="8"/>
        <v>Patho Cemetery Trust</v>
      </c>
      <c r="TJ1" s="1" t="str">
        <f t="shared" ca="1" si="8"/>
        <v>Patient Review Panel</v>
      </c>
      <c r="TK1" s="1" t="str">
        <f t="shared" ca="1" si="8"/>
        <v>Patient Safety Advisory Committee</v>
      </c>
      <c r="TL1" s="1" t="str">
        <f t="shared" ca="1" si="8"/>
        <v>Paynesville Cemetery Trust</v>
      </c>
      <c r="TM1" s="1" t="str">
        <f t="shared" ca="1" si="8"/>
        <v>Peninsula Health</v>
      </c>
      <c r="TN1" s="1" t="str">
        <f t="shared" ca="1" si="8"/>
        <v>Peninsula Home Hospice Ltd</v>
      </c>
      <c r="TO1" s="1" t="str">
        <f t="shared" ca="1" si="8"/>
        <v>Perinatal Services Advisory Committee</v>
      </c>
      <c r="TP1" s="1" t="str">
        <f t="shared" ca="1" si="8"/>
        <v>Peter MacCallum Cancer Institute</v>
      </c>
      <c r="TQ1" s="1" t="str">
        <f t="shared" ca="1" si="8"/>
        <v>Phillip Island Cemetery Trust</v>
      </c>
      <c r="TR1" s="1" t="str">
        <f t="shared" ca="1" si="8"/>
        <v>Pimpinio Cemetery Trust</v>
      </c>
      <c r="TS1" s="1" t="str">
        <f t="shared" ca="1" si="8"/>
        <v>Pine Lodge Cemetery Trust</v>
      </c>
      <c r="TT1" s="1" t="str">
        <f t="shared" ca="1" si="8"/>
        <v>Plenty Valley Community Health Ltd</v>
      </c>
      <c r="TU1" s="1" t="str">
        <f t="shared" ca="1" si="8"/>
        <v>Polkemmet Cemetery Trust</v>
      </c>
      <c r="TV1" s="1" t="str">
        <f t="shared" ca="1" si="8"/>
        <v>Pompapiel Cemetery Trust</v>
      </c>
      <c r="TW1" s="1" t="str">
        <f t="shared" ca="1" si="8"/>
        <v>Poowong Cemetery Trust</v>
      </c>
      <c r="TX1" s="1" t="str">
        <f t="shared" ca="1" si="8"/>
        <v>Port Campbell Cemetery Trust</v>
      </c>
      <c r="TY1" s="1" t="str">
        <f t="shared" ca="1" si="8"/>
        <v>Port Fairy Cemetery Trust</v>
      </c>
      <c r="TZ1" s="1" t="str">
        <f t="shared" ca="1" si="8"/>
        <v>Portland (North) Cemetery Trust</v>
      </c>
      <c r="UA1" s="1" t="str">
        <f t="shared" ca="1" si="8"/>
        <v>Portland (South) Cemetery Trust</v>
      </c>
      <c r="UB1" s="1" t="str">
        <f t="shared" ca="1" si="8"/>
        <v>Portland District Health</v>
      </c>
      <c r="UC1" s="1" t="str">
        <f t="shared" ca="1" si="8"/>
        <v>Post Graduate Medical Council of Victoria Inc.</v>
      </c>
      <c r="UD1" s="1" t="str">
        <f t="shared" ca="1" si="8"/>
        <v>Primary Care Connect</v>
      </c>
      <c r="UE1" s="1" t="str">
        <f t="shared" ca="1" si="8"/>
        <v>Prince Henrys Institute of Medical Research</v>
      </c>
      <c r="UF1" s="1" t="str">
        <f t="shared" ca="1" si="8"/>
        <v>Pyramid Hill Cemetery Trust</v>
      </c>
      <c r="UG1" s="1" t="str">
        <f t="shared" ca="1" si="8"/>
        <v>Quambatook Cemetery Trust</v>
      </c>
      <c r="UH1" s="1" t="str">
        <f t="shared" ca="1" si="8"/>
        <v>Quantong Cemetery Trust</v>
      </c>
      <c r="UI1" s="1" t="str">
        <f t="shared" ca="1" si="8"/>
        <v>Queen Elizabeth Centre</v>
      </c>
      <c r="UJ1" s="1" t="str">
        <f t="shared" ca="1" si="8"/>
        <v>Queenstown Cemetery Trust</v>
      </c>
      <c r="UK1" s="1" t="str">
        <f t="shared" ca="1" si="8"/>
        <v>Radiation Advisory Committee</v>
      </c>
      <c r="UL1" s="1" t="str">
        <f t="shared" ca="1" si="8"/>
        <v>Rainbow Cemetery Trust</v>
      </c>
      <c r="UM1" s="1" t="str">
        <f t="shared" ca="1" si="8"/>
        <v>Ramahyuck District Aboriginal Corporation</v>
      </c>
      <c r="UN1" s="1" t="str">
        <f t="shared" ca="1" si="8"/>
        <v>Ranges Community Health Service Inc.</v>
      </c>
      <c r="UO1" s="1" t="str">
        <f t="shared" ca="1" si="8"/>
        <v>Raywood Cemetery Trust</v>
      </c>
      <c r="UP1" s="1" t="str">
        <f t="shared" ca="1" si="8"/>
        <v>Red Cliffs and Community Aged Care Services Inc.</v>
      </c>
      <c r="UQ1" s="1" t="str">
        <f t="shared" ca="1" si="8"/>
        <v>Red Cliffs Cemetery Trust</v>
      </c>
      <c r="UR1" s="1" t="str">
        <f t="shared" ca="1" si="8"/>
        <v>Redbank Cemetery Trust</v>
      </c>
      <c r="US1" s="1" t="str">
        <f t="shared" ca="1" si="8"/>
        <v>Redcastle Cemetery Trust</v>
      </c>
      <c r="UT1" s="1" t="str">
        <f t="shared" ca="1" si="8"/>
        <v>Remembrance Parks - Central Victoria (Bendigo Cemetery)</v>
      </c>
      <c r="UU1" s="1" t="str">
        <f t="shared" ca="1" si="8"/>
        <v>Rheola Cemetery Trust</v>
      </c>
      <c r="UV1" s="1" t="str">
        <f t="shared" ca="1" si="8"/>
        <v>Riddell's Creek Cemetery Trust</v>
      </c>
      <c r="UW1" s="1" t="str">
        <f t="shared" ca="1" si="8"/>
        <v>Ripplebrook Cemetery Trust</v>
      </c>
      <c r="UX1" s="1" t="str">
        <f t="shared" ca="1" si="8"/>
        <v>Robinvale Cemetery Trust</v>
      </c>
      <c r="UY1" s="1" t="str">
        <f t="shared" ca="1" si="8"/>
        <v>Robinvale District Health Services</v>
      </c>
      <c r="UZ1" s="1" t="str">
        <f t="shared" ca="1" si="8"/>
        <v>Rochester And Elmore District Health Service</v>
      </c>
      <c r="VA1" s="1" t="str">
        <f t="shared" ca="1" si="8"/>
        <v>Rochester Cemetery Trust</v>
      </c>
      <c r="VB1" s="1" t="str">
        <f t="shared" ca="1" si="8"/>
        <v>Rokewood Cemetery Trust</v>
      </c>
      <c r="VC1" s="1" t="str">
        <f t="shared" ca="1" si="8"/>
        <v>Rosebery Cemetery Trust</v>
      </c>
      <c r="VD1" s="1" t="str">
        <f t="shared" ca="1" si="8"/>
        <v>Rosedale Cemetery Trust</v>
      </c>
      <c r="VE1" s="1" t="str">
        <f t="shared" ca="1" si="8"/>
        <v>Rothwell Cemetery Trust</v>
      </c>
      <c r="VF1" s="1" t="str">
        <f t="shared" ca="1" si="8"/>
        <v>Royal District Nursing Service</v>
      </c>
      <c r="VG1" s="1" t="str">
        <f t="shared" ca="1" si="8"/>
        <v>Royal Melbourne Hospital Neuroscience Foundation</v>
      </c>
      <c r="VH1" s="1" t="str">
        <f t="shared" ca="1" si="8"/>
        <v>Rumbalara Aboriginal Co-operative Ltd</v>
      </c>
      <c r="VI1" s="1" t="str">
        <f t="shared" ca="1" si="8"/>
        <v>Rumbalara Football and Netball Club Inc.</v>
      </c>
      <c r="VJ1" s="1" t="str">
        <f t="shared" ca="1" si="8"/>
        <v>Runnymede Cemetery Trust</v>
      </c>
      <c r="VK1" s="1" t="str">
        <f t="shared" ca="1" si="8"/>
        <v>Rupanyup Cemetery Trust</v>
      </c>
      <c r="VL1" s="1" t="str">
        <f t="shared" ref="VL1:XW1" ca="1" si="9">OFFSET($A2,(MATCH(VK1,$A:$A)-1),0)</f>
        <v>Rural Northwest Health</v>
      </c>
      <c r="VM1" s="1" t="str">
        <f t="shared" ca="1" si="9"/>
        <v>Rushworth Cemetery Trust</v>
      </c>
      <c r="VN1" s="1" t="str">
        <f t="shared" ca="1" si="9"/>
        <v>Rye Cemetery Trust</v>
      </c>
      <c r="VO1" s="1" t="str">
        <f t="shared" ca="1" si="9"/>
        <v>Safer Care Victoria</v>
      </c>
      <c r="VP1" s="1" t="str">
        <f t="shared" ca="1" si="9"/>
        <v>Sale Cemetery Trust</v>
      </c>
      <c r="VQ1" s="1" t="str">
        <f t="shared" ca="1" si="9"/>
        <v>Sandford Cemetery Trust</v>
      </c>
      <c r="VR1" s="1" t="str">
        <f t="shared" ca="1" si="9"/>
        <v>Sandy Creek Cemetery Trust</v>
      </c>
      <c r="VS1" s="1" t="str">
        <f t="shared" ca="1" si="9"/>
        <v>Science, Medical Research And Technology Panel</v>
      </c>
      <c r="VT1" s="1" t="str">
        <f t="shared" ca="1" si="9"/>
        <v>Scotts Creek Cemetery Trust</v>
      </c>
      <c r="VU1" s="1" t="str">
        <f t="shared" ca="1" si="9"/>
        <v>Sea Lake Cemetery Trust</v>
      </c>
      <c r="VV1" s="1" t="str">
        <f t="shared" ca="1" si="9"/>
        <v>Seymour Cemetery Trust</v>
      </c>
      <c r="VW1" s="1" t="str">
        <f t="shared" ca="1" si="9"/>
        <v>Seymour Health</v>
      </c>
      <c r="VX1" s="1" t="str">
        <f t="shared" ca="1" si="9"/>
        <v>Sheep Hills Cemetery Trust</v>
      </c>
      <c r="VY1" s="1" t="str">
        <f t="shared" ca="1" si="9"/>
        <v>Shelford Cemetery Trust</v>
      </c>
      <c r="VZ1" s="1" t="str">
        <f t="shared" ca="1" si="9"/>
        <v>Shepparton Cemetery Trust</v>
      </c>
      <c r="WA1" s="1" t="str">
        <f t="shared" ca="1" si="9"/>
        <v>Shooting Sports Facilities Program Advisory Committee</v>
      </c>
      <c r="WB1" s="1" t="str">
        <f t="shared" ca="1" si="9"/>
        <v>Skipton Cemetery Trust</v>
      </c>
      <c r="WC1" s="1" t="str">
        <f t="shared" ca="1" si="9"/>
        <v>Smeaton Cemetery Trust</v>
      </c>
      <c r="WD1" s="1" t="str">
        <f t="shared" ca="1" si="9"/>
        <v>Smythesdale Cemetery Trust</v>
      </c>
      <c r="WE1" s="1" t="str">
        <f t="shared" ca="1" si="9"/>
        <v>Sorrento Cemetery Trust</v>
      </c>
      <c r="WF1" s="1" t="str">
        <f t="shared" ca="1" si="9"/>
        <v>South East Palliative Care Ltd</v>
      </c>
      <c r="WG1" s="1" t="str">
        <f t="shared" ca="1" si="9"/>
        <v>South Gippsland Hospital</v>
      </c>
      <c r="WH1" s="1" t="str">
        <f t="shared" ca="1" si="9"/>
        <v>South West Healthcare</v>
      </c>
      <c r="WI1" s="1" t="str">
        <f t="shared" ca="1" si="9"/>
        <v>Southern Metropolitan Cemeteries Trust</v>
      </c>
      <c r="WJ1" s="1" t="str">
        <f t="shared" ca="1" si="9"/>
        <v>Speed Cemetery Trust</v>
      </c>
      <c r="WK1" s="1" t="str">
        <f t="shared" ca="1" si="9"/>
        <v>Spring Hill Cemetery Trust</v>
      </c>
      <c r="WL1" s="1" t="str">
        <f t="shared" ca="1" si="9"/>
        <v>Spring Lead Cemetery Trust</v>
      </c>
      <c r="WM1" s="1" t="str">
        <f t="shared" ca="1" si="9"/>
        <v>St Arnaud Cemetery Trust</v>
      </c>
      <c r="WN1" s="1" t="str">
        <f t="shared" ca="1" si="9"/>
        <v>St John Ambulance Australia (Vic) Inc.</v>
      </c>
      <c r="WO1" s="1" t="str">
        <f t="shared" ca="1" si="9"/>
        <v>St Vincents Hospital (Melbourne) Ltd</v>
      </c>
      <c r="WP1" s="1" t="str">
        <f t="shared" ca="1" si="9"/>
        <v>St Vincents Institute of Medical Research (SVI)</v>
      </c>
      <c r="WQ1" s="1" t="str">
        <f t="shared" ca="1" si="9"/>
        <v>Staffordshire Reef Cemetery Trust</v>
      </c>
      <c r="WR1" s="1" t="str">
        <f t="shared" ca="1" si="9"/>
        <v>Stanley Cemetery Trust</v>
      </c>
      <c r="WS1" s="1" t="str">
        <f t="shared" ca="1" si="9"/>
        <v>State Netball And Hockey Centre Advisory Committee</v>
      </c>
      <c r="WT1" s="1" t="str">
        <f t="shared" ca="1" si="9"/>
        <v>State Trauma Committee</v>
      </c>
      <c r="WU1" s="1" t="str">
        <f t="shared" ca="1" si="9"/>
        <v>Stawell Cemetery Trust (Pleasant Creek)</v>
      </c>
      <c r="WV1" s="1" t="str">
        <f t="shared" ca="1" si="9"/>
        <v>Stawell Regional Health</v>
      </c>
      <c r="WW1" s="1" t="str">
        <f t="shared" ca="1" si="9"/>
        <v>Steiglitz Cemetery Trust</v>
      </c>
      <c r="WX1" s="1" t="str">
        <f t="shared" ca="1" si="9"/>
        <v>Stratford Cemetery Trust</v>
      </c>
      <c r="WY1" s="1" t="str">
        <f t="shared" ca="1" si="9"/>
        <v>Strathbogie Cemetery Trust</v>
      </c>
      <c r="WZ1" s="1" t="str">
        <f t="shared" ca="1" si="9"/>
        <v>Strathdownie East Cemetery Trust</v>
      </c>
      <c r="XA1" s="1" t="str">
        <f t="shared" ca="1" si="9"/>
        <v>Streatham Cemetery Trust</v>
      </c>
      <c r="XB1" s="1" t="str">
        <f t="shared" ca="1" si="9"/>
        <v>Stuart Mill Cemetery Trust</v>
      </c>
      <c r="XC1" s="1" t="str">
        <f t="shared" ca="1" si="9"/>
        <v>Suitability Panel</v>
      </c>
      <c r="XD1" s="1" t="str">
        <f t="shared" ca="1" si="9"/>
        <v>Sunbury Cemetery Trust</v>
      </c>
      <c r="XE1" s="1" t="str">
        <f t="shared" ca="1" si="9"/>
        <v>Sunbury Community Health Centre</v>
      </c>
      <c r="XF1" s="1" t="str">
        <f t="shared" ca="1" si="9"/>
        <v>Sunraysia Community Health Services Ltd</v>
      </c>
      <c r="XG1" s="1" t="str">
        <f t="shared" ca="1" si="9"/>
        <v>Sutton Grange Cemetery Trust</v>
      </c>
      <c r="XH1" s="1" t="str">
        <f t="shared" ca="1" si="9"/>
        <v>Swan Hill Cemetery Trust</v>
      </c>
      <c r="XI1" s="1" t="str">
        <f t="shared" ca="1" si="9"/>
        <v>Swan Hill District Health</v>
      </c>
      <c r="XJ1" s="1" t="str">
        <f t="shared" ca="1" si="9"/>
        <v>Swanwater West Cemetery Trust</v>
      </c>
      <c r="XK1" s="1" t="str">
        <f t="shared" ca="1" si="9"/>
        <v>Swifts Creek Bush Nursing Centre Inc.</v>
      </c>
      <c r="XL1" s="1" t="str">
        <f t="shared" ca="1" si="9"/>
        <v>Talgarno Cemetery Trust</v>
      </c>
      <c r="XM1" s="1" t="str">
        <f t="shared" ca="1" si="9"/>
        <v>Tallangatta Cemetery Trust</v>
      </c>
      <c r="XN1" s="1" t="str">
        <f t="shared" ca="1" si="9"/>
        <v>Tallangatta Health Service</v>
      </c>
      <c r="XO1" s="1" t="str">
        <f t="shared" ca="1" si="9"/>
        <v>Tallarook Cemetery Trust</v>
      </c>
      <c r="XP1" s="1" t="str">
        <f t="shared" ca="1" si="9"/>
        <v>Taradale Cemetery Trust</v>
      </c>
      <c r="XQ1" s="1" t="str">
        <f t="shared" ca="1" si="9"/>
        <v>Tarnagulla Cemetery Trust</v>
      </c>
      <c r="XR1" s="1" t="str">
        <f t="shared" ca="1" si="9"/>
        <v>Tarrawingee Cemetery Trust</v>
      </c>
      <c r="XS1" s="1" t="str">
        <f t="shared" ca="1" si="9"/>
        <v>Tarrayoukyan Cemetery Trust</v>
      </c>
      <c r="XT1" s="1" t="str">
        <f t="shared" ca="1" si="9"/>
        <v>Tarwin Lower Cemetery Trust</v>
      </c>
      <c r="XU1" s="1" t="str">
        <f t="shared" ca="1" si="9"/>
        <v>Tatura Cemetery Trust</v>
      </c>
      <c r="XV1" s="1" t="str">
        <f t="shared" ca="1" si="9"/>
        <v>Tatyoon Cemetery Trust</v>
      </c>
      <c r="XW1" s="1" t="str">
        <f t="shared" ca="1" si="9"/>
        <v>Tawonga Cemetery Trust</v>
      </c>
      <c r="XX1" s="1" t="str">
        <f t="shared" ref="XX1:AAI1" ca="1" si="10">OFFSET($A2,(MATCH(XW1,$A:$A)-1),0)</f>
        <v>Teesdale Cemetery Trust</v>
      </c>
      <c r="XY1" s="1" t="str">
        <f t="shared" ca="1" si="10"/>
        <v>Terang And Mortlake Health Service</v>
      </c>
      <c r="XZ1" s="1" t="str">
        <f t="shared" ca="1" si="10"/>
        <v>Terang Cemetery Trust</v>
      </c>
      <c r="YA1" s="1" t="str">
        <f t="shared" ca="1" si="10"/>
        <v>Terrapee Cemetery Trust</v>
      </c>
      <c r="YB1" s="1" t="str">
        <f t="shared" ca="1" si="10"/>
        <v>The Bays Hospital Group Inc.</v>
      </c>
      <c r="YC1" s="1" t="str">
        <f t="shared" ca="1" si="10"/>
        <v>The Bionics Institute of Australia</v>
      </c>
      <c r="YD1" s="1" t="str">
        <f t="shared" ca="1" si="10"/>
        <v>The DAX Centre Ltd</v>
      </c>
      <c r="YE1" s="1" t="str">
        <f t="shared" ca="1" si="10"/>
        <v>The Deafness Foundation (Victoria)</v>
      </c>
      <c r="YF1" s="1" t="str">
        <f t="shared" ca="1" si="10"/>
        <v>The Florey Institute of Neuroscience and Mental Health</v>
      </c>
      <c r="YG1" s="1" t="str">
        <f t="shared" ca="1" si="10"/>
        <v>The Gathering Place Health Service Ltd</v>
      </c>
      <c r="YH1" s="1" t="str">
        <f t="shared" ca="1" si="10"/>
        <v>The Mental Health Research Institute</v>
      </c>
      <c r="YI1" s="1" t="str">
        <f t="shared" ca="1" si="10"/>
        <v>The Royal Children's Hospital</v>
      </c>
      <c r="YJ1" s="1" t="str">
        <f t="shared" ca="1" si="10"/>
        <v>The Royal Victorian Eye and Ear Hospital</v>
      </c>
      <c r="YK1" s="1" t="str">
        <f t="shared" ca="1" si="10"/>
        <v>The Royal Women's Hospital</v>
      </c>
      <c r="YL1" s="1" t="str">
        <f t="shared" ca="1" si="10"/>
        <v>The Victorian Foundation for Survivors of Torture</v>
      </c>
      <c r="YM1" s="1" t="str">
        <f t="shared" ca="1" si="10"/>
        <v>Therapeutic Treatment Board</v>
      </c>
      <c r="YN1" s="1" t="str">
        <f t="shared" ca="1" si="10"/>
        <v>Thoona Cemetery Trust</v>
      </c>
      <c r="YO1" s="1" t="str">
        <f t="shared" ca="1" si="10"/>
        <v>Thorpdale Cemetery Trust</v>
      </c>
      <c r="YP1" s="1" t="str">
        <f t="shared" ca="1" si="10"/>
        <v>Timboon and District Healthcare Service</v>
      </c>
      <c r="YQ1" s="1" t="str">
        <f t="shared" ca="1" si="10"/>
        <v>Timor Cemetery Trust</v>
      </c>
      <c r="YR1" s="1" t="str">
        <f t="shared" ca="1" si="10"/>
        <v>Tongala and District Memorial Aged Care Service Inc.</v>
      </c>
      <c r="YS1" s="1" t="str">
        <f t="shared" ca="1" si="10"/>
        <v>Tongala Cemetery Trust</v>
      </c>
      <c r="YT1" s="1" t="str">
        <f t="shared" ca="1" si="10"/>
        <v>Tooan Cemetery Trust</v>
      </c>
      <c r="YU1" s="1" t="str">
        <f t="shared" ca="1" si="10"/>
        <v>Toolamba Cemetery Trust</v>
      </c>
      <c r="YV1" s="1" t="str">
        <f t="shared" ca="1" si="10"/>
        <v>Toongabbie Cemetery Trust</v>
      </c>
      <c r="YW1" s="1" t="str">
        <f t="shared" ca="1" si="10"/>
        <v>Toora Cemetery Trust</v>
      </c>
      <c r="YX1" s="1" t="str">
        <f t="shared" ca="1" si="10"/>
        <v>Towaninnie Cemetery Trust</v>
      </c>
      <c r="YY1" s="1" t="str">
        <f t="shared" ca="1" si="10"/>
        <v>Tower Hill Cemetery Trust</v>
      </c>
      <c r="YZ1" s="1" t="str">
        <f t="shared" ca="1" si="10"/>
        <v>Trafalgar Cemetery Trust</v>
      </c>
      <c r="ZA1" s="1" t="str">
        <f t="shared" ca="1" si="10"/>
        <v>Traralgon Cemetery Trust</v>
      </c>
      <c r="ZB1" s="1" t="str">
        <f t="shared" ca="1" si="10"/>
        <v>Trentham Cemetery Trust</v>
      </c>
      <c r="ZC1" s="1" t="str">
        <f t="shared" ca="1" si="10"/>
        <v>Tungamah Cemetery Trust</v>
      </c>
      <c r="ZD1" s="1" t="str">
        <f t="shared" ca="1" si="10"/>
        <v>Tutye Cemetery Trust</v>
      </c>
      <c r="ZE1" s="1" t="str">
        <f t="shared" ca="1" si="10"/>
        <v>Tweddle Child And Family Health Service</v>
      </c>
      <c r="ZF1" s="1" t="str">
        <f t="shared" ca="1" si="10"/>
        <v>Tyaak Cemetery Trust</v>
      </c>
      <c r="ZG1" s="1" t="str">
        <f t="shared" ca="1" si="10"/>
        <v>Tylden Cemetery Trust</v>
      </c>
      <c r="ZH1" s="1" t="str">
        <f t="shared" ca="1" si="10"/>
        <v>Ultima Cemetery Trust</v>
      </c>
      <c r="ZI1" s="1" t="str">
        <f t="shared" ca="1" si="10"/>
        <v>Underbool Cemetery Trust</v>
      </c>
      <c r="ZJ1" s="1" t="str">
        <f t="shared" ca="1" si="10"/>
        <v>Upper Yarra Cemetery Trust</v>
      </c>
      <c r="ZK1" s="1" t="str">
        <f t="shared" ca="1" si="10"/>
        <v>Vaughan Cemetery Trust</v>
      </c>
      <c r="ZL1" s="1" t="str">
        <f t="shared" ca="1" si="10"/>
        <v>VICSERV (Psychiatric Disability Services of Vic)</v>
      </c>
      <c r="ZM1" s="1" t="str">
        <f t="shared" ca="1" si="10"/>
        <v>Victoria Walks Inc.</v>
      </c>
      <c r="ZN1" s="1" t="str">
        <f t="shared" ca="1" si="10"/>
        <v>Victorian Aboriginal Child Care Agency Co-operative</v>
      </c>
      <c r="ZO1" s="1" t="str">
        <f t="shared" ca="1" si="10"/>
        <v>Victorian Aboriginal Community Controlled Health Organisation</v>
      </c>
      <c r="ZP1" s="1" t="str">
        <f t="shared" ca="1" si="10"/>
        <v>Victorian Aboriginal Community Services Association</v>
      </c>
      <c r="ZQ1" s="1" t="str">
        <f t="shared" ca="1" si="10"/>
        <v>Victorian Aboriginal Health Service Co-operative Ltd</v>
      </c>
      <c r="ZR1" s="1" t="str">
        <f t="shared" ca="1" si="10"/>
        <v>Victorian Agency For Health Information</v>
      </c>
      <c r="ZS1" s="1" t="str">
        <f t="shared" ca="1" si="10"/>
        <v>Victorian Aids Council (Gay Men’s Health Centre)</v>
      </c>
      <c r="ZT1" s="1" t="str">
        <f t="shared" ca="1" si="10"/>
        <v>Victorian Assisted Reproductive Treatment Authority</v>
      </c>
      <c r="ZU1" s="1" t="str">
        <f t="shared" ca="1" si="10"/>
        <v>Victorian Cancer Agency Consultative Council</v>
      </c>
      <c r="ZV1" s="1" t="str">
        <f t="shared" ca="1" si="10"/>
        <v>Victorian Children's Council</v>
      </c>
      <c r="ZW1" s="1" t="str">
        <f t="shared" ca="1" si="10"/>
        <v>Victorian Clinical Council</v>
      </c>
      <c r="ZX1" s="1" t="str">
        <f t="shared" ca="1" si="10"/>
        <v>Victorian Clinical Genetics Service Ltd</v>
      </c>
      <c r="ZY1" s="1" t="str">
        <f t="shared" ca="1" si="10"/>
        <v>Victorian Comprehensive Cancer Centre Ltd</v>
      </c>
      <c r="ZZ1" s="1" t="str">
        <f t="shared" ca="1" si="10"/>
        <v>Victorian Consultative Council On Anaesthetic Mortality And Morbidity</v>
      </c>
      <c r="AAA1" s="1" t="str">
        <f t="shared" ca="1" si="10"/>
        <v>Victorian Cytology Service Ltd</v>
      </c>
      <c r="AAB1" s="1" t="str">
        <f t="shared" ca="1" si="10"/>
        <v>Victorian Disability Advisory Council</v>
      </c>
      <c r="AAC1" s="1" t="str">
        <f t="shared" ca="1" si="10"/>
        <v>Victorian Health and Human Services Building Authority (VHHSBA)</v>
      </c>
      <c r="AAD1" s="1" t="str">
        <f t="shared" ca="1" si="10"/>
        <v>Victorian Health Promotion Foundation</v>
      </c>
      <c r="AAE1" s="1" t="str">
        <f t="shared" ca="1" si="10"/>
        <v>Victorian Healthcare Association Ltd</v>
      </c>
      <c r="AAF1" s="1" t="str">
        <f t="shared" ca="1" si="10"/>
        <v>Victorian Hospitals Industrial Association</v>
      </c>
      <c r="AAG1" s="1" t="str">
        <f t="shared" ca="1" si="10"/>
        <v>Victorian Institute Of Forensic Mental Health (Forensicare)</v>
      </c>
      <c r="AAH1" s="1" t="str">
        <f t="shared" ca="1" si="10"/>
        <v>Victorian Pharmacy Authority</v>
      </c>
      <c r="AAI1" s="1" t="str">
        <f t="shared" ca="1" si="10"/>
        <v>Victorian Surgical Consultative Council</v>
      </c>
      <c r="AAJ1" s="1" t="str">
        <f t="shared" ref="AAJ1:ACU1" ca="1" si="11">OFFSET($A2,(MATCH(AAI1,$A:$A)-1),0)</f>
        <v>Violet Town Bush Nursing Centre</v>
      </c>
      <c r="AAK1" s="1" t="str">
        <f t="shared" ca="1" si="11"/>
        <v>Violet Town Cemetery Trust</v>
      </c>
      <c r="AAL1" s="1" t="str">
        <f t="shared" ca="1" si="11"/>
        <v>Waitchie Cemetery Trust</v>
      </c>
      <c r="AAM1" s="1" t="str">
        <f t="shared" ca="1" si="11"/>
        <v>Walhalla Cemetery Trust</v>
      </c>
      <c r="AAN1" s="1" t="str">
        <f t="shared" ca="1" si="11"/>
        <v>Wallan Cemetery Trust</v>
      </c>
      <c r="AAO1" s="1" t="str">
        <f t="shared" ca="1" si="11"/>
        <v>Walpeup Cemetery Trust</v>
      </c>
      <c r="AAP1" s="1" t="str">
        <f t="shared" ca="1" si="11"/>
        <v>Walwa Bush Nursing Centre</v>
      </c>
      <c r="AAQ1" s="1" t="str">
        <f t="shared" ca="1" si="11"/>
        <v>Walwa Cemetery Trust</v>
      </c>
      <c r="AAR1" s="1" t="str">
        <f t="shared" ca="1" si="11"/>
        <v>Wangaratta Cemetery Trust</v>
      </c>
      <c r="AAS1" s="1" t="str">
        <f t="shared" ca="1" si="11"/>
        <v>Warracknabeal Cemetery Trust</v>
      </c>
      <c r="AAT1" s="1" t="str">
        <f t="shared" ca="1" si="11"/>
        <v>Warragul Cemetery Trust</v>
      </c>
      <c r="AAU1" s="1" t="str">
        <f t="shared" ca="1" si="11"/>
        <v>Warringal Cemetery</v>
      </c>
      <c r="AAV1" s="1" t="str">
        <f t="shared" ca="1" si="11"/>
        <v>Warrnambool Cemetery Trust</v>
      </c>
      <c r="AAW1" s="1" t="str">
        <f t="shared" ca="1" si="11"/>
        <v>Watchem Cemetery Trust</v>
      </c>
      <c r="AAX1" s="1" t="str">
        <f t="shared" ca="1" si="11"/>
        <v>Waterloo Cemetery Trust</v>
      </c>
      <c r="AAY1" s="1" t="str">
        <f t="shared" ca="1" si="11"/>
        <v>Wathaurong Aboriginal Co-operative Ltd</v>
      </c>
      <c r="AAZ1" s="1" t="str">
        <f t="shared" ca="1" si="11"/>
        <v>Waubra Cemetery Trust</v>
      </c>
      <c r="ABA1" s="1" t="str">
        <f t="shared" ca="1" si="11"/>
        <v>Wedderburn Cemetery Trust</v>
      </c>
      <c r="ABB1" s="1" t="str">
        <f t="shared" ca="1" si="11"/>
        <v>Welshpool Cemetery Trust</v>
      </c>
      <c r="ABC1" s="1" t="str">
        <f t="shared" ca="1" si="11"/>
        <v>Werona and Kooroocheang Cemetery Trust</v>
      </c>
      <c r="ABD1" s="1" t="str">
        <f t="shared" ca="1" si="11"/>
        <v>Werrimull Cemetery Trust</v>
      </c>
      <c r="ABE1" s="1" t="str">
        <f t="shared" ca="1" si="11"/>
        <v>West Gippsland Healthcare Group</v>
      </c>
      <c r="ABF1" s="1" t="str">
        <f t="shared" ca="1" si="11"/>
        <v>West Wimmera Health Service</v>
      </c>
      <c r="ABG1" s="1" t="str">
        <f t="shared" ca="1" si="11"/>
        <v>Western District Health Service</v>
      </c>
      <c r="ABH1" s="1" t="str">
        <f t="shared" ca="1" si="11"/>
        <v>Western Health</v>
      </c>
      <c r="ABI1" s="1" t="str">
        <f t="shared" ca="1" si="11"/>
        <v>Western Region Alcohol and Drug Centre Incorporate</v>
      </c>
      <c r="ABJ1" s="1" t="str">
        <f t="shared" ca="1" si="11"/>
        <v>Western Region Centre Against Sexual Assault Inc.</v>
      </c>
      <c r="ABK1" s="1" t="str">
        <f t="shared" ca="1" si="11"/>
        <v>Whitefield Cemetery Trust</v>
      </c>
      <c r="ABL1" s="1" t="str">
        <f t="shared" ca="1" si="11"/>
        <v>Whitehorse Community Health Service Inc.</v>
      </c>
      <c r="ABM1" s="1" t="str">
        <f t="shared" ca="1" si="11"/>
        <v>Whroo Cemetery Trust</v>
      </c>
      <c r="ABN1" s="1" t="str">
        <f t="shared" ca="1" si="11"/>
        <v>Wickliffe Cemetery Trust</v>
      </c>
      <c r="ABO1" s="1" t="str">
        <f t="shared" ca="1" si="11"/>
        <v>Willaura Cemetery Trust</v>
      </c>
      <c r="ABP1" s="1" t="str">
        <f t="shared" ca="1" si="11"/>
        <v>Willow Grove Cemetery Trust</v>
      </c>
      <c r="ABQ1" s="1" t="str">
        <f t="shared" ca="1" si="11"/>
        <v>Wimmera Health Care Group</v>
      </c>
      <c r="ABR1" s="1" t="str">
        <f t="shared" ca="1" si="11"/>
        <v>Winda-Mara Aboriginal Corporation</v>
      </c>
      <c r="ABS1" s="1" t="str">
        <f t="shared" ca="1" si="11"/>
        <v>Winiam Cemetery Trust</v>
      </c>
      <c r="ABT1" s="1" t="str">
        <f t="shared" ca="1" si="11"/>
        <v>Winton Cemetery Trust</v>
      </c>
      <c r="ABU1" s="1" t="str">
        <f t="shared" ca="1" si="11"/>
        <v>Wodonga Cemetery Trust</v>
      </c>
      <c r="ABV1" s="1" t="str">
        <f t="shared" ca="1" si="11"/>
        <v>Woodend Cemetery Trust</v>
      </c>
      <c r="ABW1" s="1" t="str">
        <f t="shared" ca="1" si="11"/>
        <v>Woods Point Cemetery Trust</v>
      </c>
      <c r="ABX1" s="1" t="str">
        <f t="shared" ca="1" si="11"/>
        <v>Woodside Cemetery Trust</v>
      </c>
      <c r="ABY1" s="1" t="str">
        <f t="shared" ca="1" si="11"/>
        <v>Woolsthorpe Cemetery Trust</v>
      </c>
      <c r="ABZ1" s="1" t="str">
        <f t="shared" ca="1" si="11"/>
        <v>Woomelang and District Bush Nursing Centre Inc.</v>
      </c>
      <c r="ACA1" s="1" t="str">
        <f t="shared" ca="1" si="11"/>
        <v>Woomelang Cemetery Trust</v>
      </c>
      <c r="ACB1" s="1" t="str">
        <f t="shared" ca="1" si="11"/>
        <v>Woorak Cemetery Trust</v>
      </c>
      <c r="ACC1" s="1" t="str">
        <f t="shared" ca="1" si="11"/>
        <v>Woorndoo Cemetery Trust</v>
      </c>
      <c r="ACD1" s="1" t="str">
        <f t="shared" ca="1" si="11"/>
        <v>Woosang Cemetery Trust</v>
      </c>
      <c r="ACE1" s="1" t="str">
        <f t="shared" ca="1" si="11"/>
        <v>Wunghnu Cemetery Trust</v>
      </c>
      <c r="ACF1" s="1" t="str">
        <f t="shared" ca="1" si="11"/>
        <v>Wycheproof Cemetery Trust</v>
      </c>
      <c r="ACG1" s="1" t="str">
        <f t="shared" ca="1" si="11"/>
        <v>Wychitella Cemetery Trust</v>
      </c>
      <c r="ACH1" s="1" t="str">
        <f t="shared" ca="1" si="11"/>
        <v>Yabba Cemetery Trust</v>
      </c>
      <c r="ACI1" s="1" t="str">
        <f t="shared" ca="1" si="11"/>
        <v>Yackandandah Cemetery Trust</v>
      </c>
      <c r="ACJ1" s="1" t="str">
        <f t="shared" ca="1" si="11"/>
        <v>Yalca North Cemetery Trust</v>
      </c>
      <c r="ACK1" s="1" t="str">
        <f t="shared" ca="1" si="11"/>
        <v>Yallourn Cemetery Trust</v>
      </c>
      <c r="ACL1" s="1" t="str">
        <f t="shared" ca="1" si="11"/>
        <v>Yambuk Cemetery Trust</v>
      </c>
      <c r="ACM1" s="1" t="str">
        <f t="shared" ca="1" si="11"/>
        <v>Yan Yean Cemetery Trust</v>
      </c>
      <c r="ACN1" s="1" t="str">
        <f t="shared" ca="1" si="11"/>
        <v>Yarck Cemetery Trust</v>
      </c>
      <c r="ACO1" s="1" t="str">
        <f t="shared" ca="1" si="11"/>
        <v>Yarra Park Advisory Committee</v>
      </c>
      <c r="ACP1" s="1" t="str">
        <f t="shared" ca="1" si="11"/>
        <v>Yarragon Cemetery Trust</v>
      </c>
      <c r="ACQ1" s="1" t="str">
        <f t="shared" ca="1" si="11"/>
        <v>Yarram And District Health Service</v>
      </c>
      <c r="ACR1" s="1" t="str">
        <f t="shared" ca="1" si="11"/>
        <v>Yarram Cemetery Trust</v>
      </c>
      <c r="ACS1" s="1" t="str">
        <f t="shared" ca="1" si="11"/>
        <v>Yarrawonga And District Cemetery Trust</v>
      </c>
      <c r="ACT1" s="1" t="str">
        <f t="shared" ca="1" si="11"/>
        <v>Yarrawonga Health</v>
      </c>
      <c r="ACU1" s="1" t="str">
        <f t="shared" ca="1" si="11"/>
        <v>Yarrayne Cemetery Trust</v>
      </c>
      <c r="ACV1" s="1" t="str">
        <f t="shared" ref="ACV1:ACZ1" ca="1" si="12">OFFSET($A2,(MATCH(ACU1,$A:$A)-1),0)</f>
        <v>Yaugher Cemetery Trust</v>
      </c>
      <c r="ACW1" s="1" t="str">
        <f t="shared" ca="1" si="12"/>
        <v>Yea and District Memorial Hospital</v>
      </c>
      <c r="ACX1" s="1" t="str">
        <f t="shared" ca="1" si="12"/>
        <v>Yea Cemetery</v>
      </c>
      <c r="ACY1" s="1" t="str">
        <f t="shared" ca="1" si="12"/>
        <v>Youth Affairs Council of Victoria</v>
      </c>
      <c r="ACZ1" s="1" t="str">
        <f t="shared" ca="1" si="12"/>
        <v>YSAS</v>
      </c>
    </row>
    <row r="2" spans="1:780" x14ac:dyDescent="0.45">
      <c r="A2" t="str">
        <f>'State Depts'!I2</f>
        <v>Aberfeldy Cemetery Trust</v>
      </c>
      <c r="J2" t="s">
        <v>4950</v>
      </c>
      <c r="M2" t="s">
        <v>4753</v>
      </c>
      <c r="N2" t="s">
        <v>4742</v>
      </c>
      <c r="P2" t="s">
        <v>4731</v>
      </c>
      <c r="AA2" t="s">
        <v>4859</v>
      </c>
      <c r="AM2" t="s">
        <v>4874</v>
      </c>
      <c r="AU2" t="s">
        <v>4722</v>
      </c>
      <c r="BB2" t="s">
        <v>4884</v>
      </c>
      <c r="EH2" t="s">
        <v>5477</v>
      </c>
      <c r="EI2" t="s">
        <v>5813</v>
      </c>
      <c r="GO2" t="s">
        <v>5493</v>
      </c>
      <c r="HP2" t="s">
        <v>4867</v>
      </c>
      <c r="HQ2" t="s">
        <v>4885</v>
      </c>
      <c r="JB2" t="s">
        <v>4733</v>
      </c>
      <c r="JV2" t="s">
        <v>4891</v>
      </c>
      <c r="KE2" t="s">
        <v>4923</v>
      </c>
      <c r="KG2" t="s">
        <v>4721</v>
      </c>
      <c r="LD2" t="s">
        <v>4898</v>
      </c>
      <c r="NO2" t="s">
        <v>4872</v>
      </c>
      <c r="OS2" t="s">
        <v>4902</v>
      </c>
      <c r="PB2" t="s">
        <v>4907</v>
      </c>
      <c r="PI2" t="s">
        <v>4909</v>
      </c>
      <c r="QM2" t="s">
        <v>4915</v>
      </c>
      <c r="QY2" t="s">
        <v>10660</v>
      </c>
      <c r="RV2" t="s">
        <v>291</v>
      </c>
      <c r="TM2" t="s">
        <v>4925</v>
      </c>
      <c r="WH2" t="s">
        <v>4930</v>
      </c>
      <c r="XY2" t="s">
        <v>5482</v>
      </c>
      <c r="YI2" t="s">
        <v>4928</v>
      </c>
      <c r="YJ2" t="s">
        <v>4949</v>
      </c>
      <c r="ABE2" t="s">
        <v>5468</v>
      </c>
      <c r="ABF2" t="s">
        <v>4946</v>
      </c>
      <c r="ABH2" t="s">
        <v>4865</v>
      </c>
      <c r="ABQ2" t="s">
        <v>4941</v>
      </c>
      <c r="ACQ2" t="s">
        <v>4939</v>
      </c>
    </row>
    <row r="3" spans="1:780" x14ac:dyDescent="0.45">
      <c r="A3" t="str">
        <f>'State Depts'!I3</f>
        <v>Ability Works Australia Ltd</v>
      </c>
      <c r="M3" t="s">
        <v>4732</v>
      </c>
      <c r="N3" t="s">
        <v>4741</v>
      </c>
      <c r="P3" t="s">
        <v>4785</v>
      </c>
      <c r="AA3" t="s">
        <v>4861</v>
      </c>
      <c r="AM3" t="s">
        <v>4877</v>
      </c>
      <c r="BB3" t="s">
        <v>4883</v>
      </c>
      <c r="EH3" t="s">
        <v>5479</v>
      </c>
      <c r="EI3" t="s">
        <v>5821</v>
      </c>
      <c r="HP3" t="s">
        <v>4868</v>
      </c>
      <c r="HQ3" t="s">
        <v>4886</v>
      </c>
      <c r="JB3" t="s">
        <v>4734</v>
      </c>
      <c r="JV3" t="s">
        <v>4893</v>
      </c>
      <c r="KE3" t="s">
        <v>366</v>
      </c>
      <c r="KG3" t="s">
        <v>4730</v>
      </c>
      <c r="LD3" t="s">
        <v>4897</v>
      </c>
      <c r="NO3" t="s">
        <v>5472</v>
      </c>
      <c r="OS3" t="s">
        <v>4905</v>
      </c>
      <c r="PB3" t="s">
        <v>4908</v>
      </c>
      <c r="QM3" t="s">
        <v>4920</v>
      </c>
      <c r="QY3" t="s">
        <v>4921</v>
      </c>
      <c r="RV3" t="s">
        <v>5483</v>
      </c>
      <c r="TM3" t="s">
        <v>4927</v>
      </c>
      <c r="WH3" t="s">
        <v>4931</v>
      </c>
      <c r="XY3" t="s">
        <v>5490</v>
      </c>
      <c r="YI3" t="s">
        <v>427</v>
      </c>
      <c r="ABE3" t="s">
        <v>5471</v>
      </c>
      <c r="ABF3" t="s">
        <v>4944</v>
      </c>
      <c r="ABH3" t="s">
        <v>4863</v>
      </c>
      <c r="ABQ3" t="s">
        <v>4942</v>
      </c>
      <c r="ACQ3" t="s">
        <v>4228</v>
      </c>
    </row>
    <row r="4" spans="1:780" x14ac:dyDescent="0.45">
      <c r="A4" t="str">
        <f>'State Depts'!I4</f>
        <v>Aboriginal Community Elders Services Inc.</v>
      </c>
      <c r="M4" t="s">
        <v>4754</v>
      </c>
      <c r="N4" t="s">
        <v>4740</v>
      </c>
      <c r="P4" t="s">
        <v>4761</v>
      </c>
      <c r="AA4" t="s">
        <v>406</v>
      </c>
      <c r="AM4" t="s">
        <v>4876</v>
      </c>
      <c r="BB4" t="s">
        <v>4879</v>
      </c>
      <c r="EH4" t="s">
        <v>5488</v>
      </c>
      <c r="HP4" t="s">
        <v>4871</v>
      </c>
      <c r="HQ4" t="s">
        <v>4887</v>
      </c>
      <c r="JB4" t="s">
        <v>4735</v>
      </c>
      <c r="JV4" t="s">
        <v>4894</v>
      </c>
      <c r="KE4" t="s">
        <v>4924</v>
      </c>
      <c r="KG4" t="s">
        <v>4675</v>
      </c>
      <c r="LD4" t="s">
        <v>4896</v>
      </c>
      <c r="NO4" t="s">
        <v>4873</v>
      </c>
      <c r="OS4" t="s">
        <v>4899</v>
      </c>
      <c r="PB4" t="s">
        <v>4906</v>
      </c>
      <c r="QM4" t="s">
        <v>4913</v>
      </c>
      <c r="QY4" t="s">
        <v>4922</v>
      </c>
      <c r="RV4" t="s">
        <v>404</v>
      </c>
      <c r="TM4" t="s">
        <v>4926</v>
      </c>
      <c r="WH4" t="s">
        <v>4936</v>
      </c>
      <c r="XY4" t="s">
        <v>5491</v>
      </c>
      <c r="YI4" t="s">
        <v>4224</v>
      </c>
      <c r="ABE4" t="s">
        <v>5473</v>
      </c>
      <c r="ABF4" t="s">
        <v>4945</v>
      </c>
      <c r="ABH4" t="s">
        <v>4864</v>
      </c>
      <c r="ACQ4" t="s">
        <v>4940</v>
      </c>
    </row>
    <row r="5" spans="1:780" x14ac:dyDescent="0.45">
      <c r="A5" t="str">
        <f>'State Depts'!I5</f>
        <v>Aborigines Advancement League Inc.</v>
      </c>
      <c r="P5" t="s">
        <v>4762</v>
      </c>
      <c r="AA5" t="s">
        <v>4860</v>
      </c>
      <c r="AM5" t="s">
        <v>4875</v>
      </c>
      <c r="BB5" t="s">
        <v>4882</v>
      </c>
      <c r="HP5" t="s">
        <v>4869</v>
      </c>
      <c r="HQ5" t="s">
        <v>4888</v>
      </c>
      <c r="JB5" t="s">
        <v>4736</v>
      </c>
      <c r="JV5" t="s">
        <v>4892</v>
      </c>
      <c r="KG5" t="s">
        <v>4724</v>
      </c>
      <c r="LD5" t="s">
        <v>4895</v>
      </c>
      <c r="NO5" t="s">
        <v>5489</v>
      </c>
      <c r="OS5" t="s">
        <v>4901</v>
      </c>
      <c r="QM5" t="s">
        <v>4912</v>
      </c>
      <c r="WH5" t="s">
        <v>4938</v>
      </c>
      <c r="XY5" t="s">
        <v>5492</v>
      </c>
      <c r="ABE5" t="s">
        <v>5486</v>
      </c>
      <c r="ABF5" t="s">
        <v>4947</v>
      </c>
      <c r="ABH5" t="s">
        <v>4862</v>
      </c>
    </row>
    <row r="6" spans="1:780" x14ac:dyDescent="0.45">
      <c r="A6" t="str">
        <f>'State Depts'!I6</f>
        <v>Access Health and Community</v>
      </c>
      <c r="P6" t="s">
        <v>4763</v>
      </c>
      <c r="AM6" t="s">
        <v>4878</v>
      </c>
      <c r="BB6" t="s">
        <v>4743</v>
      </c>
      <c r="HP6" t="s">
        <v>4870</v>
      </c>
      <c r="HQ6" t="s">
        <v>4889</v>
      </c>
      <c r="JB6" t="s">
        <v>4737</v>
      </c>
      <c r="KG6" t="s">
        <v>4562</v>
      </c>
      <c r="OS6" t="s">
        <v>4903</v>
      </c>
      <c r="QM6" t="s">
        <v>4917</v>
      </c>
      <c r="WH6" t="s">
        <v>4933</v>
      </c>
      <c r="ABE6" t="s">
        <v>5494</v>
      </c>
      <c r="ABF6" t="s">
        <v>4943</v>
      </c>
      <c r="ABH6" t="s">
        <v>4866</v>
      </c>
    </row>
    <row r="7" spans="1:780" x14ac:dyDescent="0.45">
      <c r="A7" t="str">
        <f>'State Depts'!I7</f>
        <v>Access Services For Koories Ltd</v>
      </c>
      <c r="P7" t="s">
        <v>4764</v>
      </c>
      <c r="BB7" t="s">
        <v>4744</v>
      </c>
      <c r="HQ7" t="s">
        <v>4890</v>
      </c>
      <c r="JB7" t="s">
        <v>4738</v>
      </c>
      <c r="KG7" t="s">
        <v>4725</v>
      </c>
      <c r="OS7" t="s">
        <v>4900</v>
      </c>
      <c r="QM7" t="s">
        <v>4916</v>
      </c>
      <c r="WH7" t="s">
        <v>4935</v>
      </c>
      <c r="ABE7" t="s">
        <v>5497</v>
      </c>
      <c r="ABF7" t="s">
        <v>4948</v>
      </c>
    </row>
    <row r="8" spans="1:780" x14ac:dyDescent="0.45">
      <c r="A8" t="str">
        <f>'State Depts'!I8</f>
        <v>Adass Israel Cemetery Trust</v>
      </c>
      <c r="P8" t="s">
        <v>4756</v>
      </c>
      <c r="BB8" t="s">
        <v>4881</v>
      </c>
      <c r="JB8" t="s">
        <v>4739</v>
      </c>
      <c r="KG8" t="s">
        <v>4726</v>
      </c>
      <c r="OS8" t="s">
        <v>4904</v>
      </c>
      <c r="QM8" t="s">
        <v>4918</v>
      </c>
      <c r="WH8" t="s">
        <v>4934</v>
      </c>
    </row>
    <row r="9" spans="1:780" x14ac:dyDescent="0.45">
      <c r="A9" t="str">
        <f>'State Depts'!I9</f>
        <v>Alberton Cemetery Trust</v>
      </c>
      <c r="P9" t="s">
        <v>4765</v>
      </c>
      <c r="BB9" t="s">
        <v>4880</v>
      </c>
      <c r="KG9" t="s">
        <v>4727</v>
      </c>
      <c r="QM9" t="s">
        <v>4914</v>
      </c>
      <c r="WH9" t="s">
        <v>4937</v>
      </c>
    </row>
    <row r="10" spans="1:780" x14ac:dyDescent="0.45">
      <c r="A10" t="str">
        <f>'State Depts'!I10</f>
        <v>Albury Wodonga Health</v>
      </c>
      <c r="P10" t="s">
        <v>4766</v>
      </c>
      <c r="BB10" t="s">
        <v>4745</v>
      </c>
      <c r="KG10" t="s">
        <v>4728</v>
      </c>
      <c r="QM10" t="s">
        <v>4911</v>
      </c>
      <c r="WH10" t="s">
        <v>4929</v>
      </c>
    </row>
    <row r="11" spans="1:780" x14ac:dyDescent="0.45">
      <c r="A11" t="str">
        <f>'State Depts'!I11</f>
        <v>Alexandra Cemetery Trust</v>
      </c>
      <c r="P11" t="s">
        <v>4767</v>
      </c>
      <c r="KG11" t="s">
        <v>4729</v>
      </c>
      <c r="QM11" t="s">
        <v>4919</v>
      </c>
      <c r="WH11" t="s">
        <v>4932</v>
      </c>
    </row>
    <row r="12" spans="1:780" x14ac:dyDescent="0.45">
      <c r="A12" t="str">
        <f>'State Depts'!I12</f>
        <v>Alexandra District Health</v>
      </c>
      <c r="P12" t="s">
        <v>4768</v>
      </c>
      <c r="QM12" t="s">
        <v>4910</v>
      </c>
    </row>
    <row r="13" spans="1:780" x14ac:dyDescent="0.45">
      <c r="A13" t="str">
        <f>'State Depts'!I13</f>
        <v>Alfred Health</v>
      </c>
      <c r="P13" t="s">
        <v>4769</v>
      </c>
    </row>
    <row r="14" spans="1:780" x14ac:dyDescent="0.45">
      <c r="A14" t="str">
        <f>'State Depts'!I14</f>
        <v>Alpine Health</v>
      </c>
      <c r="P14" t="s">
        <v>4770</v>
      </c>
    </row>
    <row r="15" spans="1:780" x14ac:dyDescent="0.45">
      <c r="A15" t="str">
        <f>'State Depts'!I15</f>
        <v>Ambulance Performance And Policy Consultative Committee</v>
      </c>
      <c r="P15" t="s">
        <v>4771</v>
      </c>
    </row>
    <row r="16" spans="1:780" x14ac:dyDescent="0.45">
      <c r="A16" t="str">
        <f>'State Depts'!I16</f>
        <v>Ambulance Victoria</v>
      </c>
      <c r="P16" t="s">
        <v>4760</v>
      </c>
    </row>
    <row r="17" spans="1:16" x14ac:dyDescent="0.45">
      <c r="A17" t="str">
        <f>'State Depts'!I17</f>
        <v>Amherst Cemetery Trust</v>
      </c>
      <c r="P17" t="s">
        <v>4772</v>
      </c>
    </row>
    <row r="18" spans="1:16" x14ac:dyDescent="0.45">
      <c r="A18" t="str">
        <f>'State Depts'!I18</f>
        <v>Amphitheatre Cemetery Trust</v>
      </c>
      <c r="P18" t="s">
        <v>4773</v>
      </c>
    </row>
    <row r="19" spans="1:16" x14ac:dyDescent="0.45">
      <c r="A19" t="str">
        <f>'State Depts'!I19</f>
        <v>AMREP AS Pty Ltd</v>
      </c>
      <c r="P19" t="s">
        <v>4774</v>
      </c>
    </row>
    <row r="20" spans="1:16" x14ac:dyDescent="0.45">
      <c r="A20" t="str">
        <f>'State Depts'!I20</f>
        <v>Antwerp Cemetery Trust</v>
      </c>
      <c r="P20" t="s">
        <v>4775</v>
      </c>
    </row>
    <row r="21" spans="1:16" x14ac:dyDescent="0.45">
      <c r="A21" t="str">
        <f>'State Depts'!I21</f>
        <v>Apollo Bay Cemetery Trust</v>
      </c>
      <c r="P21" t="s">
        <v>4776</v>
      </c>
    </row>
    <row r="22" spans="1:16" x14ac:dyDescent="0.45">
      <c r="A22" t="str">
        <f>'State Depts'!I22</f>
        <v>Apsley Cemetery Trust</v>
      </c>
      <c r="P22" t="s">
        <v>4777</v>
      </c>
    </row>
    <row r="23" spans="1:16" x14ac:dyDescent="0.45">
      <c r="A23" t="str">
        <f>'State Depts'!I23</f>
        <v>Ararat Cemetery Trust</v>
      </c>
      <c r="P23" t="s">
        <v>4778</v>
      </c>
    </row>
    <row r="24" spans="1:16" x14ac:dyDescent="0.45">
      <c r="A24" t="str">
        <f>'State Depts'!I24</f>
        <v>Arthurs Creek Cemetery Trust</v>
      </c>
      <c r="P24" t="s">
        <v>4779</v>
      </c>
    </row>
    <row r="25" spans="1:16" x14ac:dyDescent="0.45">
      <c r="A25" t="str">
        <f>'State Depts'!I25</f>
        <v>Ashens Cemetery Trust</v>
      </c>
      <c r="P25" t="s">
        <v>4780</v>
      </c>
    </row>
    <row r="26" spans="1:16" x14ac:dyDescent="0.45">
      <c r="A26" t="str">
        <f>'State Depts'!I26</f>
        <v>Austhos Pty Ltd</v>
      </c>
      <c r="P26" t="s">
        <v>4781</v>
      </c>
    </row>
    <row r="27" spans="1:16" x14ac:dyDescent="0.45">
      <c r="A27" t="str">
        <f>'State Depts'!I27</f>
        <v>Austin Health</v>
      </c>
      <c r="P27" t="s">
        <v>4782</v>
      </c>
    </row>
    <row r="28" spans="1:16" x14ac:dyDescent="0.45">
      <c r="A28" t="str">
        <f>'State Depts'!I28</f>
        <v>Austin Medical Research Foundation</v>
      </c>
      <c r="P28" t="s">
        <v>4783</v>
      </c>
    </row>
    <row r="29" spans="1:16" x14ac:dyDescent="0.45">
      <c r="A29" t="str">
        <f>'State Depts'!I29</f>
        <v>Avenel Cemetery Trust</v>
      </c>
      <c r="P29" t="s">
        <v>4757</v>
      </c>
    </row>
    <row r="30" spans="1:16" x14ac:dyDescent="0.45">
      <c r="A30" t="str">
        <f>'State Depts'!I30</f>
        <v>Avoca Cemetery Trust</v>
      </c>
      <c r="P30" t="s">
        <v>4793</v>
      </c>
    </row>
    <row r="31" spans="1:16" x14ac:dyDescent="0.45">
      <c r="A31" t="str">
        <f>'State Depts'!I31</f>
        <v>Bairnsdale Cemetery Trust</v>
      </c>
      <c r="P31" t="s">
        <v>4794</v>
      </c>
    </row>
    <row r="32" spans="1:16" x14ac:dyDescent="0.45">
      <c r="A32" t="str">
        <f>'State Depts'!I32</f>
        <v>Bairnsdale Regional Health Service</v>
      </c>
      <c r="P32" t="s">
        <v>4784</v>
      </c>
    </row>
    <row r="33" spans="1:16" x14ac:dyDescent="0.45">
      <c r="A33" t="str">
        <f>'State Depts'!I33</f>
        <v>Baker Heart and Diabetes Institute Ltd</v>
      </c>
      <c r="P33" t="s">
        <v>4795</v>
      </c>
    </row>
    <row r="34" spans="1:16" x14ac:dyDescent="0.45">
      <c r="A34" t="str">
        <f>'State Depts'!I34</f>
        <v>Ballan Cemetery Trust</v>
      </c>
      <c r="P34" t="s">
        <v>4796</v>
      </c>
    </row>
    <row r="35" spans="1:16" x14ac:dyDescent="0.45">
      <c r="A35" t="str">
        <f>'State Depts'!I35</f>
        <v>Ballangeich Cemetery Trust</v>
      </c>
      <c r="P35" t="s">
        <v>4797</v>
      </c>
    </row>
    <row r="36" spans="1:16" x14ac:dyDescent="0.45">
      <c r="A36" t="str">
        <f>'State Depts'!I36</f>
        <v>Ballarat and District Aboriginal Co-operative Ltd</v>
      </c>
      <c r="P36" t="s">
        <v>4786</v>
      </c>
    </row>
    <row r="37" spans="1:16" x14ac:dyDescent="0.45">
      <c r="A37" t="str">
        <f>'State Depts'!I37</f>
        <v>Ballarat District Nursing and Healthcare</v>
      </c>
      <c r="P37" t="s">
        <v>4787</v>
      </c>
    </row>
    <row r="38" spans="1:16" x14ac:dyDescent="0.45">
      <c r="A38" t="str">
        <f>'State Depts'!I38</f>
        <v>Ballarat General Cemeteries Trust</v>
      </c>
      <c r="P38" t="s">
        <v>4853</v>
      </c>
    </row>
    <row r="39" spans="1:16" x14ac:dyDescent="0.45">
      <c r="A39" t="str">
        <f>'State Depts'!I39</f>
        <v>Ballarat Health Services</v>
      </c>
      <c r="P39" t="s">
        <v>4788</v>
      </c>
    </row>
    <row r="40" spans="1:16" x14ac:dyDescent="0.45">
      <c r="A40" t="str">
        <f>'State Depts'!I40</f>
        <v>Ballarat Hospice Care Inc.</v>
      </c>
      <c r="P40" t="s">
        <v>4798</v>
      </c>
    </row>
    <row r="41" spans="1:16" x14ac:dyDescent="0.45">
      <c r="A41" t="str">
        <f>'State Depts'!I41</f>
        <v>Balmoral Bush Nursing Centre</v>
      </c>
      <c r="P41" t="s">
        <v>4789</v>
      </c>
    </row>
    <row r="42" spans="1:16" x14ac:dyDescent="0.45">
      <c r="A42" t="str">
        <f>'State Depts'!I42</f>
        <v>Balmoral Cemetery Trust</v>
      </c>
      <c r="P42" t="s">
        <v>4799</v>
      </c>
    </row>
    <row r="43" spans="1:16" x14ac:dyDescent="0.45">
      <c r="A43" t="str">
        <f>'State Depts'!I43</f>
        <v>Bambra Cemetery Trust</v>
      </c>
      <c r="P43" t="s">
        <v>4790</v>
      </c>
    </row>
    <row r="44" spans="1:16" x14ac:dyDescent="0.45">
      <c r="A44" t="str">
        <f>'State Depts'!I44</f>
        <v>Banksia Palliative Care Service Inc.</v>
      </c>
      <c r="P44" t="s">
        <v>4800</v>
      </c>
    </row>
    <row r="45" spans="1:16" x14ac:dyDescent="0.45">
      <c r="A45" t="str">
        <f>'State Depts'!I45</f>
        <v>Bannerton Cemetery Trust</v>
      </c>
      <c r="P45" t="s">
        <v>4801</v>
      </c>
    </row>
    <row r="46" spans="1:16" x14ac:dyDescent="0.45">
      <c r="A46" t="str">
        <f>'State Depts'!I46</f>
        <v>Bannockburn Cemetery Trust</v>
      </c>
      <c r="P46" t="s">
        <v>4802</v>
      </c>
    </row>
    <row r="47" spans="1:16" x14ac:dyDescent="0.45">
      <c r="A47" t="str">
        <f>'State Depts'!I47</f>
        <v>Banyule Cemeteries Trust</v>
      </c>
      <c r="P47" t="s">
        <v>4803</v>
      </c>
    </row>
    <row r="48" spans="1:16" x14ac:dyDescent="0.45">
      <c r="A48" t="str">
        <f>'State Depts'!I48</f>
        <v>Banyule Community Health</v>
      </c>
      <c r="P48" t="s">
        <v>4850</v>
      </c>
    </row>
    <row r="49" spans="1:16" x14ac:dyDescent="0.45">
      <c r="A49" t="str">
        <f>'State Depts'!I49</f>
        <v>Baringhup Cemetery Trust</v>
      </c>
      <c r="P49" t="s">
        <v>4804</v>
      </c>
    </row>
    <row r="50" spans="1:16" x14ac:dyDescent="0.45">
      <c r="A50" t="str">
        <f>'State Depts'!I50</f>
        <v>Barkly Cemetery Trust</v>
      </c>
      <c r="P50" t="s">
        <v>4805</v>
      </c>
    </row>
    <row r="51" spans="1:16" x14ac:dyDescent="0.45">
      <c r="A51" t="str">
        <f>'State Depts'!I51</f>
        <v>Barmah Cemetery Trust</v>
      </c>
      <c r="P51" t="s">
        <v>4814</v>
      </c>
    </row>
    <row r="52" spans="1:16" x14ac:dyDescent="0.45">
      <c r="A52" t="str">
        <f>'State Depts'!I52</f>
        <v>Barnawartha Cemetery Trust</v>
      </c>
      <c r="P52" t="s">
        <v>4811</v>
      </c>
    </row>
    <row r="53" spans="1:16" x14ac:dyDescent="0.45">
      <c r="A53" t="str">
        <f>'State Depts'!I53</f>
        <v>Barwon Centre Against Sexual Assault</v>
      </c>
      <c r="P53" t="s">
        <v>4812</v>
      </c>
    </row>
    <row r="54" spans="1:16" x14ac:dyDescent="0.45">
      <c r="A54" t="str">
        <f>'State Depts'!I54</f>
        <v>Barwon Health</v>
      </c>
      <c r="P54" t="s">
        <v>4792</v>
      </c>
    </row>
    <row r="55" spans="1:16" x14ac:dyDescent="0.45">
      <c r="A55" t="str">
        <f>'State Depts'!I55</f>
        <v>Bass Coast Health</v>
      </c>
      <c r="P55" t="s">
        <v>4815</v>
      </c>
    </row>
    <row r="56" spans="1:16" x14ac:dyDescent="0.45">
      <c r="A56" t="str">
        <f>'State Depts'!I56</f>
        <v>Bealiba Cemetery Trust</v>
      </c>
      <c r="P56" t="s">
        <v>4851</v>
      </c>
    </row>
    <row r="57" spans="1:16" x14ac:dyDescent="0.45">
      <c r="A57" t="str">
        <f>'State Depts'!I57</f>
        <v>Beaufort And Skipton Health Service</v>
      </c>
      <c r="P57" t="s">
        <v>10659</v>
      </c>
    </row>
    <row r="58" spans="1:16" x14ac:dyDescent="0.45">
      <c r="A58" t="str">
        <f>'State Depts'!I58</f>
        <v>Beaufort Cemetery Trust</v>
      </c>
      <c r="P58" t="s">
        <v>4816</v>
      </c>
    </row>
    <row r="59" spans="1:16" x14ac:dyDescent="0.45">
      <c r="A59" t="str">
        <f>'State Depts'!I59</f>
        <v>Beechworth Cemetery Trust</v>
      </c>
      <c r="P59" t="s">
        <v>4817</v>
      </c>
    </row>
    <row r="60" spans="1:16" x14ac:dyDescent="0.45">
      <c r="A60" t="str">
        <f>'State Depts'!I60</f>
        <v>Beechworth Health Service</v>
      </c>
      <c r="P60" t="s">
        <v>4807</v>
      </c>
    </row>
    <row r="61" spans="1:16" x14ac:dyDescent="0.45">
      <c r="A61" t="str">
        <f>'State Depts'!I61</f>
        <v>Beenak Cemetery Trust</v>
      </c>
      <c r="P61" t="s">
        <v>4791</v>
      </c>
    </row>
    <row r="62" spans="1:16" x14ac:dyDescent="0.45">
      <c r="A62" t="str">
        <f>'State Depts'!I62</f>
        <v>Bellarine Community Health Ltd</v>
      </c>
      <c r="P62" t="s">
        <v>4806</v>
      </c>
    </row>
    <row r="63" spans="1:16" x14ac:dyDescent="0.45">
      <c r="A63" t="str">
        <f>'State Depts'!I63</f>
        <v>Bellbrae Cemetery Trust</v>
      </c>
      <c r="P63" t="s">
        <v>4808</v>
      </c>
    </row>
    <row r="64" spans="1:16" x14ac:dyDescent="0.45">
      <c r="A64" t="str">
        <f>'State Depts'!I64</f>
        <v>Bellellen Cemetery Trust</v>
      </c>
      <c r="P64" t="s">
        <v>4818</v>
      </c>
    </row>
    <row r="65" spans="1:16" x14ac:dyDescent="0.45">
      <c r="A65" t="str">
        <f>'State Depts'!I65</f>
        <v>Benalla Cemetery Trust</v>
      </c>
      <c r="P65" t="s">
        <v>4819</v>
      </c>
    </row>
    <row r="66" spans="1:16" x14ac:dyDescent="0.45">
      <c r="A66" t="str">
        <f>'State Depts'!I66</f>
        <v>Benalla Health</v>
      </c>
      <c r="P66" t="s">
        <v>4810</v>
      </c>
    </row>
    <row r="67" spans="1:16" x14ac:dyDescent="0.45">
      <c r="A67" t="str">
        <f>'State Depts'!I67</f>
        <v>Benambra Cemetery Trust</v>
      </c>
      <c r="P67" t="s">
        <v>4852</v>
      </c>
    </row>
    <row r="68" spans="1:16" x14ac:dyDescent="0.45">
      <c r="A68" t="str">
        <f>'State Depts'!I68</f>
        <v>Bendigo and District Aboriginal Co-operative</v>
      </c>
      <c r="P68" t="s">
        <v>4820</v>
      </c>
    </row>
    <row r="69" spans="1:16" x14ac:dyDescent="0.45">
      <c r="A69" t="str">
        <f>'State Depts'!I69</f>
        <v>Bendigo Cemeteries Trust</v>
      </c>
      <c r="P69" t="s">
        <v>4746</v>
      </c>
    </row>
    <row r="70" spans="1:16" x14ac:dyDescent="0.45">
      <c r="A70" t="str">
        <f>'State Depts'!I70</f>
        <v>Bendigo Health</v>
      </c>
      <c r="P70" t="s">
        <v>4821</v>
      </c>
    </row>
    <row r="71" spans="1:16" x14ac:dyDescent="0.45">
      <c r="A71" t="str">
        <f>'State Depts'!I71</f>
        <v>Bendoc Cemetery Trust</v>
      </c>
      <c r="P71" t="s">
        <v>4823</v>
      </c>
    </row>
    <row r="72" spans="1:16" x14ac:dyDescent="0.45">
      <c r="A72" t="str">
        <f>'State Depts'!I72</f>
        <v>Bentleigh-Bayside Community Health</v>
      </c>
      <c r="P72" t="s">
        <v>4824</v>
      </c>
    </row>
    <row r="73" spans="1:16" x14ac:dyDescent="0.45">
      <c r="A73" t="str">
        <f>'State Depts'!I73</f>
        <v>Berriwillock Cemetery Trust</v>
      </c>
      <c r="P73" t="s">
        <v>4747</v>
      </c>
    </row>
    <row r="74" spans="1:16" x14ac:dyDescent="0.45">
      <c r="A74" t="str">
        <f>'State Depts'!I74</f>
        <v>Berwick And Harkaway Cemetery Trust</v>
      </c>
      <c r="P74" t="s">
        <v>4748</v>
      </c>
    </row>
    <row r="75" spans="1:16" x14ac:dyDescent="0.45">
      <c r="A75" t="str">
        <f>'State Depts'!I75</f>
        <v>Bethanga Cemetery Trust</v>
      </c>
      <c r="P75" t="s">
        <v>4854</v>
      </c>
    </row>
    <row r="76" spans="1:16" x14ac:dyDescent="0.45">
      <c r="A76" t="str">
        <f>'State Depts'!I76</f>
        <v>Beulah Cemetery Trust</v>
      </c>
      <c r="P76" t="s">
        <v>4749</v>
      </c>
    </row>
    <row r="77" spans="1:16" x14ac:dyDescent="0.45">
      <c r="A77" t="str">
        <f>'State Depts'!I77</f>
        <v>Birchip Cemetery Trust</v>
      </c>
      <c r="P77" t="s">
        <v>4855</v>
      </c>
    </row>
    <row r="78" spans="1:16" x14ac:dyDescent="0.45">
      <c r="A78" t="str">
        <f>'State Depts'!I78</f>
        <v>Blackheath Cemetery</v>
      </c>
      <c r="P78" t="s">
        <v>4825</v>
      </c>
    </row>
    <row r="79" spans="1:16" x14ac:dyDescent="0.45">
      <c r="A79" t="str">
        <f>'State Depts'!I79</f>
        <v>Blackwood Cemetery Trust</v>
      </c>
      <c r="P79" t="s">
        <v>4750</v>
      </c>
    </row>
    <row r="80" spans="1:16" x14ac:dyDescent="0.45">
      <c r="A80" t="str">
        <f>'State Depts'!I80</f>
        <v>Boinka Cemetery Trust</v>
      </c>
      <c r="P80" t="s">
        <v>4826</v>
      </c>
    </row>
    <row r="81" spans="1:16" x14ac:dyDescent="0.45">
      <c r="A81" t="str">
        <f>'State Depts'!I81</f>
        <v>Boolara Cemetery Trust</v>
      </c>
      <c r="P81" t="s">
        <v>4751</v>
      </c>
    </row>
    <row r="82" spans="1:16" x14ac:dyDescent="0.45">
      <c r="A82" t="str">
        <f>'State Depts'!I82</f>
        <v>Boorhaman Cemetery Trust</v>
      </c>
      <c r="P82" t="s">
        <v>4759</v>
      </c>
    </row>
    <row r="83" spans="1:16" x14ac:dyDescent="0.45">
      <c r="A83" t="str">
        <f>'State Depts'!I83</f>
        <v>Boort Cemetery Trust</v>
      </c>
      <c r="P83" t="s">
        <v>4827</v>
      </c>
    </row>
    <row r="84" spans="1:16" x14ac:dyDescent="0.45">
      <c r="A84" t="str">
        <f>'State Depts'!I84</f>
        <v>Boort District Health</v>
      </c>
      <c r="P84" t="s">
        <v>4822</v>
      </c>
    </row>
    <row r="85" spans="1:16" x14ac:dyDescent="0.45">
      <c r="A85" t="str">
        <f>'State Depts'!I85</f>
        <v>Boram Boram Cemetery Trust</v>
      </c>
      <c r="P85" t="s">
        <v>4758</v>
      </c>
    </row>
    <row r="86" spans="1:16" x14ac:dyDescent="0.45">
      <c r="A86" t="str">
        <f>'State Depts'!I86</f>
        <v>Boroondara Cemetery Trust (Kew)</v>
      </c>
      <c r="P86" t="s">
        <v>4856</v>
      </c>
    </row>
    <row r="87" spans="1:16" x14ac:dyDescent="0.45">
      <c r="A87" t="str">
        <f>'State Depts'!I87</f>
        <v>Bowman Forest Cemetery Trust</v>
      </c>
      <c r="P87" t="s">
        <v>4828</v>
      </c>
    </row>
    <row r="88" spans="1:16" x14ac:dyDescent="0.45">
      <c r="A88" t="str">
        <f>'State Depts'!I88</f>
        <v>Box Hill Cemetery Trust</v>
      </c>
      <c r="P88" t="s">
        <v>4829</v>
      </c>
    </row>
    <row r="89" spans="1:16" x14ac:dyDescent="0.45">
      <c r="A89" t="str">
        <f>'State Depts'!I89</f>
        <v>Branxholme Cemetery Trust</v>
      </c>
      <c r="P89" t="s">
        <v>4951</v>
      </c>
    </row>
    <row r="90" spans="1:16" x14ac:dyDescent="0.45">
      <c r="A90" t="str">
        <f>'State Depts'!I90</f>
        <v>BreastScreen Victoria</v>
      </c>
      <c r="P90" t="s">
        <v>4830</v>
      </c>
    </row>
    <row r="91" spans="1:16" x14ac:dyDescent="0.45">
      <c r="A91" t="str">
        <f>'State Depts'!I91</f>
        <v>Briagolong Cemetery Trust</v>
      </c>
      <c r="P91" t="s">
        <v>4831</v>
      </c>
    </row>
    <row r="92" spans="1:16" x14ac:dyDescent="0.45">
      <c r="A92" t="str">
        <f>'State Depts'!I92</f>
        <v>Bridgewater Cemetery Trust</v>
      </c>
      <c r="P92" t="s">
        <v>4832</v>
      </c>
    </row>
    <row r="93" spans="1:16" x14ac:dyDescent="0.45">
      <c r="A93" t="str">
        <f>'State Depts'!I93</f>
        <v>Bright Cemetery Trust</v>
      </c>
      <c r="P93" t="s">
        <v>4833</v>
      </c>
    </row>
    <row r="94" spans="1:16" x14ac:dyDescent="0.45">
      <c r="A94" t="str">
        <f>'State Depts'!I94</f>
        <v>Brim Cemetery Trust</v>
      </c>
      <c r="P94" t="s">
        <v>4834</v>
      </c>
    </row>
    <row r="95" spans="1:16" x14ac:dyDescent="0.45">
      <c r="A95" t="str">
        <f>'State Depts'!I95</f>
        <v>Brimpaen Cemetery Trust</v>
      </c>
      <c r="P95" t="s">
        <v>4813</v>
      </c>
    </row>
    <row r="96" spans="1:16" x14ac:dyDescent="0.45">
      <c r="A96" t="str">
        <f>'State Depts'!I96</f>
        <v>Broadford Cemetery Trust</v>
      </c>
      <c r="P96" t="s">
        <v>4857</v>
      </c>
    </row>
    <row r="97" spans="1:16" x14ac:dyDescent="0.45">
      <c r="A97" t="str">
        <f>'State Depts'!I97</f>
        <v>Brunswick Industries Association Inc.</v>
      </c>
      <c r="P97" t="s">
        <v>4835</v>
      </c>
    </row>
    <row r="98" spans="1:16" x14ac:dyDescent="0.45">
      <c r="A98" t="str">
        <f>'State Depts'!I98</f>
        <v>Bruthen Cemetery Trust</v>
      </c>
      <c r="P98" t="s">
        <v>4836</v>
      </c>
    </row>
    <row r="99" spans="1:16" x14ac:dyDescent="0.45">
      <c r="A99" t="str">
        <f>'State Depts'!I99</f>
        <v>Buangor Cemetery Trust</v>
      </c>
      <c r="P99" t="s">
        <v>4837</v>
      </c>
    </row>
    <row r="100" spans="1:16" x14ac:dyDescent="0.45">
      <c r="A100" t="str">
        <f>'State Depts'!I100</f>
        <v>Buchan Bush Nursing Association Inc.</v>
      </c>
      <c r="P100" t="s">
        <v>4838</v>
      </c>
    </row>
    <row r="101" spans="1:16" x14ac:dyDescent="0.45">
      <c r="A101" t="str">
        <f>'State Depts'!I101</f>
        <v>Buchan Cemetery Trust</v>
      </c>
      <c r="P101" t="s">
        <v>4858</v>
      </c>
    </row>
    <row r="102" spans="1:16" x14ac:dyDescent="0.45">
      <c r="A102" t="str">
        <f>'State Depts'!I102</f>
        <v>Budja Budja Aboriginal Co-Operative Ltd</v>
      </c>
      <c r="P102" t="s">
        <v>4839</v>
      </c>
    </row>
    <row r="103" spans="1:16" x14ac:dyDescent="0.45">
      <c r="A103" t="str">
        <f>'State Depts'!I103</f>
        <v>Bulla Cemetery Trust</v>
      </c>
      <c r="P103" t="s">
        <v>4840</v>
      </c>
    </row>
    <row r="104" spans="1:16" x14ac:dyDescent="0.45">
      <c r="A104" t="str">
        <f>'State Depts'!I104</f>
        <v>Bullarto Cemetery Trust</v>
      </c>
      <c r="P104" t="s">
        <v>4809</v>
      </c>
    </row>
    <row r="105" spans="1:16" x14ac:dyDescent="0.45">
      <c r="A105" t="str">
        <f>'State Depts'!I105</f>
        <v>Bumberrah Cemetery Trust</v>
      </c>
      <c r="P105" t="s">
        <v>4841</v>
      </c>
    </row>
    <row r="106" spans="1:16" x14ac:dyDescent="0.45">
      <c r="A106" t="str">
        <f>'State Depts'!I106</f>
        <v>Bung Bong &amp; Wareek Cemetery Trust</v>
      </c>
      <c r="P106" t="s">
        <v>4842</v>
      </c>
    </row>
    <row r="107" spans="1:16" x14ac:dyDescent="0.45">
      <c r="A107" t="str">
        <f>'State Depts'!I107</f>
        <v>Bungaree Cemetery Trust</v>
      </c>
      <c r="P107" t="s">
        <v>4843</v>
      </c>
    </row>
    <row r="108" spans="1:16" x14ac:dyDescent="0.45">
      <c r="A108" t="str">
        <f>'State Depts'!I108</f>
        <v>Buninyong Cemetery Trust</v>
      </c>
      <c r="P108" t="s">
        <v>4844</v>
      </c>
    </row>
    <row r="109" spans="1:16" x14ac:dyDescent="0.45">
      <c r="A109" t="str">
        <f>'State Depts'!I109</f>
        <v>Bunyip Cemetery Trust</v>
      </c>
      <c r="P109" t="s">
        <v>4845</v>
      </c>
    </row>
    <row r="110" spans="1:16" x14ac:dyDescent="0.45">
      <c r="A110" t="str">
        <f>'State Depts'!I110</f>
        <v>Burrum Burrum Cemetery Trust</v>
      </c>
      <c r="P110" t="s">
        <v>4846</v>
      </c>
    </row>
    <row r="111" spans="1:16" x14ac:dyDescent="0.45">
      <c r="A111" t="str">
        <f>'State Depts'!I111</f>
        <v>Byaduk Cemetery Trust</v>
      </c>
      <c r="P111" t="s">
        <v>4847</v>
      </c>
    </row>
    <row r="112" spans="1:16" x14ac:dyDescent="0.45">
      <c r="A112" t="str">
        <f>'State Depts'!I112</f>
        <v>Byaduk North Cemetery Trust</v>
      </c>
      <c r="P112" t="s">
        <v>4752</v>
      </c>
    </row>
    <row r="113" spans="1:16" x14ac:dyDescent="0.45">
      <c r="A113" t="str">
        <f>'State Depts'!I113</f>
        <v>Calvary Health Care Bethlehem</v>
      </c>
      <c r="P113" t="s">
        <v>4848</v>
      </c>
    </row>
    <row r="114" spans="1:16" x14ac:dyDescent="0.45">
      <c r="A114" t="str">
        <f>'State Depts'!I114</f>
        <v>Camperdown Cemetery Trust</v>
      </c>
      <c r="P114" t="s">
        <v>4849</v>
      </c>
    </row>
    <row r="115" spans="1:16" x14ac:dyDescent="0.45">
      <c r="A115" t="str">
        <f>'State Depts'!I115</f>
        <v>Cancer Council Victoria</v>
      </c>
    </row>
    <row r="116" spans="1:16" x14ac:dyDescent="0.45">
      <c r="A116" t="str">
        <f>'State Depts'!I116</f>
        <v>Cancer Trials Australia</v>
      </c>
    </row>
    <row r="117" spans="1:16" x14ac:dyDescent="0.45">
      <c r="A117" t="str">
        <f>'State Depts'!I117</f>
        <v>Cann River Cemetery Trust</v>
      </c>
    </row>
    <row r="118" spans="1:16" x14ac:dyDescent="0.45">
      <c r="A118" t="str">
        <f>'State Depts'!I118</f>
        <v>Cann Valley Bush Nursing Centre Inc.</v>
      </c>
    </row>
    <row r="119" spans="1:16" x14ac:dyDescent="0.45">
      <c r="A119" t="str">
        <f>'State Depts'!I119</f>
        <v>Cape Bridgewater Cemetery Trust</v>
      </c>
    </row>
    <row r="120" spans="1:16" x14ac:dyDescent="0.45">
      <c r="A120" t="str">
        <f>'State Depts'!I120</f>
        <v>Cape Clear Cemetery Trust</v>
      </c>
    </row>
    <row r="121" spans="1:16" x14ac:dyDescent="0.45">
      <c r="A121" t="str">
        <f>'State Depts'!I121</f>
        <v>Caramut Cemetery Trust</v>
      </c>
    </row>
    <row r="122" spans="1:16" x14ac:dyDescent="0.45">
      <c r="A122" t="str">
        <f>'State Depts'!I122</f>
        <v>Carisbrook Cemetery Trust</v>
      </c>
    </row>
    <row r="123" spans="1:16" x14ac:dyDescent="0.45">
      <c r="A123" t="str">
        <f>'State Depts'!I123</f>
        <v>Carlsrhue Cemetery Trust</v>
      </c>
    </row>
    <row r="124" spans="1:16" x14ac:dyDescent="0.45">
      <c r="A124" t="str">
        <f>'State Depts'!I124</f>
        <v>Carlyle Cemetery Trust</v>
      </c>
    </row>
    <row r="125" spans="1:16" x14ac:dyDescent="0.45">
      <c r="A125" t="str">
        <f>'State Depts'!I125</f>
        <v>Carngham Cemetery Trust</v>
      </c>
    </row>
    <row r="126" spans="1:16" x14ac:dyDescent="0.45">
      <c r="A126" t="str">
        <f>'State Depts'!I126</f>
        <v>Carrajung Cemetery Trust</v>
      </c>
    </row>
    <row r="127" spans="1:16" x14ac:dyDescent="0.45">
      <c r="A127" t="str">
        <f>'State Depts'!I127</f>
        <v>Carwarp Cemetery Trust</v>
      </c>
    </row>
    <row r="128" spans="1:16" x14ac:dyDescent="0.45">
      <c r="A128" t="str">
        <f>'State Depts'!I128</f>
        <v>Cassilis Cemetery Trust</v>
      </c>
    </row>
    <row r="129" spans="1:1" x14ac:dyDescent="0.45">
      <c r="A129" t="str">
        <f>'State Depts'!I129</f>
        <v>Casterton (New) Cemetery Trust</v>
      </c>
    </row>
    <row r="130" spans="1:1" x14ac:dyDescent="0.45">
      <c r="A130" t="str">
        <f>'State Depts'!I130</f>
        <v>Casterton Memorial Hospital</v>
      </c>
    </row>
    <row r="131" spans="1:1" x14ac:dyDescent="0.45">
      <c r="A131" t="str">
        <f>'State Depts'!I131</f>
        <v>Castlemaine Cemetery Trust</v>
      </c>
    </row>
    <row r="132" spans="1:1" x14ac:dyDescent="0.45">
      <c r="A132" t="str">
        <f>'State Depts'!I132</f>
        <v>Castlemaine District Community Health Ltd</v>
      </c>
    </row>
    <row r="133" spans="1:1" x14ac:dyDescent="0.45">
      <c r="A133" t="str">
        <f>'State Depts'!I133</f>
        <v>Castlemaine Health</v>
      </c>
    </row>
    <row r="134" spans="1:1" x14ac:dyDescent="0.45">
      <c r="A134" t="str">
        <f>'State Depts'!I134</f>
        <v>Cathcart Cemetery Trust</v>
      </c>
    </row>
    <row r="135" spans="1:1" x14ac:dyDescent="0.45">
      <c r="A135" t="str">
        <f>'State Depts'!I135</f>
        <v>Cathkin Cemetery Trust</v>
      </c>
    </row>
    <row r="136" spans="1:1" x14ac:dyDescent="0.45">
      <c r="A136" t="str">
        <f>'State Depts'!I136</f>
        <v>Cavendish Cemetery Trust</v>
      </c>
    </row>
    <row r="137" spans="1:1" x14ac:dyDescent="0.45">
      <c r="A137" t="str">
        <f>'State Depts'!I137</f>
        <v>Central Bayside Community Health Services Ltd</v>
      </c>
    </row>
    <row r="138" spans="1:1" x14ac:dyDescent="0.45">
      <c r="A138" t="str">
        <f>'State Depts'!I138</f>
        <v>Central Gippsland Health Service</v>
      </c>
    </row>
    <row r="139" spans="1:1" x14ac:dyDescent="0.45">
      <c r="A139" t="str">
        <f>'State Depts'!I139</f>
        <v>Central Highlands Rural Health</v>
      </c>
    </row>
    <row r="140" spans="1:1" x14ac:dyDescent="0.45">
      <c r="A140" t="str">
        <f>'State Depts'!I140</f>
        <v>Centre Against Sexual Assault – Loddon Campaspe Region</v>
      </c>
    </row>
    <row r="141" spans="1:1" x14ac:dyDescent="0.45">
      <c r="A141" t="str">
        <f>'State Depts'!I141</f>
        <v>Centre Against Violence</v>
      </c>
    </row>
    <row r="142" spans="1:1" x14ac:dyDescent="0.45">
      <c r="A142" t="str">
        <f>'State Depts'!I142</f>
        <v>Centre for Eye Research Australia</v>
      </c>
    </row>
    <row r="143" spans="1:1" x14ac:dyDescent="0.45">
      <c r="A143" t="str">
        <f>'State Depts'!I143</f>
        <v>Charlton Cemetery Trust</v>
      </c>
    </row>
    <row r="144" spans="1:1" x14ac:dyDescent="0.45">
      <c r="A144" t="str">
        <f>'State Depts'!I144</f>
        <v>Chetwynd Cemetery Trust</v>
      </c>
    </row>
    <row r="145" spans="1:1" x14ac:dyDescent="0.45">
      <c r="A145" t="str">
        <f>'State Depts'!I145</f>
        <v>Chevra Hatzolah Melbourne Inc.</v>
      </c>
    </row>
    <row r="146" spans="1:1" x14ac:dyDescent="0.45">
      <c r="A146" t="str">
        <f>'State Depts'!I146</f>
        <v>Chewton Cemetery Trust</v>
      </c>
    </row>
    <row r="147" spans="1:1" x14ac:dyDescent="0.45">
      <c r="A147" t="str">
        <f>'State Depts'!I147</f>
        <v>Children's Services Coordination Board</v>
      </c>
    </row>
    <row r="148" spans="1:1" x14ac:dyDescent="0.45">
      <c r="A148" t="str">
        <f>'State Depts'!I148</f>
        <v>Chiltern (New) Cemetery Trust</v>
      </c>
    </row>
    <row r="149" spans="1:1" x14ac:dyDescent="0.45">
      <c r="A149" t="str">
        <f>'State Depts'!I149</f>
        <v>Chinkapook - Eureka Cemetery Trust</v>
      </c>
    </row>
    <row r="150" spans="1:1" x14ac:dyDescent="0.45">
      <c r="A150" t="str">
        <f>'State Depts'!I150</f>
        <v>Chronic Illness Alliance Inc.</v>
      </c>
    </row>
    <row r="151" spans="1:1" x14ac:dyDescent="0.45">
      <c r="A151" t="str">
        <f>'State Depts'!I151</f>
        <v>Clarendon Cemetery Trust</v>
      </c>
    </row>
    <row r="152" spans="1:1" x14ac:dyDescent="0.45">
      <c r="A152" t="str">
        <f>'State Depts'!I152</f>
        <v>Clear Lake Cemetery Trust</v>
      </c>
    </row>
    <row r="153" spans="1:1" x14ac:dyDescent="0.45">
      <c r="A153" t="str">
        <f>'State Depts'!I153</f>
        <v>Clunes Cemetery Trust</v>
      </c>
    </row>
    <row r="154" spans="1:1" x14ac:dyDescent="0.45">
      <c r="A154" t="str">
        <f>'State Depts'!I154</f>
        <v>Cobaw Community Health Services Ltd</v>
      </c>
    </row>
    <row r="155" spans="1:1" x14ac:dyDescent="0.45">
      <c r="A155" t="str">
        <f>'State Depts'!I155</f>
        <v>Cobden Cemetery Trust</v>
      </c>
    </row>
    <row r="156" spans="1:1" x14ac:dyDescent="0.45">
      <c r="A156" t="str">
        <f>'State Depts'!I156</f>
        <v>Cobden District Health Service Inc.</v>
      </c>
    </row>
    <row r="157" spans="1:1" x14ac:dyDescent="0.45">
      <c r="A157" t="str">
        <f>'State Depts'!I157</f>
        <v>Cobram Cemetery Trust</v>
      </c>
    </row>
    <row r="158" spans="1:1" x14ac:dyDescent="0.45">
      <c r="A158" t="str">
        <f>'State Depts'!I158</f>
        <v>Coghills Creek Cemetery Trust</v>
      </c>
    </row>
    <row r="159" spans="1:1" x14ac:dyDescent="0.45">
      <c r="A159" t="str">
        <f>'State Depts'!I159</f>
        <v>Cohealth</v>
      </c>
    </row>
    <row r="160" spans="1:1" x14ac:dyDescent="0.45">
      <c r="A160" t="str">
        <f>'State Depts'!I160</f>
        <v>Cohuna Cemetery Trust</v>
      </c>
    </row>
    <row r="161" spans="1:1" x14ac:dyDescent="0.45">
      <c r="A161" t="str">
        <f>'State Depts'!I161</f>
        <v>Cohuna District Hospital</v>
      </c>
    </row>
    <row r="162" spans="1:1" x14ac:dyDescent="0.45">
      <c r="A162" t="str">
        <f>'State Depts'!I162</f>
        <v>Colac Area Health</v>
      </c>
    </row>
    <row r="163" spans="1:1" x14ac:dyDescent="0.45">
      <c r="A163" t="str">
        <f>'State Depts'!I163</f>
        <v>Colac Cemetery</v>
      </c>
    </row>
    <row r="164" spans="1:1" x14ac:dyDescent="0.45">
      <c r="A164" t="str">
        <f>'State Depts'!I164</f>
        <v>Colbinabbin Cemetery Trust</v>
      </c>
    </row>
    <row r="165" spans="1:1" x14ac:dyDescent="0.45">
      <c r="A165" t="str">
        <f>'State Depts'!I165</f>
        <v>Coleraine Cemetery Trust</v>
      </c>
    </row>
    <row r="166" spans="1:1" x14ac:dyDescent="0.45">
      <c r="A166" t="str">
        <f>'State Depts'!I166</f>
        <v>Commission For Children And Young People</v>
      </c>
    </row>
    <row r="167" spans="1:1" x14ac:dyDescent="0.45">
      <c r="A167" t="str">
        <f>'State Depts'!I167</f>
        <v>Concongella Cemetery Trust</v>
      </c>
    </row>
    <row r="168" spans="1:1" x14ac:dyDescent="0.45">
      <c r="A168" t="str">
        <f>'State Depts'!I168</f>
        <v>Condah Cemetery Trust</v>
      </c>
    </row>
    <row r="169" spans="1:1" x14ac:dyDescent="0.45">
      <c r="A169" t="str">
        <f>'State Depts'!I169</f>
        <v>Consultative Council for Clinical Trials Research</v>
      </c>
    </row>
    <row r="170" spans="1:1" x14ac:dyDescent="0.45">
      <c r="A170" t="str">
        <f>'State Depts'!I170</f>
        <v>Consultative Council On Obstetric And Paediatric Mortality And Morbidity</v>
      </c>
    </row>
    <row r="171" spans="1:1" x14ac:dyDescent="0.45">
      <c r="A171" t="str">
        <f>'State Depts'!I171</f>
        <v>Coongulmerang Cemetery Trust</v>
      </c>
    </row>
    <row r="172" spans="1:1" x14ac:dyDescent="0.45">
      <c r="A172" t="str">
        <f>'State Depts'!I172</f>
        <v>Corack Cemetery Trust</v>
      </c>
    </row>
    <row r="173" spans="1:1" x14ac:dyDescent="0.45">
      <c r="A173" t="str">
        <f>'State Depts'!I173</f>
        <v>Corinella Cemetery Trust</v>
      </c>
    </row>
    <row r="174" spans="1:1" x14ac:dyDescent="0.45">
      <c r="A174" t="str">
        <f>'State Depts'!I174</f>
        <v>Corop Cemetery Trust</v>
      </c>
    </row>
    <row r="175" spans="1:1" x14ac:dyDescent="0.45">
      <c r="A175" t="str">
        <f>'State Depts'!I175</f>
        <v>Corryong Health</v>
      </c>
    </row>
    <row r="176" spans="1:1" x14ac:dyDescent="0.45">
      <c r="A176" t="str">
        <f>'State Depts'!I176</f>
        <v>Council Of Board Chairs</v>
      </c>
    </row>
    <row r="177" spans="1:1" x14ac:dyDescent="0.45">
      <c r="A177" t="str">
        <f>'State Depts'!I177</f>
        <v>Cowangie Cemetery Trust</v>
      </c>
    </row>
    <row r="178" spans="1:1" x14ac:dyDescent="0.45">
      <c r="A178" t="str">
        <f>'State Depts'!I178</f>
        <v>Cranbourne Cemetery Trust</v>
      </c>
    </row>
    <row r="179" spans="1:1" x14ac:dyDescent="0.45">
      <c r="A179" t="str">
        <f>'State Depts'!I179</f>
        <v>Cressy Cemetery Trust</v>
      </c>
    </row>
    <row r="180" spans="1:1" x14ac:dyDescent="0.45">
      <c r="A180" t="str">
        <f>'State Depts'!I180</f>
        <v>Creswick Cemetery Trust</v>
      </c>
    </row>
    <row r="181" spans="1:1" x14ac:dyDescent="0.45">
      <c r="A181" t="str">
        <f>'State Depts'!I181</f>
        <v>Crib Point Cemetery Trust</v>
      </c>
    </row>
    <row r="182" spans="1:1" x14ac:dyDescent="0.45">
      <c r="A182" t="str">
        <f>'State Depts'!I182</f>
        <v>Crowlands Cemetery Trust</v>
      </c>
    </row>
    <row r="183" spans="1:1" x14ac:dyDescent="0.45">
      <c r="A183" t="str">
        <f>'State Depts'!I183</f>
        <v>Cudgewa (Wabba) Cemetery Trust</v>
      </c>
    </row>
    <row r="184" spans="1:1" x14ac:dyDescent="0.45">
      <c r="A184" t="str">
        <f>'State Depts'!I184</f>
        <v>Culgoa (Kaniera) Cemetery Trust</v>
      </c>
    </row>
    <row r="185" spans="1:1" x14ac:dyDescent="0.45">
      <c r="A185" t="str">
        <f>'State Depts'!I185</f>
        <v>Dahwedarre Cemetery Trust</v>
      </c>
    </row>
    <row r="186" spans="1:1" x14ac:dyDescent="0.45">
      <c r="A186" t="str">
        <f>'State Depts'!I186</f>
        <v>Dandenong and District Aborigines Co-operative Ltd</v>
      </c>
    </row>
    <row r="187" spans="1:1" x14ac:dyDescent="0.45">
      <c r="A187" t="str">
        <f>'State Depts'!I187</f>
        <v>Darebin Community Health Service</v>
      </c>
    </row>
    <row r="188" spans="1:1" x14ac:dyDescent="0.45">
      <c r="A188" t="str">
        <f>'State Depts'!I188</f>
        <v>Dargo Bush Nursing Centre Inc.</v>
      </c>
    </row>
    <row r="189" spans="1:1" x14ac:dyDescent="0.45">
      <c r="A189" t="str">
        <f>'State Depts'!I189</f>
        <v>Dargo Cemetery Trust</v>
      </c>
    </row>
    <row r="190" spans="1:1" x14ac:dyDescent="0.45">
      <c r="A190" t="str">
        <f>'State Depts'!I190</f>
        <v>Darlingford Upper Goulburn Nursing Home Inc.</v>
      </c>
    </row>
    <row r="191" spans="1:1" x14ac:dyDescent="0.45">
      <c r="A191" t="str">
        <f>'State Depts'!I191</f>
        <v>Darlington Cemetery Trust</v>
      </c>
    </row>
    <row r="192" spans="1:1" x14ac:dyDescent="0.45">
      <c r="A192" t="str">
        <f>'State Depts'!I192</f>
        <v>Darraweit Guim Cemetery Trust</v>
      </c>
    </row>
    <row r="193" spans="1:1" x14ac:dyDescent="0.45">
      <c r="A193" t="str">
        <f>'State Depts'!I193</f>
        <v>Dartmoor and District Bush Nursing Centre Inc.</v>
      </c>
    </row>
    <row r="194" spans="1:1" x14ac:dyDescent="0.45">
      <c r="A194" t="str">
        <f>'State Depts'!I194</f>
        <v>Dartmoor Cemetery Trust</v>
      </c>
    </row>
    <row r="195" spans="1:1" x14ac:dyDescent="0.45">
      <c r="A195" t="str">
        <f>'State Depts'!I195</f>
        <v>Daylesford Cemetery Trust</v>
      </c>
    </row>
    <row r="196" spans="1:1" x14ac:dyDescent="0.45">
      <c r="A196" t="str">
        <f>'State Depts'!I196</f>
        <v>Deep Lead Cemetery Trust</v>
      </c>
    </row>
    <row r="197" spans="1:1" x14ac:dyDescent="0.45">
      <c r="A197" t="str">
        <f>'State Depts'!I197</f>
        <v>Dental Health Services Victoria</v>
      </c>
    </row>
    <row r="198" spans="1:1" x14ac:dyDescent="0.45">
      <c r="A198" t="str">
        <f>'State Depts'!I198</f>
        <v>Department of Health and Human Services (DHHS)</v>
      </c>
    </row>
    <row r="199" spans="1:1" x14ac:dyDescent="0.45">
      <c r="A199" t="str">
        <f>'State Depts'!I199</f>
        <v>Dergholm Cemetery Trust</v>
      </c>
    </row>
    <row r="200" spans="1:1" x14ac:dyDescent="0.45">
      <c r="A200" t="str">
        <f>'State Depts'!I200</f>
        <v>Derrinallum Cemetery Trust</v>
      </c>
    </row>
    <row r="201" spans="1:1" x14ac:dyDescent="0.45">
      <c r="A201" t="str">
        <f>'State Depts'!I201</f>
        <v>Devenish Cemetery Trust</v>
      </c>
    </row>
    <row r="202" spans="1:1" x14ac:dyDescent="0.45">
      <c r="A202" t="str">
        <f>'State Depts'!I202</f>
        <v>Dhauwurd-Wurrung Portland and District Aboriginal Community Health Service Inc</v>
      </c>
    </row>
    <row r="203" spans="1:1" x14ac:dyDescent="0.45">
      <c r="A203" t="str">
        <f>'State Depts'!I203</f>
        <v>Dianella Community Health Ltd</v>
      </c>
    </row>
    <row r="204" spans="1:1" x14ac:dyDescent="0.45">
      <c r="A204" t="str">
        <f>'State Depts'!I204</f>
        <v>Digby Cemetery Trust</v>
      </c>
    </row>
    <row r="205" spans="1:1" x14ac:dyDescent="0.45">
      <c r="A205" t="str">
        <f>'State Depts'!I205</f>
        <v>Dimboola Cemetery Trust</v>
      </c>
    </row>
    <row r="206" spans="1:1" x14ac:dyDescent="0.45">
      <c r="A206" t="str">
        <f>'State Depts'!I206</f>
        <v>Dingee Bush Nursing Centre Inc.</v>
      </c>
    </row>
    <row r="207" spans="1:1" x14ac:dyDescent="0.45">
      <c r="A207" t="str">
        <f>'State Depts'!I207</f>
        <v>Disability Services Board</v>
      </c>
    </row>
    <row r="208" spans="1:1" x14ac:dyDescent="0.45">
      <c r="A208" t="str">
        <f>'State Depts'!I208</f>
        <v>Disability Services Commissioner</v>
      </c>
    </row>
    <row r="209" spans="1:1" x14ac:dyDescent="0.45">
      <c r="A209" t="str">
        <f>'State Depts'!I209</f>
        <v>Djerriwarrh Health Services</v>
      </c>
    </row>
    <row r="210" spans="1:1" x14ac:dyDescent="0.45">
      <c r="A210" t="str">
        <f>'State Depts'!I210</f>
        <v>Donald Public Cemetery Trust</v>
      </c>
    </row>
    <row r="211" spans="1:1" x14ac:dyDescent="0.45">
      <c r="A211" t="str">
        <f>'State Depts'!I211</f>
        <v>Donnybrook Cemetery Trust</v>
      </c>
    </row>
    <row r="212" spans="1:1" x14ac:dyDescent="0.45">
      <c r="A212" t="str">
        <f>'State Depts'!I212</f>
        <v>Donwood Community Aged Care Services Inc.</v>
      </c>
    </row>
    <row r="213" spans="1:1" x14ac:dyDescent="0.45">
      <c r="A213" t="str">
        <f>'State Depts'!I213</f>
        <v>Dookie Cemetery Trust</v>
      </c>
    </row>
    <row r="214" spans="1:1" x14ac:dyDescent="0.45">
      <c r="A214" t="str">
        <f>'State Depts'!I214</f>
        <v>Dookie East Cemetery Trust</v>
      </c>
    </row>
    <row r="215" spans="1:1" x14ac:dyDescent="0.45">
      <c r="A215" t="str">
        <f>'State Depts'!I215</f>
        <v>Dowling Forest Cemetery Trust</v>
      </c>
    </row>
    <row r="216" spans="1:1" x14ac:dyDescent="0.45">
      <c r="A216" t="str">
        <f>'State Depts'!I216</f>
        <v>Drik Drik Cemetery Trust</v>
      </c>
    </row>
    <row r="217" spans="1:1" x14ac:dyDescent="0.45">
      <c r="A217" t="str">
        <f>'State Depts'!I217</f>
        <v>Drouin Cemetery Trust</v>
      </c>
    </row>
    <row r="218" spans="1:1" x14ac:dyDescent="0.45">
      <c r="A218" t="str">
        <f>'State Depts'!I218</f>
        <v>Drouin West Cemetery Trust</v>
      </c>
    </row>
    <row r="219" spans="1:1" x14ac:dyDescent="0.45">
      <c r="A219" t="str">
        <f>'State Depts'!I219</f>
        <v>Dunkeld Cemetery Trust</v>
      </c>
    </row>
    <row r="220" spans="1:1" x14ac:dyDescent="0.45">
      <c r="A220" t="str">
        <f>'State Depts'!I220</f>
        <v>Dunolly (New) Cemetery Trust</v>
      </c>
    </row>
    <row r="221" spans="1:1" x14ac:dyDescent="0.45">
      <c r="A221" t="str">
        <f>'State Depts'!I221</f>
        <v>Durham Ox Cemetery Trust</v>
      </c>
    </row>
    <row r="222" spans="1:1" x14ac:dyDescent="0.45">
      <c r="A222" t="str">
        <f>'State Depts'!I222</f>
        <v>East Gippsland Shire Cemetery Trust</v>
      </c>
    </row>
    <row r="223" spans="1:1" x14ac:dyDescent="0.45">
      <c r="A223" t="str">
        <f>'State Depts'!I223</f>
        <v>East Grampians Health Service</v>
      </c>
    </row>
    <row r="224" spans="1:1" x14ac:dyDescent="0.45">
      <c r="A224" t="str">
        <f>'State Depts'!I224</f>
        <v>East Wimmera Health Service</v>
      </c>
    </row>
    <row r="225" spans="1:1" x14ac:dyDescent="0.45">
      <c r="A225" t="str">
        <f>'State Depts'!I225</f>
        <v>Eastern Health</v>
      </c>
    </row>
    <row r="226" spans="1:1" x14ac:dyDescent="0.45">
      <c r="A226" t="str">
        <f>'State Depts'!I226</f>
        <v>Eastern Palliative Care</v>
      </c>
    </row>
    <row r="227" spans="1:1" x14ac:dyDescent="0.45">
      <c r="A227" t="str">
        <f>'State Depts'!I227</f>
        <v>Echuca Cemetery Trust</v>
      </c>
    </row>
    <row r="228" spans="1:1" x14ac:dyDescent="0.45">
      <c r="A228" t="str">
        <f>'State Depts'!I228</f>
        <v>Echuca Regional Health</v>
      </c>
    </row>
    <row r="229" spans="1:1" x14ac:dyDescent="0.45">
      <c r="A229" t="str">
        <f>'State Depts'!I229</f>
        <v>Eddington Cemetery Trust</v>
      </c>
    </row>
    <row r="230" spans="1:1" x14ac:dyDescent="0.45">
      <c r="A230" t="str">
        <f>'State Depts'!I230</f>
        <v>Edenhope And District Memorial Hospital</v>
      </c>
    </row>
    <row r="231" spans="1:1" x14ac:dyDescent="0.45">
      <c r="A231" t="str">
        <f>'State Depts'!I231</f>
        <v>Eganstown Cemetery Trust</v>
      </c>
    </row>
    <row r="232" spans="1:1" x14ac:dyDescent="0.45">
      <c r="A232" t="str">
        <f>'State Depts'!I232</f>
        <v>Eildon Weir Cemetery Trust</v>
      </c>
    </row>
    <row r="233" spans="1:1" x14ac:dyDescent="0.45">
      <c r="A233" t="str">
        <f>'State Depts'!I233</f>
        <v>Elaine Cemetery Trust</v>
      </c>
    </row>
    <row r="234" spans="1:1" x14ac:dyDescent="0.45">
      <c r="A234" t="str">
        <f>'State Depts'!I234</f>
        <v>Eldorado Cemetery Trust</v>
      </c>
    </row>
    <row r="235" spans="1:1" x14ac:dyDescent="0.45">
      <c r="A235" t="str">
        <f>'State Depts'!I235</f>
        <v>Ellerslie Cemetery Trust</v>
      </c>
    </row>
    <row r="236" spans="1:1" x14ac:dyDescent="0.45">
      <c r="A236" t="str">
        <f>'State Depts'!I236</f>
        <v>Elmhurst Bush Nursing Centre Inc.</v>
      </c>
    </row>
    <row r="237" spans="1:1" x14ac:dyDescent="0.45">
      <c r="A237" t="str">
        <f>'State Depts'!I237</f>
        <v>Elmhurst Cemetery Trust</v>
      </c>
    </row>
    <row r="238" spans="1:1" x14ac:dyDescent="0.45">
      <c r="A238" t="str">
        <f>'State Depts'!I238</f>
        <v>Elmore Cemetery Trust</v>
      </c>
    </row>
    <row r="239" spans="1:1" x14ac:dyDescent="0.45">
      <c r="A239" t="str">
        <f>'State Depts'!I239</f>
        <v>Elphinstone Cemetery Trust</v>
      </c>
    </row>
    <row r="240" spans="1:1" x14ac:dyDescent="0.45">
      <c r="A240" t="str">
        <f>'State Depts'!I240</f>
        <v>Eltham Cemetery Trust</v>
      </c>
    </row>
    <row r="241" spans="1:1" x14ac:dyDescent="0.45">
      <c r="A241" t="str">
        <f>'State Depts'!I241</f>
        <v>Ensay Bush Nursing Centre</v>
      </c>
    </row>
    <row r="242" spans="1:1" x14ac:dyDescent="0.45">
      <c r="A242" t="str">
        <f>'State Depts'!I242</f>
        <v>Ensay Cemetery Trust</v>
      </c>
    </row>
    <row r="243" spans="1:1" x14ac:dyDescent="0.45">
      <c r="A243" t="str">
        <f>'State Depts'!I243</f>
        <v>Epping Cemetery Trust</v>
      </c>
    </row>
    <row r="244" spans="1:1" x14ac:dyDescent="0.45">
      <c r="A244" t="str">
        <f>'State Depts'!I244</f>
        <v>Eureka (Chinkapook) Cemetery Trust</v>
      </c>
    </row>
    <row r="245" spans="1:1" x14ac:dyDescent="0.45">
      <c r="A245" t="str">
        <f>'State Depts'!I245</f>
        <v>Euroa Cemetery Trust</v>
      </c>
    </row>
    <row r="246" spans="1:1" x14ac:dyDescent="0.45">
      <c r="A246" t="str">
        <f>'State Depts'!I246</f>
        <v>Family Care Sisters (Grey Sisters) Inc.</v>
      </c>
    </row>
    <row r="247" spans="1:1" x14ac:dyDescent="0.45">
      <c r="A247" t="str">
        <f>'State Depts'!I247</f>
        <v>Family Planning Victoria Inc.</v>
      </c>
    </row>
    <row r="248" spans="1:1" x14ac:dyDescent="0.45">
      <c r="A248" t="str">
        <f>'State Depts'!I248</f>
        <v>Family Safety Victoria</v>
      </c>
    </row>
    <row r="249" spans="1:1" x14ac:dyDescent="0.45">
      <c r="A249" t="str">
        <f>'State Depts'!I249</f>
        <v>Family Violence Housing Assistance Implementation Taskforce</v>
      </c>
    </row>
    <row r="250" spans="1:1" x14ac:dyDescent="0.45">
      <c r="A250" t="str">
        <f>'State Depts'!I250</f>
        <v>Ferntree Gully Cemetery Trust</v>
      </c>
    </row>
    <row r="251" spans="1:1" x14ac:dyDescent="0.45">
      <c r="A251" t="str">
        <f>'State Depts'!I251</f>
        <v>Fight Cancer Foundation Ltd</v>
      </c>
    </row>
    <row r="252" spans="1:1" x14ac:dyDescent="0.45">
      <c r="A252" t="str">
        <f>'State Depts'!I252</f>
        <v>Forensic Leave Panel</v>
      </c>
    </row>
    <row r="253" spans="1:1" x14ac:dyDescent="0.45">
      <c r="A253" t="str">
        <f>'State Depts'!I253</f>
        <v>Foster Cemetery Trust</v>
      </c>
    </row>
    <row r="254" spans="1:1" x14ac:dyDescent="0.45">
      <c r="A254" t="str">
        <f>'State Depts'!I254</f>
        <v>Franklinford Cemetery Trust</v>
      </c>
    </row>
    <row r="255" spans="1:1" x14ac:dyDescent="0.45">
      <c r="A255" t="str">
        <f>'State Depts'!I255</f>
        <v>Frankston Cemetery Trust</v>
      </c>
    </row>
    <row r="256" spans="1:1" x14ac:dyDescent="0.45">
      <c r="A256" t="str">
        <f>'State Depts'!I256</f>
        <v>Frankston Memorial Park</v>
      </c>
    </row>
    <row r="257" spans="1:1" x14ac:dyDescent="0.45">
      <c r="A257" t="str">
        <f>'State Depts'!I257</f>
        <v>French Island Cemetery Trust</v>
      </c>
    </row>
    <row r="258" spans="1:1" x14ac:dyDescent="0.45">
      <c r="A258" t="str">
        <f>'State Depts'!I258</f>
        <v>Fryerstown Cemetery Trust</v>
      </c>
    </row>
    <row r="259" spans="1:1" x14ac:dyDescent="0.45">
      <c r="A259" t="str">
        <f>'State Depts'!I259</f>
        <v>Gaffney's Creek Cemetery Trust</v>
      </c>
    </row>
    <row r="260" spans="1:1" x14ac:dyDescent="0.45">
      <c r="A260" t="str">
        <f>'State Depts'!I260</f>
        <v>Garvoc Cemetery Trust</v>
      </c>
    </row>
    <row r="261" spans="1:1" x14ac:dyDescent="0.45">
      <c r="A261" t="str">
        <f>'State Depts'!I261</f>
        <v>Gateway Health</v>
      </c>
    </row>
    <row r="262" spans="1:1" x14ac:dyDescent="0.45">
      <c r="A262" t="str">
        <f>'State Depts'!I262</f>
        <v>Geelong Cemeteries Trust</v>
      </c>
    </row>
    <row r="263" spans="1:1" x14ac:dyDescent="0.45">
      <c r="A263" t="str">
        <f>'State Depts'!I263</f>
        <v>Gelantipy District Bush Nursing Centre Inc.</v>
      </c>
    </row>
    <row r="264" spans="1:1" x14ac:dyDescent="0.45">
      <c r="A264" t="str">
        <f>'State Depts'!I264</f>
        <v>Gembrook Cemetery Trust</v>
      </c>
    </row>
    <row r="265" spans="1:1" x14ac:dyDescent="0.45">
      <c r="A265" t="str">
        <f>'State Depts'!I265</f>
        <v>Gippsland and East Gippsland Aboriginal Co-operation</v>
      </c>
    </row>
    <row r="266" spans="1:1" x14ac:dyDescent="0.45">
      <c r="A266" t="str">
        <f>'State Depts'!I266</f>
        <v>Gippsland Centre Against Sexual Assault Inc.</v>
      </c>
    </row>
    <row r="267" spans="1:1" x14ac:dyDescent="0.45">
      <c r="A267" t="str">
        <f>'State Depts'!I267</f>
        <v>Gippsland Lakes Community Health</v>
      </c>
    </row>
    <row r="268" spans="1:1" x14ac:dyDescent="0.45">
      <c r="A268" t="str">
        <f>'State Depts'!I268</f>
        <v>Gippsland Memorial Park (Traralgon) Cemetery Trust</v>
      </c>
    </row>
    <row r="269" spans="1:1" x14ac:dyDescent="0.45">
      <c r="A269" t="str">
        <f>'State Depts'!I269</f>
        <v>Gippsland Southern Health Service</v>
      </c>
    </row>
    <row r="270" spans="1:1" x14ac:dyDescent="0.45">
      <c r="A270" t="str">
        <f>'State Depts'!I270</f>
        <v>Gipsy Point Cemetery Trust</v>
      </c>
    </row>
    <row r="271" spans="1:1" x14ac:dyDescent="0.45">
      <c r="A271" t="str">
        <f>'State Depts'!I271</f>
        <v>Gisborne Cemetery Trust</v>
      </c>
    </row>
    <row r="272" spans="1:1" x14ac:dyDescent="0.45">
      <c r="A272" t="str">
        <f>'State Depts'!I272</f>
        <v>Glengower Cemetery Trust</v>
      </c>
    </row>
    <row r="273" spans="1:1" x14ac:dyDescent="0.45">
      <c r="A273" t="str">
        <f>'State Depts'!I273</f>
        <v>Glenlyon Cemetery Trust</v>
      </c>
    </row>
    <row r="274" spans="1:1" x14ac:dyDescent="0.45">
      <c r="A274" t="str">
        <f>'State Depts'!I274</f>
        <v>Glenmaggie Cemetery Trust</v>
      </c>
    </row>
    <row r="275" spans="1:1" x14ac:dyDescent="0.45">
      <c r="A275" t="str">
        <f>'State Depts'!I275</f>
        <v>Glenorchy Cemetery Trust</v>
      </c>
    </row>
    <row r="276" spans="1:1" x14ac:dyDescent="0.45">
      <c r="A276" t="str">
        <f>'State Depts'!I276</f>
        <v>Glenthompson Cemetery Trust</v>
      </c>
    </row>
    <row r="277" spans="1:1" x14ac:dyDescent="0.45">
      <c r="A277" t="str">
        <f>'State Depts'!I277</f>
        <v>Gobur Cemetery Trust</v>
      </c>
    </row>
    <row r="278" spans="1:1" x14ac:dyDescent="0.45">
      <c r="A278" t="str">
        <f>'State Depts'!I278</f>
        <v>Goolum Goolum Aboriginal Co-operative Ltd</v>
      </c>
    </row>
    <row r="279" spans="1:1" x14ac:dyDescent="0.45">
      <c r="A279" t="str">
        <f>'State Depts'!I279</f>
        <v>Goornong Cemetery Trust</v>
      </c>
    </row>
    <row r="280" spans="1:1" x14ac:dyDescent="0.45">
      <c r="A280" t="str">
        <f>'State Depts'!I280</f>
        <v>Gordon (New) Cemetery Trust</v>
      </c>
    </row>
    <row r="281" spans="1:1" x14ac:dyDescent="0.45">
      <c r="A281" t="str">
        <f>'State Depts'!I281</f>
        <v>Gormandale Cemetery Trust</v>
      </c>
    </row>
    <row r="282" spans="1:1" x14ac:dyDescent="0.45">
      <c r="A282" t="str">
        <f>'State Depts'!I282</f>
        <v>Goulburn Valley Health</v>
      </c>
    </row>
    <row r="283" spans="1:1" x14ac:dyDescent="0.45">
      <c r="A283" t="str">
        <f>'State Depts'!I283</f>
        <v>Goulburn Valley Hospice Care Service Inc.</v>
      </c>
    </row>
    <row r="284" spans="1:1" x14ac:dyDescent="0.45">
      <c r="A284" t="str">
        <f>'State Depts'!I284</f>
        <v>Gowangardie Cemetery Trust</v>
      </c>
    </row>
    <row r="285" spans="1:1" x14ac:dyDescent="0.45">
      <c r="A285" t="str">
        <f>'State Depts'!I285</f>
        <v>Grampians Community Health</v>
      </c>
    </row>
    <row r="286" spans="1:1" x14ac:dyDescent="0.45">
      <c r="A286" t="str">
        <f>'State Depts'!I286</f>
        <v>Granite Flat Cemetery Trust</v>
      </c>
    </row>
    <row r="287" spans="1:1" x14ac:dyDescent="0.45">
      <c r="A287" t="str">
        <f>'State Depts'!I287</f>
        <v>Grantville Cemetery Trust</v>
      </c>
    </row>
    <row r="288" spans="1:1" x14ac:dyDescent="0.45">
      <c r="A288" t="str">
        <f>'State Depts'!I288</f>
        <v>Granya Cemetery Trust</v>
      </c>
    </row>
    <row r="289" spans="1:1" x14ac:dyDescent="0.45">
      <c r="A289" t="str">
        <f>'State Depts'!I289</f>
        <v>Gray's Bridge Cemetery Trust</v>
      </c>
    </row>
    <row r="290" spans="1:1" x14ac:dyDescent="0.45">
      <c r="A290" t="str">
        <f>'State Depts'!I290</f>
        <v>Graytown Cemetery Trust</v>
      </c>
    </row>
    <row r="291" spans="1:1" x14ac:dyDescent="0.45">
      <c r="A291" t="str">
        <f>'State Depts'!I291</f>
        <v>Great Ocean Road Health</v>
      </c>
    </row>
    <row r="292" spans="1:1" x14ac:dyDescent="0.45">
      <c r="A292" t="str">
        <f>'State Depts'!I292</f>
        <v>Great Western Cemetery Trust</v>
      </c>
    </row>
    <row r="293" spans="1:1" x14ac:dyDescent="0.45">
      <c r="A293" t="str">
        <f>'State Depts'!I293</f>
        <v>Greater Metropolitan Cemeteries Trust</v>
      </c>
    </row>
    <row r="294" spans="1:1" x14ac:dyDescent="0.45">
      <c r="A294" t="str">
        <f>'State Depts'!I294</f>
        <v>Green Hill Cemetery Trust</v>
      </c>
    </row>
    <row r="295" spans="1:1" x14ac:dyDescent="0.45">
      <c r="A295" t="str">
        <f>'State Depts'!I295</f>
        <v>Green Lake Cemetery Trust</v>
      </c>
    </row>
    <row r="296" spans="1:1" x14ac:dyDescent="0.45">
      <c r="A296" t="str">
        <f>'State Depts'!I296</f>
        <v>Greendale Cemetery Trust</v>
      </c>
    </row>
    <row r="297" spans="1:1" x14ac:dyDescent="0.45">
      <c r="A297" t="str">
        <f>'State Depts'!I297</f>
        <v>Greta Cemetery Trust</v>
      </c>
    </row>
    <row r="298" spans="1:1" x14ac:dyDescent="0.45">
      <c r="A298" t="str">
        <f>'State Depts'!I298</f>
        <v>Greyhound And Harness Racing Authority</v>
      </c>
    </row>
    <row r="299" spans="1:1" x14ac:dyDescent="0.45">
      <c r="A299" t="str">
        <f>'State Depts'!I299</f>
        <v>Guildford Cemetery Trust</v>
      </c>
    </row>
    <row r="300" spans="1:1" x14ac:dyDescent="0.45">
      <c r="A300" t="str">
        <f>'State Depts'!I300</f>
        <v>Gunditjmara Aboriginal Co-op Ltd</v>
      </c>
    </row>
    <row r="301" spans="1:1" x14ac:dyDescent="0.45">
      <c r="A301" t="str">
        <f>'State Depts'!I301</f>
        <v>Hamilton Cemetery Trust</v>
      </c>
    </row>
    <row r="302" spans="1:1" x14ac:dyDescent="0.45">
      <c r="A302" t="str">
        <f>'State Depts'!I302</f>
        <v>Harcourt Cemetery Trust</v>
      </c>
    </row>
    <row r="303" spans="1:1" x14ac:dyDescent="0.45">
      <c r="A303" t="str">
        <f>'State Depts'!I303</f>
        <v>Harkaway Cemetery Trust</v>
      </c>
    </row>
    <row r="304" spans="1:1" x14ac:dyDescent="0.45">
      <c r="A304" t="str">
        <f>'State Depts'!I304</f>
        <v>Harrietville Cemetery Trust</v>
      </c>
    </row>
    <row r="305" spans="1:1" x14ac:dyDescent="0.45">
      <c r="A305" t="str">
        <f>'State Depts'!I305</f>
        <v>Harrow Bush Nursing Centre</v>
      </c>
    </row>
    <row r="306" spans="1:1" x14ac:dyDescent="0.45">
      <c r="A306" t="str">
        <f>'State Depts'!I306</f>
        <v>Harrow Cemetery Trust</v>
      </c>
    </row>
    <row r="307" spans="1:1" x14ac:dyDescent="0.45">
      <c r="A307" t="str">
        <f>'State Depts'!I307</f>
        <v>Hawkesdale Cemetery Trust</v>
      </c>
    </row>
    <row r="308" spans="1:1" x14ac:dyDescent="0.45">
      <c r="A308" t="str">
        <f>'State Depts'!I308</f>
        <v>Hazelwood Cemetery Trust</v>
      </c>
    </row>
    <row r="309" spans="1:1" x14ac:dyDescent="0.45">
      <c r="A309" t="str">
        <f>'State Depts'!I309</f>
        <v>Health Education Australia Ltd</v>
      </c>
    </row>
    <row r="310" spans="1:1" x14ac:dyDescent="0.45">
      <c r="A310" t="str">
        <f>'State Depts'!I310</f>
        <v>Health Innovation And Reform Council</v>
      </c>
    </row>
    <row r="311" spans="1:1" x14ac:dyDescent="0.45">
      <c r="A311" t="str">
        <f>'State Depts'!I311</f>
        <v>Health Purchasing Victoria</v>
      </c>
    </row>
    <row r="312" spans="1:1" x14ac:dyDescent="0.45">
      <c r="A312" t="str">
        <f>'State Depts'!I312</f>
        <v>Health Services Commissioner</v>
      </c>
    </row>
    <row r="313" spans="1:1" x14ac:dyDescent="0.45">
      <c r="A313" t="str">
        <f>'State Depts'!I313</f>
        <v>Health Services Review Council</v>
      </c>
    </row>
    <row r="314" spans="1:1" x14ac:dyDescent="0.45">
      <c r="A314" t="str">
        <f>'State Depts'!I314</f>
        <v>Heathcote Cemetery Trust</v>
      </c>
    </row>
    <row r="315" spans="1:1" x14ac:dyDescent="0.45">
      <c r="A315" t="str">
        <f>'State Depts'!I315</f>
        <v>Heathcote Health</v>
      </c>
    </row>
    <row r="316" spans="1:1" x14ac:dyDescent="0.45">
      <c r="A316" t="str">
        <f>'State Depts'!I316</f>
        <v>Hesse Rural Health Service</v>
      </c>
    </row>
    <row r="317" spans="1:1" x14ac:dyDescent="0.45">
      <c r="A317" t="str">
        <f>'State Depts'!I317</f>
        <v>Hexham Cemetery Trust</v>
      </c>
    </row>
    <row r="318" spans="1:1" x14ac:dyDescent="0.45">
      <c r="A318" t="str">
        <f>'State Depts'!I318</f>
        <v>Heyfield Cemetery Trust</v>
      </c>
    </row>
    <row r="319" spans="1:1" x14ac:dyDescent="0.45">
      <c r="A319" t="str">
        <f>'State Depts'!I319</f>
        <v>Heywood Cemetery Trust</v>
      </c>
    </row>
    <row r="320" spans="1:1" x14ac:dyDescent="0.45">
      <c r="A320" t="str">
        <f>'State Depts'!I320</f>
        <v>Heywood Rural Health</v>
      </c>
    </row>
    <row r="321" spans="1:1" x14ac:dyDescent="0.45">
      <c r="A321" t="str">
        <f>'State Depts'!I321</f>
        <v>Hopetoun Cemetery Trust</v>
      </c>
    </row>
    <row r="322" spans="1:1" x14ac:dyDescent="0.45">
      <c r="A322" t="str">
        <f>'State Depts'!I322</f>
        <v>Horsham Cemetery Trust</v>
      </c>
    </row>
    <row r="323" spans="1:1" x14ac:dyDescent="0.45">
      <c r="A323" t="str">
        <f>'State Depts'!I323</f>
        <v>Hotspur Cemetery Trust</v>
      </c>
    </row>
    <row r="324" spans="1:1" x14ac:dyDescent="0.45">
      <c r="A324" t="str">
        <f>'State Depts'!I324</f>
        <v>Human Research Ethics Committee</v>
      </c>
    </row>
    <row r="325" spans="1:1" x14ac:dyDescent="0.45">
      <c r="A325" t="str">
        <f>'State Depts'!I325</f>
        <v>Independent Medical Advisory Committee On Medicinal Cannabis</v>
      </c>
    </row>
    <row r="326" spans="1:1" x14ac:dyDescent="0.45">
      <c r="A326" t="str">
        <f>'State Depts'!I326</f>
        <v>Indigo North Health</v>
      </c>
    </row>
    <row r="327" spans="1:1" x14ac:dyDescent="0.45">
      <c r="A327" t="str">
        <f>'State Depts'!I327</f>
        <v>Inglewood and Districts Health Service</v>
      </c>
    </row>
    <row r="328" spans="1:1" x14ac:dyDescent="0.45">
      <c r="A328" t="str">
        <f>'State Depts'!I328</f>
        <v>Inglewood Cemetery Trust</v>
      </c>
    </row>
    <row r="329" spans="1:1" x14ac:dyDescent="0.45">
      <c r="A329" t="str">
        <f>'State Depts'!I329</f>
        <v>Inner South Community Health Service</v>
      </c>
    </row>
    <row r="330" spans="1:1" x14ac:dyDescent="0.45">
      <c r="A330" t="str">
        <f>'State Depts'!I330</f>
        <v>Institute for Breathing and Sleep</v>
      </c>
    </row>
    <row r="331" spans="1:1" x14ac:dyDescent="0.45">
      <c r="A331" t="str">
        <f>'State Depts'!I331</f>
        <v>Inverleigh Cemetery Trust</v>
      </c>
    </row>
    <row r="332" spans="1:1" x14ac:dyDescent="0.45">
      <c r="A332" t="str">
        <f>'State Depts'!I332</f>
        <v>Inverloch Cemetery Trust</v>
      </c>
    </row>
    <row r="333" spans="1:1" x14ac:dyDescent="0.45">
      <c r="A333" t="str">
        <f>'State Depts'!I333</f>
        <v>IPC Health Ltd</v>
      </c>
    </row>
    <row r="334" spans="1:1" x14ac:dyDescent="0.45">
      <c r="A334" t="str">
        <f>'State Depts'!I334</f>
        <v>Jacaranda Village</v>
      </c>
    </row>
    <row r="335" spans="1:1" x14ac:dyDescent="0.45">
      <c r="A335" t="str">
        <f>'State Depts'!I335</f>
        <v>Jamieson Cemetery Trust</v>
      </c>
    </row>
    <row r="336" spans="1:1" x14ac:dyDescent="0.45">
      <c r="A336" t="str">
        <f>'State Depts'!I336</f>
        <v>Jeparit Cemetery Trust</v>
      </c>
    </row>
    <row r="337" spans="1:1" x14ac:dyDescent="0.45">
      <c r="A337" t="str">
        <f>'State Depts'!I337</f>
        <v>John Foord (Wahgunyah) Public Cemetery</v>
      </c>
    </row>
    <row r="338" spans="1:1" x14ac:dyDescent="0.45">
      <c r="A338" t="str">
        <f>'State Depts'!I338</f>
        <v>Joyce's Creek Cemetery Trust</v>
      </c>
    </row>
    <row r="339" spans="1:1" x14ac:dyDescent="0.45">
      <c r="A339" t="str">
        <f>'State Depts'!I339</f>
        <v>Jung (Jerro) Cemetery Trust</v>
      </c>
    </row>
    <row r="340" spans="1:1" x14ac:dyDescent="0.45">
      <c r="A340" t="str">
        <f>'State Depts'!I340</f>
        <v>Kangaroo Ground Cemetery Trust</v>
      </c>
    </row>
    <row r="341" spans="1:1" x14ac:dyDescent="0.45">
      <c r="A341" t="str">
        <f>'State Depts'!I341</f>
        <v>Karnak Cemetery Trust</v>
      </c>
    </row>
    <row r="342" spans="1:1" x14ac:dyDescent="0.45">
      <c r="A342" t="str">
        <f>'State Depts'!I342</f>
        <v>Katamatite Cemetery Trust</v>
      </c>
    </row>
    <row r="343" spans="1:1" x14ac:dyDescent="0.45">
      <c r="A343" t="str">
        <f>'State Depts'!I343</f>
        <v>Katandra Cemetery Trust</v>
      </c>
    </row>
    <row r="344" spans="1:1" x14ac:dyDescent="0.45">
      <c r="A344" t="str">
        <f>'State Depts'!I344</f>
        <v>Katyil Cemetery Trust</v>
      </c>
    </row>
    <row r="345" spans="1:1" x14ac:dyDescent="0.45">
      <c r="A345" t="str">
        <f>'State Depts'!I345</f>
        <v>Kenmare Cemetery Trust</v>
      </c>
    </row>
    <row r="346" spans="1:1" x14ac:dyDescent="0.45">
      <c r="A346" t="str">
        <f>'State Depts'!I346</f>
        <v>Kerang Cemetery Trust</v>
      </c>
    </row>
    <row r="347" spans="1:1" x14ac:dyDescent="0.45">
      <c r="A347" t="str">
        <f>'State Depts'!I347</f>
        <v>Kerang District Health</v>
      </c>
    </row>
    <row r="348" spans="1:1" x14ac:dyDescent="0.45">
      <c r="A348" t="str">
        <f>'State Depts'!I348</f>
        <v>Kialla Cemetery Trust</v>
      </c>
    </row>
    <row r="349" spans="1:1" x14ac:dyDescent="0.45">
      <c r="A349" t="str">
        <f>'State Depts'!I349</f>
        <v>Kiata Cemetery Trust</v>
      </c>
    </row>
    <row r="350" spans="1:1" x14ac:dyDescent="0.45">
      <c r="A350" t="str">
        <f>'State Depts'!I350</f>
        <v>Kiewa Cemetery Trust</v>
      </c>
    </row>
    <row r="351" spans="1:1" x14ac:dyDescent="0.45">
      <c r="A351" t="str">
        <f>'State Depts'!I351</f>
        <v>Kilcunda Cemetery Trust</v>
      </c>
    </row>
    <row r="352" spans="1:1" x14ac:dyDescent="0.45">
      <c r="A352" t="str">
        <f>'State Depts'!I352</f>
        <v>Kilmore and District Hospital</v>
      </c>
    </row>
    <row r="353" spans="1:1" x14ac:dyDescent="0.45">
      <c r="A353" t="str">
        <f>'State Depts'!I353</f>
        <v>Kilmore Cemetery Trust</v>
      </c>
    </row>
    <row r="354" spans="1:1" x14ac:dyDescent="0.45">
      <c r="A354" t="str">
        <f>'State Depts'!I354</f>
        <v>Kilnoorat Cemetery Trust</v>
      </c>
    </row>
    <row r="355" spans="1:1" x14ac:dyDescent="0.45">
      <c r="A355" t="str">
        <f>'State Depts'!I355</f>
        <v>Kinglake Ranges Cemetery Trust</v>
      </c>
    </row>
    <row r="356" spans="1:1" x14ac:dyDescent="0.45">
      <c r="A356" t="str">
        <f>'State Depts'!I356</f>
        <v>Kingower Cemetery Trust</v>
      </c>
    </row>
    <row r="357" spans="1:1" x14ac:dyDescent="0.45">
      <c r="A357" t="str">
        <f>'State Depts'!I357</f>
        <v>Kirrae Health Service</v>
      </c>
    </row>
    <row r="358" spans="1:1" x14ac:dyDescent="0.45">
      <c r="A358" t="str">
        <f>'State Depts'!I358</f>
        <v>Knox Community Health Services</v>
      </c>
    </row>
    <row r="359" spans="1:1" x14ac:dyDescent="0.45">
      <c r="A359" t="str">
        <f>'State Depts'!I359</f>
        <v>Koetong Cemetery Trust</v>
      </c>
    </row>
    <row r="360" spans="1:1" x14ac:dyDescent="0.45">
      <c r="A360" t="str">
        <f>'State Depts'!I360</f>
        <v>Koondrook Cemetery Trust</v>
      </c>
    </row>
    <row r="361" spans="1:1" x14ac:dyDescent="0.45">
      <c r="A361" t="str">
        <f>'State Depts'!I361</f>
        <v>Kooweerup Regional Health Service</v>
      </c>
    </row>
    <row r="362" spans="1:1" x14ac:dyDescent="0.45">
      <c r="A362" t="str">
        <f>'State Depts'!I362</f>
        <v>Korong Vale Cemetery Trust</v>
      </c>
    </row>
    <row r="363" spans="1:1" x14ac:dyDescent="0.45">
      <c r="A363" t="str">
        <f>'State Depts'!I363</f>
        <v>Korumburra Cemetery Trust</v>
      </c>
    </row>
    <row r="364" spans="1:1" x14ac:dyDescent="0.45">
      <c r="A364" t="str">
        <f>'State Depts'!I364</f>
        <v>Kyabram Cemetery Trust</v>
      </c>
    </row>
    <row r="365" spans="1:1" x14ac:dyDescent="0.45">
      <c r="A365" t="str">
        <f>'State Depts'!I365</f>
        <v>Kyabram District Health Service</v>
      </c>
    </row>
    <row r="366" spans="1:1" x14ac:dyDescent="0.45">
      <c r="A366" t="str">
        <f>'State Depts'!I366</f>
        <v>Kyneton Cemetery Trust</v>
      </c>
    </row>
    <row r="367" spans="1:1" x14ac:dyDescent="0.45">
      <c r="A367" t="str">
        <f>'State Depts'!I367</f>
        <v>Laen North Cemetery Trust</v>
      </c>
    </row>
    <row r="368" spans="1:1" x14ac:dyDescent="0.45">
      <c r="A368" t="str">
        <f>'State Depts'!I368</f>
        <v>Lake Boga Cemetery Trust</v>
      </c>
    </row>
    <row r="369" spans="1:1" x14ac:dyDescent="0.45">
      <c r="A369" t="str">
        <f>'State Depts'!I369</f>
        <v>Lake Bolac Bush Nursing Centre Inc.</v>
      </c>
    </row>
    <row r="370" spans="1:1" x14ac:dyDescent="0.45">
      <c r="A370" t="str">
        <f>'State Depts'!I370</f>
        <v>Lake Bolac Cemetery Trust</v>
      </c>
    </row>
    <row r="371" spans="1:1" x14ac:dyDescent="0.45">
      <c r="A371" t="str">
        <f>'State Depts'!I371</f>
        <v>Lake Rowan Cemetery Trust</v>
      </c>
    </row>
    <row r="372" spans="1:1" x14ac:dyDescent="0.45">
      <c r="A372" t="str">
        <f>'State Depts'!I372</f>
        <v>Lake Tyers Health and Childrens Services Association</v>
      </c>
    </row>
    <row r="373" spans="1:1" x14ac:dyDescent="0.45">
      <c r="A373" t="str">
        <f>'State Depts'!I373</f>
        <v>Lakes Entrance Cemetery Trust</v>
      </c>
    </row>
    <row r="374" spans="1:1" x14ac:dyDescent="0.45">
      <c r="A374" t="str">
        <f>'State Depts'!I374</f>
        <v>Lalbert Cemetery Trust</v>
      </c>
    </row>
    <row r="375" spans="1:1" x14ac:dyDescent="0.45">
      <c r="A375" t="str">
        <f>'State Depts'!I375</f>
        <v>Lancefield Cemetery Trust</v>
      </c>
    </row>
    <row r="376" spans="1:1" x14ac:dyDescent="0.45">
      <c r="A376" t="str">
        <f>'State Depts'!I376</f>
        <v>Landsborough Cemetery Trust</v>
      </c>
    </row>
    <row r="377" spans="1:1" x14ac:dyDescent="0.45">
      <c r="A377" t="str">
        <f>'State Depts'!I377</f>
        <v>Lang Lang Cemetery Trust</v>
      </c>
    </row>
    <row r="378" spans="1:1" x14ac:dyDescent="0.45">
      <c r="A378" t="str">
        <f>'State Depts'!I378</f>
        <v>Latrobe Community Health Service</v>
      </c>
    </row>
    <row r="379" spans="1:1" x14ac:dyDescent="0.45">
      <c r="A379" t="str">
        <f>'State Depts'!I379</f>
        <v>Latrobe Regional Hospital</v>
      </c>
    </row>
    <row r="380" spans="1:1" x14ac:dyDescent="0.45">
      <c r="A380" t="str">
        <f>'State Depts'!I380</f>
        <v>Leading Age Services Australia Victoria</v>
      </c>
    </row>
    <row r="381" spans="1:1" x14ac:dyDescent="0.45">
      <c r="A381" t="str">
        <f>'State Depts'!I381</f>
        <v>Learmonth Cemetery Trust</v>
      </c>
    </row>
    <row r="382" spans="1:1" x14ac:dyDescent="0.45">
      <c r="A382" t="str">
        <f>'State Depts'!I382</f>
        <v>Leongatha Cemetery Trust</v>
      </c>
    </row>
    <row r="383" spans="1:1" x14ac:dyDescent="0.45">
      <c r="A383" t="str">
        <f>'State Depts'!I383</f>
        <v>Lethbridge Cemetery Trust</v>
      </c>
    </row>
    <row r="384" spans="1:1" x14ac:dyDescent="0.45">
      <c r="A384" t="str">
        <f>'State Depts'!I384</f>
        <v>Lexton Cemetery Trust</v>
      </c>
    </row>
    <row r="385" spans="1:1" x14ac:dyDescent="0.45">
      <c r="A385" t="str">
        <f>'State Depts'!I385</f>
        <v>Link Health and Community Ltd</v>
      </c>
    </row>
    <row r="386" spans="1:1" x14ac:dyDescent="0.45">
      <c r="A386" t="str">
        <f>'State Depts'!I386</f>
        <v>Linton Cemetery Trust</v>
      </c>
    </row>
    <row r="387" spans="1:1" x14ac:dyDescent="0.45">
      <c r="A387" t="str">
        <f>'State Depts'!I387</f>
        <v>Lismore Cemetery Trust</v>
      </c>
    </row>
    <row r="388" spans="1:1" x14ac:dyDescent="0.45">
      <c r="A388" t="str">
        <f>'State Depts'!I388</f>
        <v>LMHA Network Ltd</v>
      </c>
    </row>
    <row r="389" spans="1:1" x14ac:dyDescent="0.45">
      <c r="A389" t="str">
        <f>'State Depts'!I389</f>
        <v>Lochiel Cemetery Trust</v>
      </c>
    </row>
    <row r="390" spans="1:1" x14ac:dyDescent="0.45">
      <c r="A390" t="str">
        <f>'State Depts'!I390</f>
        <v>Lockington and District Bush Nursing Centre Inc.</v>
      </c>
    </row>
    <row r="391" spans="1:1" x14ac:dyDescent="0.45">
      <c r="A391" t="str">
        <f>'State Depts'!I391</f>
        <v>Lockwood Cemetery Trust</v>
      </c>
    </row>
    <row r="392" spans="1:1" x14ac:dyDescent="0.45">
      <c r="A392" t="str">
        <f>'State Depts'!I392</f>
        <v>Longwood Cemetery Trust</v>
      </c>
    </row>
    <row r="393" spans="1:1" x14ac:dyDescent="0.45">
      <c r="A393" t="str">
        <f>'State Depts'!I393</f>
        <v>Lorne Community Health Service</v>
      </c>
    </row>
    <row r="394" spans="1:1" x14ac:dyDescent="0.45">
      <c r="A394" t="str">
        <f>'State Depts'!I394</f>
        <v>Lorquon Cemetery Trust</v>
      </c>
    </row>
    <row r="395" spans="1:1" x14ac:dyDescent="0.45">
      <c r="A395" t="str">
        <f>'State Depts'!I395</f>
        <v>Lyndoch Living Inc.</v>
      </c>
    </row>
    <row r="396" spans="1:1" x14ac:dyDescent="0.45">
      <c r="A396" t="str">
        <f>'State Depts'!I396</f>
        <v>Macarthur Cemetery Trust</v>
      </c>
    </row>
    <row r="397" spans="1:1" x14ac:dyDescent="0.45">
      <c r="A397" t="str">
        <f>'State Depts'!I397</f>
        <v>Macedon Cemetery Trust</v>
      </c>
    </row>
    <row r="398" spans="1:1" x14ac:dyDescent="0.45">
      <c r="A398" t="str">
        <f>'State Depts'!I398</f>
        <v>Macedon Ranges Health Services</v>
      </c>
    </row>
    <row r="399" spans="1:1" x14ac:dyDescent="0.45">
      <c r="A399" t="str">
        <f>'State Depts'!I399</f>
        <v>MacFarlane Burnet Institute for Medical Research and Public Health</v>
      </c>
    </row>
    <row r="400" spans="1:1" x14ac:dyDescent="0.45">
      <c r="A400" t="str">
        <f>'State Depts'!I400</f>
        <v>Maddingley Cemetery Trust</v>
      </c>
    </row>
    <row r="401" spans="1:1" x14ac:dyDescent="0.45">
      <c r="A401" t="str">
        <f>'State Depts'!I401</f>
        <v>Maffra Cemetery Trust</v>
      </c>
    </row>
    <row r="402" spans="1:1" x14ac:dyDescent="0.45">
      <c r="A402" t="str">
        <f>'State Depts'!I402</f>
        <v>Majorca Cemetery Trust</v>
      </c>
    </row>
    <row r="403" spans="1:1" x14ac:dyDescent="0.45">
      <c r="A403" t="str">
        <f>'State Depts'!I403</f>
        <v>Maldon Cemetery Trust</v>
      </c>
    </row>
    <row r="404" spans="1:1" x14ac:dyDescent="0.45">
      <c r="A404" t="str">
        <f>'State Depts'!I404</f>
        <v>Maldon Hospital</v>
      </c>
    </row>
    <row r="405" spans="1:1" x14ac:dyDescent="0.45">
      <c r="A405" t="str">
        <f>'State Depts'!I405</f>
        <v>Mallacoota Cemetery Trust</v>
      </c>
    </row>
    <row r="406" spans="1:1" x14ac:dyDescent="0.45">
      <c r="A406" t="str">
        <f>'State Depts'!I406</f>
        <v>Mallacoota District Health and Support Service Inc.</v>
      </c>
    </row>
    <row r="407" spans="1:1" x14ac:dyDescent="0.45">
      <c r="A407" t="str">
        <f>'State Depts'!I407</f>
        <v>Mallee District Aboriginal Services</v>
      </c>
    </row>
    <row r="408" spans="1:1" x14ac:dyDescent="0.45">
      <c r="A408" t="str">
        <f>'State Depts'!I408</f>
        <v>Mallee Sexual Assault Unit Inc.</v>
      </c>
    </row>
    <row r="409" spans="1:1" x14ac:dyDescent="0.45">
      <c r="A409" t="str">
        <f>'State Depts'!I409</f>
        <v>Mallee Track Health And Community Service</v>
      </c>
    </row>
    <row r="410" spans="1:1" x14ac:dyDescent="0.45">
      <c r="A410" t="str">
        <f>'State Depts'!I410</f>
        <v>Malmsbury Cemetery Trust</v>
      </c>
    </row>
    <row r="411" spans="1:1" x14ac:dyDescent="0.45">
      <c r="A411" t="str">
        <f>'State Depts'!I411</f>
        <v>Manangatang Cemetery Trust</v>
      </c>
    </row>
    <row r="412" spans="1:1" x14ac:dyDescent="0.45">
      <c r="A412" t="str">
        <f>'State Depts'!I412</f>
        <v>Manningham Community Health Services Ltd</v>
      </c>
    </row>
    <row r="413" spans="1:1" x14ac:dyDescent="0.45">
      <c r="A413" t="str">
        <f>'State Depts'!I413</f>
        <v>Mansfield District Hospital</v>
      </c>
    </row>
    <row r="414" spans="1:1" x14ac:dyDescent="0.45">
      <c r="A414" t="str">
        <f>'State Depts'!I414</f>
        <v>Marlo Cemetery Trust</v>
      </c>
    </row>
    <row r="415" spans="1:1" x14ac:dyDescent="0.45">
      <c r="A415" t="str">
        <f>'State Depts'!I415</f>
        <v>Marong Cemetery Trust</v>
      </c>
    </row>
    <row r="416" spans="1:1" x14ac:dyDescent="0.45">
      <c r="A416" t="str">
        <f>'State Depts'!I416</f>
        <v>Maroondah Addictions Recovery Project Inc.</v>
      </c>
    </row>
    <row r="417" spans="1:1" x14ac:dyDescent="0.45">
      <c r="A417" t="str">
        <f>'State Depts'!I417</f>
        <v>Maryborough Cemetery Trust</v>
      </c>
    </row>
    <row r="418" spans="1:1" x14ac:dyDescent="0.45">
      <c r="A418" t="str">
        <f>'State Depts'!I418</f>
        <v>Maryborough District Health Service</v>
      </c>
    </row>
    <row r="419" spans="1:1" x14ac:dyDescent="0.45">
      <c r="A419" t="str">
        <f>'State Depts'!I419</f>
        <v>Maryknoll Cemetery Trust</v>
      </c>
    </row>
    <row r="420" spans="1:1" x14ac:dyDescent="0.45">
      <c r="A420" t="str">
        <f>'State Depts'!I420</f>
        <v>Marysville Cemetery Trust</v>
      </c>
    </row>
    <row r="421" spans="1:1" x14ac:dyDescent="0.45">
      <c r="A421" t="str">
        <f>'State Depts'!I421</f>
        <v>Matlock Cemetery Trust</v>
      </c>
    </row>
    <row r="422" spans="1:1" x14ac:dyDescent="0.45">
      <c r="A422" t="str">
        <f>'State Depts'!I422</f>
        <v>Mayfield Education Inc.</v>
      </c>
    </row>
    <row r="423" spans="1:1" x14ac:dyDescent="0.45">
      <c r="A423" t="str">
        <f>'State Depts'!I423</f>
        <v>Meeniyan Cemetery Trust</v>
      </c>
    </row>
    <row r="424" spans="1:1" x14ac:dyDescent="0.45">
      <c r="A424" t="str">
        <f>'State Depts'!I424</f>
        <v>Melbourne Chevra Kadisha Cemetery Trust</v>
      </c>
    </row>
    <row r="425" spans="1:1" x14ac:dyDescent="0.45">
      <c r="A425" t="str">
        <f>'State Depts'!I425</f>
        <v>Melbourne Health</v>
      </c>
    </row>
    <row r="426" spans="1:1" x14ac:dyDescent="0.45">
      <c r="A426" t="str">
        <f>'State Depts'!I426</f>
        <v>Mental Health Complaints Commissioner</v>
      </c>
    </row>
    <row r="427" spans="1:1" x14ac:dyDescent="0.45">
      <c r="A427" t="str">
        <f>'State Depts'!I427</f>
        <v>Mental Health Expert Taskforce</v>
      </c>
    </row>
    <row r="428" spans="1:1" x14ac:dyDescent="0.45">
      <c r="A428" t="str">
        <f>'State Depts'!I428</f>
        <v>Mental Health Tribunal</v>
      </c>
    </row>
    <row r="429" spans="1:1" x14ac:dyDescent="0.45">
      <c r="A429" t="str">
        <f>'State Depts'!I429</f>
        <v>Merbein Cemetery Trust</v>
      </c>
    </row>
    <row r="430" spans="1:1" x14ac:dyDescent="0.45">
      <c r="A430" t="str">
        <f>'State Depts'!I430</f>
        <v>Mercy Health Victoria Ltd</v>
      </c>
    </row>
    <row r="431" spans="1:1" x14ac:dyDescent="0.45">
      <c r="A431" t="str">
        <f>'State Depts'!I431</f>
        <v>Mercy Palliative Care Inc.</v>
      </c>
    </row>
    <row r="432" spans="1:1" x14ac:dyDescent="0.45">
      <c r="A432" t="str">
        <f>'State Depts'!I432</f>
        <v>Meredith Cemetery Trust</v>
      </c>
    </row>
    <row r="433" spans="1:1" x14ac:dyDescent="0.45">
      <c r="A433" t="str">
        <f>'State Depts'!I433</f>
        <v>Meringur Cemetery Trust</v>
      </c>
    </row>
    <row r="434" spans="1:1" x14ac:dyDescent="0.45">
      <c r="A434" t="str">
        <f>'State Depts'!I434</f>
        <v>Merino Cemetery Trust</v>
      </c>
    </row>
    <row r="435" spans="1:1" x14ac:dyDescent="0.45">
      <c r="A435" t="str">
        <f>'State Depts'!I435</f>
        <v>Merri Health</v>
      </c>
    </row>
    <row r="436" spans="1:1" x14ac:dyDescent="0.45">
      <c r="A436" t="str">
        <f>'State Depts'!I436</f>
        <v>Milawa Cemetery Trust</v>
      </c>
    </row>
    <row r="437" spans="1:1" x14ac:dyDescent="0.45">
      <c r="A437" t="str">
        <f>'State Depts'!I437</f>
        <v>Mildura Base Hospital Community Advisory Board</v>
      </c>
    </row>
    <row r="438" spans="1:1" x14ac:dyDescent="0.45">
      <c r="A438" t="str">
        <f>'State Depts'!I438</f>
        <v>Mildura Base Public Hospital</v>
      </c>
    </row>
    <row r="439" spans="1:1" x14ac:dyDescent="0.45">
      <c r="A439" t="str">
        <f>'State Depts'!I439</f>
        <v>Mildura Cemetery Trust</v>
      </c>
    </row>
    <row r="440" spans="1:1" x14ac:dyDescent="0.45">
      <c r="A440" t="str">
        <f>'State Depts'!I440</f>
        <v>Mildura Health Private Hospital</v>
      </c>
    </row>
    <row r="441" spans="1:1" x14ac:dyDescent="0.45">
      <c r="A441" t="str">
        <f>'State Depts'!I441</f>
        <v>Minimay Cemetery Trust</v>
      </c>
    </row>
    <row r="442" spans="1:1" x14ac:dyDescent="0.45">
      <c r="A442" t="str">
        <f>'State Depts'!I442</f>
        <v>Ministerial Advisory Committee On Allied Health</v>
      </c>
    </row>
    <row r="443" spans="1:1" x14ac:dyDescent="0.45">
      <c r="A443" t="str">
        <f>'State Depts'!I443</f>
        <v>Ministerial Advisory Committee On Surgical Services</v>
      </c>
    </row>
    <row r="444" spans="1:1" x14ac:dyDescent="0.45">
      <c r="A444" t="str">
        <f>'State Depts'!I444</f>
        <v>Ministerial Advisory Council For The Victorian Health System Statewide Service And Infrastructure Plan</v>
      </c>
    </row>
    <row r="445" spans="1:1" x14ac:dyDescent="0.45">
      <c r="A445" t="str">
        <f>'State Depts'!I445</f>
        <v>Ministerial Advisory Council On Nursing And Midwifery</v>
      </c>
    </row>
    <row r="446" spans="1:1" x14ac:dyDescent="0.45">
      <c r="A446" t="str">
        <f>'State Depts'!I446</f>
        <v>Ministerial Council For Volunteers</v>
      </c>
    </row>
    <row r="447" spans="1:1" x14ac:dyDescent="0.45">
      <c r="A447" t="str">
        <f>'State Depts'!I447</f>
        <v>Minyip Cemetery Trust</v>
      </c>
    </row>
    <row r="448" spans="1:1" x14ac:dyDescent="0.45">
      <c r="A448" t="str">
        <f>'State Depts'!I448</f>
        <v>Miram Cemetery Trust</v>
      </c>
    </row>
    <row r="449" spans="1:1" x14ac:dyDescent="0.45">
      <c r="A449" t="str">
        <f>'State Depts'!I449</f>
        <v>Mirboo North Cemetery Trust</v>
      </c>
    </row>
    <row r="450" spans="1:1" x14ac:dyDescent="0.45">
      <c r="A450" t="str">
        <f>'State Depts'!I450</f>
        <v>Mitiamo Cemetery Trust</v>
      </c>
    </row>
    <row r="451" spans="1:1" x14ac:dyDescent="0.45">
      <c r="A451" t="str">
        <f>'State Depts'!I451</f>
        <v>Mitta Mitta Cemetery Trust</v>
      </c>
    </row>
    <row r="452" spans="1:1" x14ac:dyDescent="0.45">
      <c r="A452" t="str">
        <f>'State Depts'!I452</f>
        <v>Moe Cemetery Trust</v>
      </c>
    </row>
    <row r="453" spans="1:1" x14ac:dyDescent="0.45">
      <c r="A453" t="str">
        <f>'State Depts'!I453</f>
        <v>Moe Memorial Park Trust</v>
      </c>
    </row>
    <row r="454" spans="1:1" x14ac:dyDescent="0.45">
      <c r="A454" t="str">
        <f>'State Depts'!I454</f>
        <v>Moliagul Cemetery Trust</v>
      </c>
    </row>
    <row r="455" spans="1:1" x14ac:dyDescent="0.45">
      <c r="A455" t="str">
        <f>'State Depts'!I455</f>
        <v>Monash Health</v>
      </c>
    </row>
    <row r="456" spans="1:1" x14ac:dyDescent="0.45">
      <c r="A456" t="str">
        <f>'State Depts'!I456</f>
        <v>Moonambel Cemetery Trust</v>
      </c>
    </row>
    <row r="457" spans="1:1" x14ac:dyDescent="0.45">
      <c r="A457" t="str">
        <f>'State Depts'!I457</f>
        <v>Moondarra Cemetery Trust</v>
      </c>
    </row>
    <row r="458" spans="1:1" x14ac:dyDescent="0.45">
      <c r="A458" t="str">
        <f>'State Depts'!I458</f>
        <v>Moonlight Head Cemetery Trust</v>
      </c>
    </row>
    <row r="459" spans="1:1" x14ac:dyDescent="0.45">
      <c r="A459" t="str">
        <f>'State Depts'!I459</f>
        <v>Moorngag Cemetery Trust</v>
      </c>
    </row>
    <row r="460" spans="1:1" x14ac:dyDescent="0.45">
      <c r="A460" t="str">
        <f>'State Depts'!I460</f>
        <v>Mooroopna Cemetery Trust</v>
      </c>
    </row>
    <row r="461" spans="1:1" x14ac:dyDescent="0.45">
      <c r="A461" t="str">
        <f>'State Depts'!I461</f>
        <v>Mornington Peninsula Cemeteries Trust</v>
      </c>
    </row>
    <row r="462" spans="1:1" x14ac:dyDescent="0.45">
      <c r="A462" t="str">
        <f>'State Depts'!I462</f>
        <v>Morrisons Cemetery Trust</v>
      </c>
    </row>
    <row r="463" spans="1:1" x14ac:dyDescent="0.45">
      <c r="A463" t="str">
        <f>'State Depts'!I463</f>
        <v>Mortlake Cemetery Trust</v>
      </c>
    </row>
    <row r="464" spans="1:1" x14ac:dyDescent="0.45">
      <c r="A464" t="str">
        <f>'State Depts'!I464</f>
        <v>Mount Cole Cemetery Trust</v>
      </c>
    </row>
    <row r="465" spans="1:1" x14ac:dyDescent="0.45">
      <c r="A465" t="str">
        <f>'State Depts'!I465</f>
        <v>Mount Egerton Cemetery Trust</v>
      </c>
    </row>
    <row r="466" spans="1:1" x14ac:dyDescent="0.45">
      <c r="A466" t="str">
        <f>'State Depts'!I466</f>
        <v>Mount Prospect Cemetery Trust</v>
      </c>
    </row>
    <row r="467" spans="1:1" x14ac:dyDescent="0.45">
      <c r="A467" t="str">
        <f>'State Depts'!I467</f>
        <v>Moyne Health Services</v>
      </c>
    </row>
    <row r="468" spans="1:1" x14ac:dyDescent="0.45">
      <c r="A468" t="str">
        <f>'State Depts'!I468</f>
        <v>Moyston Cemetery Trust</v>
      </c>
    </row>
    <row r="469" spans="1:1" x14ac:dyDescent="0.45">
      <c r="A469" t="str">
        <f>'State Depts'!I469</f>
        <v>Muckleford Cemetery Trust</v>
      </c>
    </row>
    <row r="470" spans="1:1" x14ac:dyDescent="0.45">
      <c r="A470" t="str">
        <f>'State Depts'!I470</f>
        <v>Mullum Mullum Indigenous Gathering Place Ltd</v>
      </c>
    </row>
    <row r="471" spans="1:1" x14ac:dyDescent="0.45">
      <c r="A471" t="str">
        <f>'State Depts'!I471</f>
        <v>Mungabareena Aboriginal Corporation</v>
      </c>
    </row>
    <row r="472" spans="1:1" x14ac:dyDescent="0.45">
      <c r="A472" t="str">
        <f>'State Depts'!I472</f>
        <v>Murchison Cemetery Trust</v>
      </c>
    </row>
    <row r="473" spans="1:1" x14ac:dyDescent="0.45">
      <c r="A473" t="str">
        <f>'State Depts'!I473</f>
        <v>Murdoch Children’s Research Institute</v>
      </c>
    </row>
    <row r="474" spans="1:1" x14ac:dyDescent="0.45">
      <c r="A474" t="str">
        <f>'State Depts'!I474</f>
        <v>Murray Valley Aboriginal Co-operative Ltd</v>
      </c>
    </row>
    <row r="475" spans="1:1" x14ac:dyDescent="0.45">
      <c r="A475" t="str">
        <f>'State Depts'!I475</f>
        <v>Murrayville Cemetery Trust</v>
      </c>
    </row>
    <row r="476" spans="1:1" x14ac:dyDescent="0.45">
      <c r="A476" t="str">
        <f>'State Depts'!I476</f>
        <v>Murtoa Cemetery Trust</v>
      </c>
    </row>
    <row r="477" spans="1:1" x14ac:dyDescent="0.45">
      <c r="A477" t="str">
        <f>'State Depts'!I477</f>
        <v>Myrtleford Lawn Cemetery Trust</v>
      </c>
    </row>
    <row r="478" spans="1:1" x14ac:dyDescent="0.45">
      <c r="A478" t="str">
        <f>'State Depts'!I478</f>
        <v>Mysia Cemetery Trust</v>
      </c>
    </row>
    <row r="479" spans="1:1" x14ac:dyDescent="0.45">
      <c r="A479" t="str">
        <f>'State Depts'!I479</f>
        <v>Mystic Park Cemetery Trust</v>
      </c>
    </row>
    <row r="480" spans="1:1" x14ac:dyDescent="0.45">
      <c r="A480" t="str">
        <f>'State Depts'!I480</f>
        <v>Nagambie Cemetery Trust</v>
      </c>
    </row>
    <row r="481" spans="1:1" x14ac:dyDescent="0.45">
      <c r="A481" t="str">
        <f>'State Depts'!I481</f>
        <v>Nandaly Cemetery Trust</v>
      </c>
    </row>
    <row r="482" spans="1:1" x14ac:dyDescent="0.45">
      <c r="A482" t="str">
        <f>'State Depts'!I482</f>
        <v>Narimga Cemetery Trust</v>
      </c>
    </row>
    <row r="483" spans="1:1" x14ac:dyDescent="0.45">
      <c r="A483" t="str">
        <f>'State Depts'!I483</f>
        <v>Narracan Cemetery Trust</v>
      </c>
    </row>
    <row r="484" spans="1:1" x14ac:dyDescent="0.45">
      <c r="A484" t="str">
        <f>'State Depts'!I484</f>
        <v>Narrawong Cemetery Trust</v>
      </c>
    </row>
    <row r="485" spans="1:1" x14ac:dyDescent="0.45">
      <c r="A485" t="str">
        <f>'State Depts'!I485</f>
        <v>Nathalia Cemetery Trust</v>
      </c>
    </row>
    <row r="486" spans="1:1" x14ac:dyDescent="0.45">
      <c r="A486" t="str">
        <f>'State Depts'!I486</f>
        <v>Natimuk Cemetery Trust</v>
      </c>
    </row>
    <row r="487" spans="1:1" x14ac:dyDescent="0.45">
      <c r="A487" t="str">
        <f>'State Depts'!I487</f>
        <v>National Ageing Research Institute Ltd</v>
      </c>
    </row>
    <row r="488" spans="1:1" x14ac:dyDescent="0.45">
      <c r="A488" t="str">
        <f>'State Depts'!I488</f>
        <v>Natte Yallock Cemetery Trust</v>
      </c>
    </row>
    <row r="489" spans="1:1" x14ac:dyDescent="0.45">
      <c r="A489" t="str">
        <f>'State Depts'!I489</f>
        <v>Navarre Cemetery Trust</v>
      </c>
    </row>
    <row r="490" spans="1:1" x14ac:dyDescent="0.45">
      <c r="A490" t="str">
        <f>'State Depts'!I490</f>
        <v>NCN Health</v>
      </c>
    </row>
    <row r="491" spans="1:1" x14ac:dyDescent="0.45">
      <c r="A491" t="str">
        <f>'State Depts'!I491</f>
        <v>Neerim Cemetery Trust</v>
      </c>
    </row>
    <row r="492" spans="1:1" x14ac:dyDescent="0.45">
      <c r="A492" t="str">
        <f>'State Depts'!I492</f>
        <v>Nelson Cemetery Trust</v>
      </c>
    </row>
    <row r="493" spans="1:1" x14ac:dyDescent="0.45">
      <c r="A493" t="str">
        <f>'State Depts'!I493</f>
        <v>Netherby Cemetery Trust</v>
      </c>
    </row>
    <row r="494" spans="1:1" x14ac:dyDescent="0.45">
      <c r="A494" t="str">
        <f>'State Depts'!I494</f>
        <v>Neurosciences Victoria Ltd</v>
      </c>
    </row>
    <row r="495" spans="1:1" x14ac:dyDescent="0.45">
      <c r="A495" t="str">
        <f>'State Depts'!I495</f>
        <v>Newbridge Cemetery Trust</v>
      </c>
    </row>
    <row r="496" spans="1:1" x14ac:dyDescent="0.45">
      <c r="A496" t="str">
        <f>'State Depts'!I496</f>
        <v>Newstead Cemetery Trust</v>
      </c>
    </row>
    <row r="497" spans="1:1" x14ac:dyDescent="0.45">
      <c r="A497" t="str">
        <f>'State Depts'!I497</f>
        <v>Nexus Primary Health</v>
      </c>
    </row>
    <row r="498" spans="1:1" x14ac:dyDescent="0.45">
      <c r="A498" t="str">
        <f>'State Depts'!I498</f>
        <v>Ngwala Willumbong Ltd</v>
      </c>
    </row>
    <row r="499" spans="1:1" x14ac:dyDescent="0.45">
      <c r="A499" t="str">
        <f>'State Depts'!I499</f>
        <v>Nhill Cemetery Trust</v>
      </c>
    </row>
    <row r="500" spans="1:1" x14ac:dyDescent="0.45">
      <c r="A500" t="str">
        <f>'State Depts'!I500</f>
        <v>Nillumbik Cemetery Trust</v>
      </c>
    </row>
    <row r="501" spans="1:1" x14ac:dyDescent="0.45">
      <c r="A501" t="str">
        <f>'State Depts'!I501</f>
        <v>Nillumbik Community Health Service</v>
      </c>
    </row>
    <row r="502" spans="1:1" x14ac:dyDescent="0.45">
      <c r="A502" t="str">
        <f>'State Depts'!I502</f>
        <v>Nirranda Cemetery Trust</v>
      </c>
    </row>
    <row r="503" spans="1:1" x14ac:dyDescent="0.45">
      <c r="A503" t="str">
        <f>'State Depts'!I503</f>
        <v>Njernda Aboriginal Corporation</v>
      </c>
    </row>
    <row r="504" spans="1:1" x14ac:dyDescent="0.45">
      <c r="A504" t="str">
        <f>'State Depts'!I504</f>
        <v>Noradjuha Cemetery Trust</v>
      </c>
    </row>
    <row r="505" spans="1:1" x14ac:dyDescent="0.45">
      <c r="A505" t="str">
        <f>'State Depts'!I505</f>
        <v>North Richmond Community Health Ltd</v>
      </c>
    </row>
    <row r="506" spans="1:1" x14ac:dyDescent="0.45">
      <c r="A506" t="str">
        <f>'State Depts'!I506</f>
        <v>Northeast Health Wangaratta</v>
      </c>
    </row>
    <row r="507" spans="1:1" x14ac:dyDescent="0.45">
      <c r="A507" t="str">
        <f>'State Depts'!I507</f>
        <v>Northern District Community Health Service</v>
      </c>
    </row>
    <row r="508" spans="1:1" x14ac:dyDescent="0.45">
      <c r="A508" t="str">
        <f>'State Depts'!I508</f>
        <v>Northern Health</v>
      </c>
    </row>
    <row r="509" spans="1:1" x14ac:dyDescent="0.45">
      <c r="A509" t="str">
        <f>'State Depts'!I509</f>
        <v>Northern Health Research, Training and Equipment Foundation Ltd</v>
      </c>
    </row>
    <row r="510" spans="1:1" x14ac:dyDescent="0.45">
      <c r="A510" t="str">
        <f>'State Depts'!I510</f>
        <v>Nucleus Network Ltd</v>
      </c>
    </row>
    <row r="511" spans="1:1" x14ac:dyDescent="0.45">
      <c r="A511" t="str">
        <f>'State Depts'!I511</f>
        <v>Numurkah Cemetery Trust</v>
      </c>
    </row>
    <row r="512" spans="1:1" x14ac:dyDescent="0.45">
      <c r="A512" t="str">
        <f>'State Depts'!I512</f>
        <v>Numurkah Wunghnu Cemetery Trust</v>
      </c>
    </row>
    <row r="513" spans="1:1" x14ac:dyDescent="0.45">
      <c r="A513" t="str">
        <f>'State Depts'!I513</f>
        <v>Nurrabiel Cemetery Trust</v>
      </c>
    </row>
    <row r="514" spans="1:1" x14ac:dyDescent="0.45">
      <c r="A514" t="str">
        <f>'State Depts'!I514</f>
        <v>Nurse/Midwife To Patient Ratio Improvements Taskforce</v>
      </c>
    </row>
    <row r="515" spans="1:1" x14ac:dyDescent="0.45">
      <c r="A515" t="str">
        <f>'State Depts'!I515</f>
        <v>Nyah Cemetery Trust</v>
      </c>
    </row>
    <row r="516" spans="1:1" x14ac:dyDescent="0.45">
      <c r="A516" t="str">
        <f>'State Depts'!I516</f>
        <v>Nyora Cemetery Trust</v>
      </c>
    </row>
    <row r="517" spans="1:1" x14ac:dyDescent="0.45">
      <c r="A517" t="str">
        <f>'State Depts'!I517</f>
        <v>Omeo Cemetery Trust</v>
      </c>
    </row>
    <row r="518" spans="1:1" x14ac:dyDescent="0.45">
      <c r="A518" t="str">
        <f>'State Depts'!I518</f>
        <v>Omeo District Health</v>
      </c>
    </row>
    <row r="519" spans="1:1" x14ac:dyDescent="0.45">
      <c r="A519" t="str">
        <f>'State Depts'!I519</f>
        <v>Orbost Cemetery Trust</v>
      </c>
    </row>
    <row r="520" spans="1:1" x14ac:dyDescent="0.45">
      <c r="A520" t="str">
        <f>'State Depts'!I520</f>
        <v>Orbost Regional Health</v>
      </c>
    </row>
    <row r="521" spans="1:1" x14ac:dyDescent="0.45">
      <c r="A521" t="str">
        <f>'State Depts'!I521</f>
        <v>Orygen, The National Centre of Excellence in Youth</v>
      </c>
    </row>
    <row r="522" spans="1:1" x14ac:dyDescent="0.45">
      <c r="A522" t="str">
        <f>'State Depts'!I522</f>
        <v>Ouyen Cemetery Trust</v>
      </c>
    </row>
    <row r="523" spans="1:1" x14ac:dyDescent="0.45">
      <c r="A523" t="str">
        <f>'State Depts'!I523</f>
        <v>O’Brien Institute</v>
      </c>
    </row>
    <row r="524" spans="1:1" x14ac:dyDescent="0.45">
      <c r="A524" t="str">
        <f>'State Depts'!I524</f>
        <v>Pakenham Cemetery Trust</v>
      </c>
    </row>
    <row r="525" spans="1:1" x14ac:dyDescent="0.45">
      <c r="A525" t="str">
        <f>'State Depts'!I525</f>
        <v>Palliative Care Victoria</v>
      </c>
    </row>
    <row r="526" spans="1:1" x14ac:dyDescent="0.45">
      <c r="A526" t="str">
        <f>'State Depts'!I526</f>
        <v>Panmure Cemetery Trust</v>
      </c>
    </row>
    <row r="527" spans="1:1" x14ac:dyDescent="0.45">
      <c r="A527" t="str">
        <f>'State Depts'!I527</f>
        <v>Pannoo-bamawm Cemetery Trust</v>
      </c>
    </row>
    <row r="528" spans="1:1" x14ac:dyDescent="0.45">
      <c r="A528" t="str">
        <f>'State Depts'!I528</f>
        <v>Parent-Infant Research Institute</v>
      </c>
    </row>
    <row r="529" spans="1:1" x14ac:dyDescent="0.45">
      <c r="A529" t="str">
        <f>'State Depts'!I529</f>
        <v>Patho Cemetery Trust</v>
      </c>
    </row>
    <row r="530" spans="1:1" x14ac:dyDescent="0.45">
      <c r="A530" t="str">
        <f>'State Depts'!I530</f>
        <v>Patient Review Panel</v>
      </c>
    </row>
    <row r="531" spans="1:1" x14ac:dyDescent="0.45">
      <c r="A531" t="str">
        <f>'State Depts'!I531</f>
        <v>Patient Safety Advisory Committee</v>
      </c>
    </row>
    <row r="532" spans="1:1" x14ac:dyDescent="0.45">
      <c r="A532" t="str">
        <f>'State Depts'!I532</f>
        <v>Paynesville Cemetery Trust</v>
      </c>
    </row>
    <row r="533" spans="1:1" x14ac:dyDescent="0.45">
      <c r="A533" t="str">
        <f>'State Depts'!I533</f>
        <v>Peninsula Health</v>
      </c>
    </row>
    <row r="534" spans="1:1" x14ac:dyDescent="0.45">
      <c r="A534" t="str">
        <f>'State Depts'!I534</f>
        <v>Peninsula Home Hospice Ltd</v>
      </c>
    </row>
    <row r="535" spans="1:1" x14ac:dyDescent="0.45">
      <c r="A535" t="str">
        <f>'State Depts'!I535</f>
        <v>Perinatal Services Advisory Committee</v>
      </c>
    </row>
    <row r="536" spans="1:1" x14ac:dyDescent="0.45">
      <c r="A536" t="str">
        <f>'State Depts'!I536</f>
        <v>Peter MacCallum Cancer Institute</v>
      </c>
    </row>
    <row r="537" spans="1:1" x14ac:dyDescent="0.45">
      <c r="A537" t="str">
        <f>'State Depts'!I537</f>
        <v>Phillip Island Cemetery Trust</v>
      </c>
    </row>
    <row r="538" spans="1:1" x14ac:dyDescent="0.45">
      <c r="A538" t="str">
        <f>'State Depts'!I538</f>
        <v>Pimpinio Cemetery Trust</v>
      </c>
    </row>
    <row r="539" spans="1:1" x14ac:dyDescent="0.45">
      <c r="A539" t="str">
        <f>'State Depts'!I539</f>
        <v>Pine Lodge Cemetery Trust</v>
      </c>
    </row>
    <row r="540" spans="1:1" x14ac:dyDescent="0.45">
      <c r="A540" t="str">
        <f>'State Depts'!I540</f>
        <v>Plenty Valley Community Health Ltd</v>
      </c>
    </row>
    <row r="541" spans="1:1" x14ac:dyDescent="0.45">
      <c r="A541" t="str">
        <f>'State Depts'!I541</f>
        <v>Polkemmet Cemetery Trust</v>
      </c>
    </row>
    <row r="542" spans="1:1" x14ac:dyDescent="0.45">
      <c r="A542" t="str">
        <f>'State Depts'!I542</f>
        <v>Pompapiel Cemetery Trust</v>
      </c>
    </row>
    <row r="543" spans="1:1" x14ac:dyDescent="0.45">
      <c r="A543" t="str">
        <f>'State Depts'!I543</f>
        <v>Poowong Cemetery Trust</v>
      </c>
    </row>
    <row r="544" spans="1:1" x14ac:dyDescent="0.45">
      <c r="A544" t="str">
        <f>'State Depts'!I544</f>
        <v>Port Campbell Cemetery Trust</v>
      </c>
    </row>
    <row r="545" spans="1:1" x14ac:dyDescent="0.45">
      <c r="A545" t="str">
        <f>'State Depts'!I545</f>
        <v>Port Fairy Cemetery Trust</v>
      </c>
    </row>
    <row r="546" spans="1:1" x14ac:dyDescent="0.45">
      <c r="A546" t="str">
        <f>'State Depts'!I546</f>
        <v>Portland (North) Cemetery Trust</v>
      </c>
    </row>
    <row r="547" spans="1:1" x14ac:dyDescent="0.45">
      <c r="A547" t="str">
        <f>'State Depts'!I547</f>
        <v>Portland (South) Cemetery Trust</v>
      </c>
    </row>
    <row r="548" spans="1:1" x14ac:dyDescent="0.45">
      <c r="A548" t="str">
        <f>'State Depts'!I548</f>
        <v>Portland District Health</v>
      </c>
    </row>
    <row r="549" spans="1:1" x14ac:dyDescent="0.45">
      <c r="A549" t="str">
        <f>'State Depts'!I549</f>
        <v>Post Graduate Medical Council of Victoria Inc.</v>
      </c>
    </row>
    <row r="550" spans="1:1" x14ac:dyDescent="0.45">
      <c r="A550" t="str">
        <f>'State Depts'!I550</f>
        <v>Primary Care Connect</v>
      </c>
    </row>
    <row r="551" spans="1:1" x14ac:dyDescent="0.45">
      <c r="A551" t="str">
        <f>'State Depts'!I551</f>
        <v>Prince Henrys Institute of Medical Research</v>
      </c>
    </row>
    <row r="552" spans="1:1" x14ac:dyDescent="0.45">
      <c r="A552" t="str">
        <f>'State Depts'!I552</f>
        <v>Pyramid Hill Cemetery Trust</v>
      </c>
    </row>
    <row r="553" spans="1:1" x14ac:dyDescent="0.45">
      <c r="A553" t="str">
        <f>'State Depts'!I553</f>
        <v>Quambatook Cemetery Trust</v>
      </c>
    </row>
    <row r="554" spans="1:1" x14ac:dyDescent="0.45">
      <c r="A554" t="str">
        <f>'State Depts'!I554</f>
        <v>Quantong Cemetery Trust</v>
      </c>
    </row>
    <row r="555" spans="1:1" x14ac:dyDescent="0.45">
      <c r="A555" t="str">
        <f>'State Depts'!I555</f>
        <v>Queen Elizabeth Centre</v>
      </c>
    </row>
    <row r="556" spans="1:1" x14ac:dyDescent="0.45">
      <c r="A556" t="str">
        <f>'State Depts'!I556</f>
        <v>Queenstown Cemetery Trust</v>
      </c>
    </row>
    <row r="557" spans="1:1" x14ac:dyDescent="0.45">
      <c r="A557" t="str">
        <f>'State Depts'!I557</f>
        <v>Radiation Advisory Committee</v>
      </c>
    </row>
    <row r="558" spans="1:1" x14ac:dyDescent="0.45">
      <c r="A558" t="str">
        <f>'State Depts'!I558</f>
        <v>Rainbow Cemetery Trust</v>
      </c>
    </row>
    <row r="559" spans="1:1" x14ac:dyDescent="0.45">
      <c r="A559" t="str">
        <f>'State Depts'!I559</f>
        <v>Ramahyuck District Aboriginal Corporation</v>
      </c>
    </row>
    <row r="560" spans="1:1" x14ac:dyDescent="0.45">
      <c r="A560" t="str">
        <f>'State Depts'!I560</f>
        <v>Ranges Community Health Service Inc.</v>
      </c>
    </row>
    <row r="561" spans="1:1" x14ac:dyDescent="0.45">
      <c r="A561" t="str">
        <f>'State Depts'!I561</f>
        <v>Raywood Cemetery Trust</v>
      </c>
    </row>
    <row r="562" spans="1:1" x14ac:dyDescent="0.45">
      <c r="A562" t="str">
        <f>'State Depts'!I562</f>
        <v>Red Cliffs and Community Aged Care Services Inc.</v>
      </c>
    </row>
    <row r="563" spans="1:1" x14ac:dyDescent="0.45">
      <c r="A563" t="str">
        <f>'State Depts'!I563</f>
        <v>Red Cliffs Cemetery Trust</v>
      </c>
    </row>
    <row r="564" spans="1:1" x14ac:dyDescent="0.45">
      <c r="A564" t="str">
        <f>'State Depts'!I564</f>
        <v>Redbank Cemetery Trust</v>
      </c>
    </row>
    <row r="565" spans="1:1" x14ac:dyDescent="0.45">
      <c r="A565" t="str">
        <f>'State Depts'!I565</f>
        <v>Redcastle Cemetery Trust</v>
      </c>
    </row>
    <row r="566" spans="1:1" x14ac:dyDescent="0.45">
      <c r="A566" t="str">
        <f>'State Depts'!I566</f>
        <v>Remembrance Parks - Central Victoria (Bendigo Cemetery)</v>
      </c>
    </row>
    <row r="567" spans="1:1" x14ac:dyDescent="0.45">
      <c r="A567" t="str">
        <f>'State Depts'!I567</f>
        <v>Rheola Cemetery Trust</v>
      </c>
    </row>
    <row r="568" spans="1:1" x14ac:dyDescent="0.45">
      <c r="A568" t="str">
        <f>'State Depts'!I568</f>
        <v>Riddell's Creek Cemetery Trust</v>
      </c>
    </row>
    <row r="569" spans="1:1" x14ac:dyDescent="0.45">
      <c r="A569" t="str">
        <f>'State Depts'!I569</f>
        <v>Ripplebrook Cemetery Trust</v>
      </c>
    </row>
    <row r="570" spans="1:1" x14ac:dyDescent="0.45">
      <c r="A570" t="str">
        <f>'State Depts'!I570</f>
        <v>Robinvale Cemetery Trust</v>
      </c>
    </row>
    <row r="571" spans="1:1" x14ac:dyDescent="0.45">
      <c r="A571" t="str">
        <f>'State Depts'!I571</f>
        <v>Robinvale District Health Services</v>
      </c>
    </row>
    <row r="572" spans="1:1" x14ac:dyDescent="0.45">
      <c r="A572" t="str">
        <f>'State Depts'!I572</f>
        <v>Rochester And Elmore District Health Service</v>
      </c>
    </row>
    <row r="573" spans="1:1" x14ac:dyDescent="0.45">
      <c r="A573" t="str">
        <f>'State Depts'!I573</f>
        <v>Rochester Cemetery Trust</v>
      </c>
    </row>
    <row r="574" spans="1:1" x14ac:dyDescent="0.45">
      <c r="A574" t="str">
        <f>'State Depts'!I574</f>
        <v>Rokewood Cemetery Trust</v>
      </c>
    </row>
    <row r="575" spans="1:1" x14ac:dyDescent="0.45">
      <c r="A575" t="str">
        <f>'State Depts'!I575</f>
        <v>Rosebery Cemetery Trust</v>
      </c>
    </row>
    <row r="576" spans="1:1" x14ac:dyDescent="0.45">
      <c r="A576" t="str">
        <f>'State Depts'!I576</f>
        <v>Rosedale Cemetery Trust</v>
      </c>
    </row>
    <row r="577" spans="1:1" x14ac:dyDescent="0.45">
      <c r="A577" t="str">
        <f>'State Depts'!I577</f>
        <v>Rothwell Cemetery Trust</v>
      </c>
    </row>
    <row r="578" spans="1:1" x14ac:dyDescent="0.45">
      <c r="A578" t="str">
        <f>'State Depts'!I578</f>
        <v>Royal District Nursing Service</v>
      </c>
    </row>
    <row r="579" spans="1:1" x14ac:dyDescent="0.45">
      <c r="A579" t="str">
        <f>'State Depts'!I579</f>
        <v>Royal Melbourne Hospital Neuroscience Foundation</v>
      </c>
    </row>
    <row r="580" spans="1:1" x14ac:dyDescent="0.45">
      <c r="A580" t="str">
        <f>'State Depts'!I580</f>
        <v>Rumbalara Aboriginal Co-operative Ltd</v>
      </c>
    </row>
    <row r="581" spans="1:1" x14ac:dyDescent="0.45">
      <c r="A581" t="str">
        <f>'State Depts'!I581</f>
        <v>Rumbalara Football and Netball Club Inc.</v>
      </c>
    </row>
    <row r="582" spans="1:1" x14ac:dyDescent="0.45">
      <c r="A582" t="str">
        <f>'State Depts'!I582</f>
        <v>Runnymede Cemetery Trust</v>
      </c>
    </row>
    <row r="583" spans="1:1" x14ac:dyDescent="0.45">
      <c r="A583" t="str">
        <f>'State Depts'!I583</f>
        <v>Rupanyup Cemetery Trust</v>
      </c>
    </row>
    <row r="584" spans="1:1" x14ac:dyDescent="0.45">
      <c r="A584" t="str">
        <f>'State Depts'!I584</f>
        <v>Rural Northwest Health</v>
      </c>
    </row>
    <row r="585" spans="1:1" x14ac:dyDescent="0.45">
      <c r="A585" t="str">
        <f>'State Depts'!I585</f>
        <v>Rushworth Cemetery Trust</v>
      </c>
    </row>
    <row r="586" spans="1:1" x14ac:dyDescent="0.45">
      <c r="A586" t="str">
        <f>'State Depts'!I586</f>
        <v>Rye Cemetery Trust</v>
      </c>
    </row>
    <row r="587" spans="1:1" x14ac:dyDescent="0.45">
      <c r="A587" t="str">
        <f>'State Depts'!I587</f>
        <v>Safer Care Victoria</v>
      </c>
    </row>
    <row r="588" spans="1:1" x14ac:dyDescent="0.45">
      <c r="A588" t="str">
        <f>'State Depts'!I588</f>
        <v>Sale Cemetery Trust</v>
      </c>
    </row>
    <row r="589" spans="1:1" x14ac:dyDescent="0.45">
      <c r="A589" t="str">
        <f>'State Depts'!I589</f>
        <v>Sandford Cemetery Trust</v>
      </c>
    </row>
    <row r="590" spans="1:1" x14ac:dyDescent="0.45">
      <c r="A590" t="str">
        <f>'State Depts'!I590</f>
        <v>Sandy Creek Cemetery Trust</v>
      </c>
    </row>
    <row r="591" spans="1:1" x14ac:dyDescent="0.45">
      <c r="A591" t="str">
        <f>'State Depts'!I591</f>
        <v>Science, Medical Research And Technology Panel</v>
      </c>
    </row>
    <row r="592" spans="1:1" x14ac:dyDescent="0.45">
      <c r="A592" t="str">
        <f>'State Depts'!I592</f>
        <v>Scotts Creek Cemetery Trust</v>
      </c>
    </row>
    <row r="593" spans="1:1" x14ac:dyDescent="0.45">
      <c r="A593" t="str">
        <f>'State Depts'!I593</f>
        <v>Sea Lake Cemetery Trust</v>
      </c>
    </row>
    <row r="594" spans="1:1" x14ac:dyDescent="0.45">
      <c r="A594" t="str">
        <f>'State Depts'!I594</f>
        <v>Seymour Cemetery Trust</v>
      </c>
    </row>
    <row r="595" spans="1:1" x14ac:dyDescent="0.45">
      <c r="A595" t="str">
        <f>'State Depts'!I595</f>
        <v>Seymour Health</v>
      </c>
    </row>
    <row r="596" spans="1:1" x14ac:dyDescent="0.45">
      <c r="A596" t="str">
        <f>'State Depts'!I596</f>
        <v>Sheep Hills Cemetery Trust</v>
      </c>
    </row>
    <row r="597" spans="1:1" x14ac:dyDescent="0.45">
      <c r="A597" t="str">
        <f>'State Depts'!I597</f>
        <v>Shelford Cemetery Trust</v>
      </c>
    </row>
    <row r="598" spans="1:1" x14ac:dyDescent="0.45">
      <c r="A598" t="str">
        <f>'State Depts'!I598</f>
        <v>Shepparton Cemetery Trust</v>
      </c>
    </row>
    <row r="599" spans="1:1" x14ac:dyDescent="0.45">
      <c r="A599" t="str">
        <f>'State Depts'!I599</f>
        <v>Shooting Sports Facilities Program Advisory Committee</v>
      </c>
    </row>
    <row r="600" spans="1:1" x14ac:dyDescent="0.45">
      <c r="A600" t="str">
        <f>'State Depts'!I600</f>
        <v>Skipton Cemetery Trust</v>
      </c>
    </row>
    <row r="601" spans="1:1" x14ac:dyDescent="0.45">
      <c r="A601" t="str">
        <f>'State Depts'!I601</f>
        <v>Smeaton Cemetery Trust</v>
      </c>
    </row>
    <row r="602" spans="1:1" x14ac:dyDescent="0.45">
      <c r="A602" t="str">
        <f>'State Depts'!I602</f>
        <v>Smythesdale Cemetery Trust</v>
      </c>
    </row>
    <row r="603" spans="1:1" x14ac:dyDescent="0.45">
      <c r="A603" t="str">
        <f>'State Depts'!I603</f>
        <v>Sorrento Cemetery Trust</v>
      </c>
    </row>
    <row r="604" spans="1:1" x14ac:dyDescent="0.45">
      <c r="A604" t="str">
        <f>'State Depts'!I604</f>
        <v>South East Palliative Care Ltd</v>
      </c>
    </row>
    <row r="605" spans="1:1" x14ac:dyDescent="0.45">
      <c r="A605" t="str">
        <f>'State Depts'!I605</f>
        <v>South Gippsland Hospital</v>
      </c>
    </row>
    <row r="606" spans="1:1" x14ac:dyDescent="0.45">
      <c r="A606" t="str">
        <f>'State Depts'!I606</f>
        <v>South West Healthcare</v>
      </c>
    </row>
    <row r="607" spans="1:1" x14ac:dyDescent="0.45">
      <c r="A607" t="str">
        <f>'State Depts'!I607</f>
        <v>Southern Metropolitan Cemeteries Trust</v>
      </c>
    </row>
    <row r="608" spans="1:1" x14ac:dyDescent="0.45">
      <c r="A608" t="str">
        <f>'State Depts'!I608</f>
        <v>Speed Cemetery Trust</v>
      </c>
    </row>
    <row r="609" spans="1:1" x14ac:dyDescent="0.45">
      <c r="A609" t="str">
        <f>'State Depts'!I609</f>
        <v>Spring Hill Cemetery Trust</v>
      </c>
    </row>
    <row r="610" spans="1:1" x14ac:dyDescent="0.45">
      <c r="A610" t="str">
        <f>'State Depts'!I610</f>
        <v>Spring Lead Cemetery Trust</v>
      </c>
    </row>
    <row r="611" spans="1:1" x14ac:dyDescent="0.45">
      <c r="A611" t="str">
        <f>'State Depts'!I611</f>
        <v>St Arnaud Cemetery Trust</v>
      </c>
    </row>
    <row r="612" spans="1:1" x14ac:dyDescent="0.45">
      <c r="A612" t="str">
        <f>'State Depts'!I612</f>
        <v>St John Ambulance Australia (Vic) Inc.</v>
      </c>
    </row>
    <row r="613" spans="1:1" x14ac:dyDescent="0.45">
      <c r="A613" t="str">
        <f>'State Depts'!I613</f>
        <v>St Vincents Hospital (Melbourne) Ltd</v>
      </c>
    </row>
    <row r="614" spans="1:1" x14ac:dyDescent="0.45">
      <c r="A614" t="str">
        <f>'State Depts'!I614</f>
        <v>St Vincents Institute of Medical Research (SVI)</v>
      </c>
    </row>
    <row r="615" spans="1:1" x14ac:dyDescent="0.45">
      <c r="A615" t="str">
        <f>'State Depts'!I615</f>
        <v>Staffordshire Reef Cemetery Trust</v>
      </c>
    </row>
    <row r="616" spans="1:1" x14ac:dyDescent="0.45">
      <c r="A616" t="str">
        <f>'State Depts'!I616</f>
        <v>Stanley Cemetery Trust</v>
      </c>
    </row>
    <row r="617" spans="1:1" x14ac:dyDescent="0.45">
      <c r="A617" t="str">
        <f>'State Depts'!I617</f>
        <v>State Netball And Hockey Centre Advisory Committee</v>
      </c>
    </row>
    <row r="618" spans="1:1" x14ac:dyDescent="0.45">
      <c r="A618" t="str">
        <f>'State Depts'!I618</f>
        <v>State Trauma Committee</v>
      </c>
    </row>
    <row r="619" spans="1:1" x14ac:dyDescent="0.45">
      <c r="A619" t="str">
        <f>'State Depts'!I619</f>
        <v>Stawell Cemetery Trust (Pleasant Creek)</v>
      </c>
    </row>
    <row r="620" spans="1:1" x14ac:dyDescent="0.45">
      <c r="A620" t="str">
        <f>'State Depts'!I620</f>
        <v>Stawell Regional Health</v>
      </c>
    </row>
    <row r="621" spans="1:1" x14ac:dyDescent="0.45">
      <c r="A621" t="str">
        <f>'State Depts'!I621</f>
        <v>Steiglitz Cemetery Trust</v>
      </c>
    </row>
    <row r="622" spans="1:1" x14ac:dyDescent="0.45">
      <c r="A622" t="str">
        <f>'State Depts'!I622</f>
        <v>Stratford Cemetery Trust</v>
      </c>
    </row>
    <row r="623" spans="1:1" x14ac:dyDescent="0.45">
      <c r="A623" t="str">
        <f>'State Depts'!I623</f>
        <v>Strathbogie Cemetery Trust</v>
      </c>
    </row>
    <row r="624" spans="1:1" x14ac:dyDescent="0.45">
      <c r="A624" t="str">
        <f>'State Depts'!I624</f>
        <v>Strathdownie East Cemetery Trust</v>
      </c>
    </row>
    <row r="625" spans="1:1" x14ac:dyDescent="0.45">
      <c r="A625" t="str">
        <f>'State Depts'!I625</f>
        <v>Streatham Cemetery Trust</v>
      </c>
    </row>
    <row r="626" spans="1:1" x14ac:dyDescent="0.45">
      <c r="A626" t="str">
        <f>'State Depts'!I626</f>
        <v>Stuart Mill Cemetery Trust</v>
      </c>
    </row>
    <row r="627" spans="1:1" x14ac:dyDescent="0.45">
      <c r="A627" t="str">
        <f>'State Depts'!I627</f>
        <v>Suitability Panel</v>
      </c>
    </row>
    <row r="628" spans="1:1" x14ac:dyDescent="0.45">
      <c r="A628" t="str">
        <f>'State Depts'!I628</f>
        <v>Sunbury Cemetery Trust</v>
      </c>
    </row>
    <row r="629" spans="1:1" x14ac:dyDescent="0.45">
      <c r="A629" t="str">
        <f>'State Depts'!I629</f>
        <v>Sunbury Community Health Centre</v>
      </c>
    </row>
    <row r="630" spans="1:1" x14ac:dyDescent="0.45">
      <c r="A630" t="str">
        <f>'State Depts'!I630</f>
        <v>Sunraysia Community Health Services Ltd</v>
      </c>
    </row>
    <row r="631" spans="1:1" x14ac:dyDescent="0.45">
      <c r="A631" t="str">
        <f>'State Depts'!I631</f>
        <v>Sutton Grange Cemetery Trust</v>
      </c>
    </row>
    <row r="632" spans="1:1" x14ac:dyDescent="0.45">
      <c r="A632" t="str">
        <f>'State Depts'!I632</f>
        <v>Swan Hill Cemetery Trust</v>
      </c>
    </row>
    <row r="633" spans="1:1" x14ac:dyDescent="0.45">
      <c r="A633" t="str">
        <f>'State Depts'!I633</f>
        <v>Swan Hill District Health</v>
      </c>
    </row>
    <row r="634" spans="1:1" x14ac:dyDescent="0.45">
      <c r="A634" t="str">
        <f>'State Depts'!I634</f>
        <v>Swanwater West Cemetery Trust</v>
      </c>
    </row>
    <row r="635" spans="1:1" x14ac:dyDescent="0.45">
      <c r="A635" t="str">
        <f>'State Depts'!I635</f>
        <v>Swifts Creek Bush Nursing Centre Inc.</v>
      </c>
    </row>
    <row r="636" spans="1:1" x14ac:dyDescent="0.45">
      <c r="A636" t="str">
        <f>'State Depts'!I636</f>
        <v>Talgarno Cemetery Trust</v>
      </c>
    </row>
    <row r="637" spans="1:1" x14ac:dyDescent="0.45">
      <c r="A637" t="str">
        <f>'State Depts'!I637</f>
        <v>Tallangatta Cemetery Trust</v>
      </c>
    </row>
    <row r="638" spans="1:1" x14ac:dyDescent="0.45">
      <c r="A638" t="str">
        <f>'State Depts'!I638</f>
        <v>Tallangatta Health Service</v>
      </c>
    </row>
    <row r="639" spans="1:1" x14ac:dyDescent="0.45">
      <c r="A639" t="str">
        <f>'State Depts'!I639</f>
        <v>Tallarook Cemetery Trust</v>
      </c>
    </row>
    <row r="640" spans="1:1" x14ac:dyDescent="0.45">
      <c r="A640" t="str">
        <f>'State Depts'!I640</f>
        <v>Taradale Cemetery Trust</v>
      </c>
    </row>
    <row r="641" spans="1:1" x14ac:dyDescent="0.45">
      <c r="A641" t="str">
        <f>'State Depts'!I641</f>
        <v>Tarnagulla Cemetery Trust</v>
      </c>
    </row>
    <row r="642" spans="1:1" x14ac:dyDescent="0.45">
      <c r="A642" t="str">
        <f>'State Depts'!I642</f>
        <v>Tarrawingee Cemetery Trust</v>
      </c>
    </row>
    <row r="643" spans="1:1" x14ac:dyDescent="0.45">
      <c r="A643" t="str">
        <f>'State Depts'!I643</f>
        <v>Tarrayoukyan Cemetery Trust</v>
      </c>
    </row>
    <row r="644" spans="1:1" x14ac:dyDescent="0.45">
      <c r="A644" t="str">
        <f>'State Depts'!I644</f>
        <v>Tarwin Lower Cemetery Trust</v>
      </c>
    </row>
    <row r="645" spans="1:1" x14ac:dyDescent="0.45">
      <c r="A645" t="str">
        <f>'State Depts'!I645</f>
        <v>Tatura Cemetery Trust</v>
      </c>
    </row>
    <row r="646" spans="1:1" x14ac:dyDescent="0.45">
      <c r="A646" t="str">
        <f>'State Depts'!I646</f>
        <v>Tatyoon Cemetery Trust</v>
      </c>
    </row>
    <row r="647" spans="1:1" x14ac:dyDescent="0.45">
      <c r="A647" t="str">
        <f>'State Depts'!I647</f>
        <v>Tawonga Cemetery Trust</v>
      </c>
    </row>
    <row r="648" spans="1:1" x14ac:dyDescent="0.45">
      <c r="A648" t="str">
        <f>'State Depts'!I648</f>
        <v>Teesdale Cemetery Trust</v>
      </c>
    </row>
    <row r="649" spans="1:1" x14ac:dyDescent="0.45">
      <c r="A649" t="str">
        <f>'State Depts'!I649</f>
        <v>Terang And Mortlake Health Service</v>
      </c>
    </row>
    <row r="650" spans="1:1" x14ac:dyDescent="0.45">
      <c r="A650" t="str">
        <f>'State Depts'!I650</f>
        <v>Terang Cemetery Trust</v>
      </c>
    </row>
    <row r="651" spans="1:1" x14ac:dyDescent="0.45">
      <c r="A651" t="str">
        <f>'State Depts'!I651</f>
        <v>Terrapee Cemetery Trust</v>
      </c>
    </row>
    <row r="652" spans="1:1" x14ac:dyDescent="0.45">
      <c r="A652" t="str">
        <f>'State Depts'!I652</f>
        <v>The Bays Hospital Group Inc.</v>
      </c>
    </row>
    <row r="653" spans="1:1" x14ac:dyDescent="0.45">
      <c r="A653" t="str">
        <f>'State Depts'!I653</f>
        <v>The Bionics Institute of Australia</v>
      </c>
    </row>
    <row r="654" spans="1:1" x14ac:dyDescent="0.45">
      <c r="A654" t="str">
        <f>'State Depts'!I654</f>
        <v>The DAX Centre Ltd</v>
      </c>
    </row>
    <row r="655" spans="1:1" x14ac:dyDescent="0.45">
      <c r="A655" t="str">
        <f>'State Depts'!I655</f>
        <v>The Deafness Foundation (Victoria)</v>
      </c>
    </row>
    <row r="656" spans="1:1" x14ac:dyDescent="0.45">
      <c r="A656" t="str">
        <f>'State Depts'!I656</f>
        <v>The Florey Institute of Neuroscience and Mental Health</v>
      </c>
    </row>
    <row r="657" spans="1:1" x14ac:dyDescent="0.45">
      <c r="A657" t="str">
        <f>'State Depts'!I657</f>
        <v>The Gathering Place Health Service Ltd</v>
      </c>
    </row>
    <row r="658" spans="1:1" x14ac:dyDescent="0.45">
      <c r="A658" t="str">
        <f>'State Depts'!I658</f>
        <v>The Mental Health Research Institute</v>
      </c>
    </row>
    <row r="659" spans="1:1" x14ac:dyDescent="0.45">
      <c r="A659" t="str">
        <f>'State Depts'!I659</f>
        <v>The Royal Children's Hospital</v>
      </c>
    </row>
    <row r="660" spans="1:1" x14ac:dyDescent="0.45">
      <c r="A660" t="str">
        <f>'State Depts'!I660</f>
        <v>The Royal Victorian Eye and Ear Hospital</v>
      </c>
    </row>
    <row r="661" spans="1:1" x14ac:dyDescent="0.45">
      <c r="A661" t="str">
        <f>'State Depts'!I661</f>
        <v>The Royal Women's Hospital</v>
      </c>
    </row>
    <row r="662" spans="1:1" x14ac:dyDescent="0.45">
      <c r="A662" t="str">
        <f>'State Depts'!I662</f>
        <v>The Victorian Foundation for Survivors of Torture</v>
      </c>
    </row>
    <row r="663" spans="1:1" x14ac:dyDescent="0.45">
      <c r="A663" t="str">
        <f>'State Depts'!I663</f>
        <v>Therapeutic Treatment Board</v>
      </c>
    </row>
    <row r="664" spans="1:1" x14ac:dyDescent="0.45">
      <c r="A664" t="str">
        <f>'State Depts'!I664</f>
        <v>Thoona Cemetery Trust</v>
      </c>
    </row>
    <row r="665" spans="1:1" x14ac:dyDescent="0.45">
      <c r="A665" t="str">
        <f>'State Depts'!I665</f>
        <v>Thorpdale Cemetery Trust</v>
      </c>
    </row>
    <row r="666" spans="1:1" x14ac:dyDescent="0.45">
      <c r="A666" t="str">
        <f>'State Depts'!I666</f>
        <v>Timboon and District Healthcare Service</v>
      </c>
    </row>
    <row r="667" spans="1:1" x14ac:dyDescent="0.45">
      <c r="A667" t="str">
        <f>'State Depts'!I667</f>
        <v>Timor Cemetery Trust</v>
      </c>
    </row>
    <row r="668" spans="1:1" x14ac:dyDescent="0.45">
      <c r="A668" t="str">
        <f>'State Depts'!I668</f>
        <v>Tongala and District Memorial Aged Care Service Inc.</v>
      </c>
    </row>
    <row r="669" spans="1:1" x14ac:dyDescent="0.45">
      <c r="A669" t="str">
        <f>'State Depts'!I669</f>
        <v>Tongala Cemetery Trust</v>
      </c>
    </row>
    <row r="670" spans="1:1" x14ac:dyDescent="0.45">
      <c r="A670" t="str">
        <f>'State Depts'!I670</f>
        <v>Tooan Cemetery Trust</v>
      </c>
    </row>
    <row r="671" spans="1:1" x14ac:dyDescent="0.45">
      <c r="A671" t="str">
        <f>'State Depts'!I671</f>
        <v>Toolamba Cemetery Trust</v>
      </c>
    </row>
    <row r="672" spans="1:1" x14ac:dyDescent="0.45">
      <c r="A672" t="str">
        <f>'State Depts'!I672</f>
        <v>Toongabbie Cemetery Trust</v>
      </c>
    </row>
    <row r="673" spans="1:1" x14ac:dyDescent="0.45">
      <c r="A673" t="str">
        <f>'State Depts'!I673</f>
        <v>Toora Cemetery Trust</v>
      </c>
    </row>
    <row r="674" spans="1:1" x14ac:dyDescent="0.45">
      <c r="A674" t="str">
        <f>'State Depts'!I674</f>
        <v>Towaninnie Cemetery Trust</v>
      </c>
    </row>
    <row r="675" spans="1:1" x14ac:dyDescent="0.45">
      <c r="A675" t="str">
        <f>'State Depts'!I675</f>
        <v>Tower Hill Cemetery Trust</v>
      </c>
    </row>
    <row r="676" spans="1:1" x14ac:dyDescent="0.45">
      <c r="A676" t="str">
        <f>'State Depts'!I676</f>
        <v>Trafalgar Cemetery Trust</v>
      </c>
    </row>
    <row r="677" spans="1:1" x14ac:dyDescent="0.45">
      <c r="A677" t="str">
        <f>'State Depts'!I677</f>
        <v>Traralgon Cemetery Trust</v>
      </c>
    </row>
    <row r="678" spans="1:1" x14ac:dyDescent="0.45">
      <c r="A678" t="str">
        <f>'State Depts'!I678</f>
        <v>Trentham Cemetery Trust</v>
      </c>
    </row>
    <row r="679" spans="1:1" x14ac:dyDescent="0.45">
      <c r="A679" t="str">
        <f>'State Depts'!I679</f>
        <v>Tungamah Cemetery Trust</v>
      </c>
    </row>
    <row r="680" spans="1:1" x14ac:dyDescent="0.45">
      <c r="A680" t="str">
        <f>'State Depts'!I680</f>
        <v>Tutye Cemetery Trust</v>
      </c>
    </row>
    <row r="681" spans="1:1" x14ac:dyDescent="0.45">
      <c r="A681" t="str">
        <f>'State Depts'!I681</f>
        <v>Tweddle Child And Family Health Service</v>
      </c>
    </row>
    <row r="682" spans="1:1" x14ac:dyDescent="0.45">
      <c r="A682" t="str">
        <f>'State Depts'!I682</f>
        <v>Tyaak Cemetery Trust</v>
      </c>
    </row>
    <row r="683" spans="1:1" x14ac:dyDescent="0.45">
      <c r="A683" t="str">
        <f>'State Depts'!I683</f>
        <v>Tylden Cemetery Trust</v>
      </c>
    </row>
    <row r="684" spans="1:1" x14ac:dyDescent="0.45">
      <c r="A684" t="str">
        <f>'State Depts'!I684</f>
        <v>Ultima Cemetery Trust</v>
      </c>
    </row>
    <row r="685" spans="1:1" x14ac:dyDescent="0.45">
      <c r="A685" t="str">
        <f>'State Depts'!I685</f>
        <v>Underbool Cemetery Trust</v>
      </c>
    </row>
    <row r="686" spans="1:1" x14ac:dyDescent="0.45">
      <c r="A686" t="str">
        <f>'State Depts'!I686</f>
        <v>Upper Yarra Cemetery Trust</v>
      </c>
    </row>
    <row r="687" spans="1:1" x14ac:dyDescent="0.45">
      <c r="A687" t="str">
        <f>'State Depts'!I687</f>
        <v>Vaughan Cemetery Trust</v>
      </c>
    </row>
    <row r="688" spans="1:1" x14ac:dyDescent="0.45">
      <c r="A688" t="str">
        <f>'State Depts'!I688</f>
        <v>VICSERV (Psychiatric Disability Services of Vic)</v>
      </c>
    </row>
    <row r="689" spans="1:1" x14ac:dyDescent="0.45">
      <c r="A689" t="str">
        <f>'State Depts'!I689</f>
        <v>Victoria Walks Inc.</v>
      </c>
    </row>
    <row r="690" spans="1:1" x14ac:dyDescent="0.45">
      <c r="A690" t="str">
        <f>'State Depts'!I690</f>
        <v>Victorian Aboriginal Child Care Agency Co-operative</v>
      </c>
    </row>
    <row r="691" spans="1:1" x14ac:dyDescent="0.45">
      <c r="A691" t="str">
        <f>'State Depts'!I691</f>
        <v>Victorian Aboriginal Community Controlled Health Organisation</v>
      </c>
    </row>
    <row r="692" spans="1:1" x14ac:dyDescent="0.45">
      <c r="A692" t="str">
        <f>'State Depts'!I692</f>
        <v>Victorian Aboriginal Community Services Association</v>
      </c>
    </row>
    <row r="693" spans="1:1" x14ac:dyDescent="0.45">
      <c r="A693" t="str">
        <f>'State Depts'!I693</f>
        <v>Victorian Aboriginal Health Service Co-operative Ltd</v>
      </c>
    </row>
    <row r="694" spans="1:1" x14ac:dyDescent="0.45">
      <c r="A694" t="str">
        <f>'State Depts'!I694</f>
        <v>Victorian Agency For Health Information</v>
      </c>
    </row>
    <row r="695" spans="1:1" x14ac:dyDescent="0.45">
      <c r="A695" t="str">
        <f>'State Depts'!I695</f>
        <v>Victorian Aids Council (Gay Men’s Health Centre)</v>
      </c>
    </row>
    <row r="696" spans="1:1" x14ac:dyDescent="0.45">
      <c r="A696" t="str">
        <f>'State Depts'!I696</f>
        <v>Victorian Assisted Reproductive Treatment Authority</v>
      </c>
    </row>
    <row r="697" spans="1:1" x14ac:dyDescent="0.45">
      <c r="A697" t="str">
        <f>'State Depts'!I697</f>
        <v>Victorian Cancer Agency Consultative Council</v>
      </c>
    </row>
    <row r="698" spans="1:1" x14ac:dyDescent="0.45">
      <c r="A698" t="str">
        <f>'State Depts'!I698</f>
        <v>Victorian Children's Council</v>
      </c>
    </row>
    <row r="699" spans="1:1" x14ac:dyDescent="0.45">
      <c r="A699" t="str">
        <f>'State Depts'!I699</f>
        <v>Victorian Clinical Council</v>
      </c>
    </row>
    <row r="700" spans="1:1" x14ac:dyDescent="0.45">
      <c r="A700" t="str">
        <f>'State Depts'!I700</f>
        <v>Victorian Clinical Genetics Service Ltd</v>
      </c>
    </row>
    <row r="701" spans="1:1" x14ac:dyDescent="0.45">
      <c r="A701" t="str">
        <f>'State Depts'!I701</f>
        <v>Victorian Comprehensive Cancer Centre Ltd</v>
      </c>
    </row>
    <row r="702" spans="1:1" x14ac:dyDescent="0.45">
      <c r="A702" t="str">
        <f>'State Depts'!I702</f>
        <v>Victorian Consultative Council On Anaesthetic Mortality And Morbidity</v>
      </c>
    </row>
    <row r="703" spans="1:1" x14ac:dyDescent="0.45">
      <c r="A703" t="str">
        <f>'State Depts'!I703</f>
        <v>Victorian Cytology Service Ltd</v>
      </c>
    </row>
    <row r="704" spans="1:1" x14ac:dyDescent="0.45">
      <c r="A704" t="str">
        <f>'State Depts'!I704</f>
        <v>Victorian Disability Advisory Council</v>
      </c>
    </row>
    <row r="705" spans="1:1" x14ac:dyDescent="0.45">
      <c r="A705" t="str">
        <f>'State Depts'!I705</f>
        <v>Victorian Health and Human Services Building Authority (VHHSBA)</v>
      </c>
    </row>
    <row r="706" spans="1:1" x14ac:dyDescent="0.45">
      <c r="A706" t="str">
        <f>'State Depts'!I706</f>
        <v>Victorian Health Promotion Foundation</v>
      </c>
    </row>
    <row r="707" spans="1:1" x14ac:dyDescent="0.45">
      <c r="A707" t="str">
        <f>'State Depts'!I707</f>
        <v>Victorian Healthcare Association Ltd</v>
      </c>
    </row>
    <row r="708" spans="1:1" x14ac:dyDescent="0.45">
      <c r="A708" t="str">
        <f>'State Depts'!I708</f>
        <v>Victorian Hospitals Industrial Association</v>
      </c>
    </row>
    <row r="709" spans="1:1" x14ac:dyDescent="0.45">
      <c r="A709" t="str">
        <f>'State Depts'!I709</f>
        <v>Victorian Institute Of Forensic Mental Health (Forensicare)</v>
      </c>
    </row>
    <row r="710" spans="1:1" x14ac:dyDescent="0.45">
      <c r="A710" t="str">
        <f>'State Depts'!I710</f>
        <v>Victorian Pharmacy Authority</v>
      </c>
    </row>
    <row r="711" spans="1:1" x14ac:dyDescent="0.45">
      <c r="A711" t="str">
        <f>'State Depts'!I711</f>
        <v>Victorian Surgical Consultative Council</v>
      </c>
    </row>
    <row r="712" spans="1:1" x14ac:dyDescent="0.45">
      <c r="A712" t="str">
        <f>'State Depts'!I712</f>
        <v>Violet Town Bush Nursing Centre</v>
      </c>
    </row>
    <row r="713" spans="1:1" x14ac:dyDescent="0.45">
      <c r="A713" t="str">
        <f>'State Depts'!I713</f>
        <v>Violet Town Cemetery Trust</v>
      </c>
    </row>
    <row r="714" spans="1:1" x14ac:dyDescent="0.45">
      <c r="A714" t="str">
        <f>'State Depts'!I714</f>
        <v>Waitchie Cemetery Trust</v>
      </c>
    </row>
    <row r="715" spans="1:1" x14ac:dyDescent="0.45">
      <c r="A715" t="str">
        <f>'State Depts'!I715</f>
        <v>Walhalla Cemetery Trust</v>
      </c>
    </row>
    <row r="716" spans="1:1" x14ac:dyDescent="0.45">
      <c r="A716" t="str">
        <f>'State Depts'!I716</f>
        <v>Wallan Cemetery Trust</v>
      </c>
    </row>
    <row r="717" spans="1:1" x14ac:dyDescent="0.45">
      <c r="A717" t="str">
        <f>'State Depts'!I717</f>
        <v>Walpeup Cemetery Trust</v>
      </c>
    </row>
    <row r="718" spans="1:1" x14ac:dyDescent="0.45">
      <c r="A718" t="str">
        <f>'State Depts'!I718</f>
        <v>Walwa Bush Nursing Centre</v>
      </c>
    </row>
    <row r="719" spans="1:1" x14ac:dyDescent="0.45">
      <c r="A719" t="str">
        <f>'State Depts'!I719</f>
        <v>Walwa Cemetery Trust</v>
      </c>
    </row>
    <row r="720" spans="1:1" x14ac:dyDescent="0.45">
      <c r="A720" t="str">
        <f>'State Depts'!I720</f>
        <v>Wangaratta Cemetery Trust</v>
      </c>
    </row>
    <row r="721" spans="1:1" x14ac:dyDescent="0.45">
      <c r="A721" t="str">
        <f>'State Depts'!I721</f>
        <v>Warracknabeal Cemetery Trust</v>
      </c>
    </row>
    <row r="722" spans="1:1" x14ac:dyDescent="0.45">
      <c r="A722" t="str">
        <f>'State Depts'!I722</f>
        <v>Warragul Cemetery Trust</v>
      </c>
    </row>
    <row r="723" spans="1:1" x14ac:dyDescent="0.45">
      <c r="A723" t="str">
        <f>'State Depts'!I723</f>
        <v>Warringal Cemetery</v>
      </c>
    </row>
    <row r="724" spans="1:1" x14ac:dyDescent="0.45">
      <c r="A724" t="str">
        <f>'State Depts'!I724</f>
        <v>Warrnambool Cemetery Trust</v>
      </c>
    </row>
    <row r="725" spans="1:1" x14ac:dyDescent="0.45">
      <c r="A725" t="str">
        <f>'State Depts'!I725</f>
        <v>Watchem Cemetery Trust</v>
      </c>
    </row>
    <row r="726" spans="1:1" x14ac:dyDescent="0.45">
      <c r="A726" t="str">
        <f>'State Depts'!I726</f>
        <v>Waterloo Cemetery Trust</v>
      </c>
    </row>
    <row r="727" spans="1:1" x14ac:dyDescent="0.45">
      <c r="A727" t="str">
        <f>'State Depts'!I727</f>
        <v>Wathaurong Aboriginal Co-operative Ltd</v>
      </c>
    </row>
    <row r="728" spans="1:1" x14ac:dyDescent="0.45">
      <c r="A728" t="str">
        <f>'State Depts'!I728</f>
        <v>Waubra Cemetery Trust</v>
      </c>
    </row>
    <row r="729" spans="1:1" x14ac:dyDescent="0.45">
      <c r="A729" t="str">
        <f>'State Depts'!I729</f>
        <v>Wedderburn Cemetery Trust</v>
      </c>
    </row>
    <row r="730" spans="1:1" x14ac:dyDescent="0.45">
      <c r="A730" t="str">
        <f>'State Depts'!I730</f>
        <v>Welshpool Cemetery Trust</v>
      </c>
    </row>
    <row r="731" spans="1:1" x14ac:dyDescent="0.45">
      <c r="A731" t="str">
        <f>'State Depts'!I731</f>
        <v>Werona and Kooroocheang Cemetery Trust</v>
      </c>
    </row>
    <row r="732" spans="1:1" x14ac:dyDescent="0.45">
      <c r="A732" t="str">
        <f>'State Depts'!I732</f>
        <v>Werrimull Cemetery Trust</v>
      </c>
    </row>
    <row r="733" spans="1:1" x14ac:dyDescent="0.45">
      <c r="A733" t="str">
        <f>'State Depts'!I733</f>
        <v>West Gippsland Healthcare Group</v>
      </c>
    </row>
    <row r="734" spans="1:1" x14ac:dyDescent="0.45">
      <c r="A734" t="str">
        <f>'State Depts'!I734</f>
        <v>West Wimmera Health Service</v>
      </c>
    </row>
    <row r="735" spans="1:1" x14ac:dyDescent="0.45">
      <c r="A735" t="str">
        <f>'State Depts'!I735</f>
        <v>Western District Health Service</v>
      </c>
    </row>
    <row r="736" spans="1:1" x14ac:dyDescent="0.45">
      <c r="A736" t="str">
        <f>'State Depts'!I736</f>
        <v>Western Health</v>
      </c>
    </row>
    <row r="737" spans="1:1" x14ac:dyDescent="0.45">
      <c r="A737" t="str">
        <f>'State Depts'!I737</f>
        <v>Western Region Alcohol and Drug Centre Incorporate</v>
      </c>
    </row>
    <row r="738" spans="1:1" x14ac:dyDescent="0.45">
      <c r="A738" t="str">
        <f>'State Depts'!I738</f>
        <v>Western Region Centre Against Sexual Assault Inc.</v>
      </c>
    </row>
    <row r="739" spans="1:1" x14ac:dyDescent="0.45">
      <c r="A739" t="str">
        <f>'State Depts'!I739</f>
        <v>Whitefield Cemetery Trust</v>
      </c>
    </row>
    <row r="740" spans="1:1" x14ac:dyDescent="0.45">
      <c r="A740" t="str">
        <f>'State Depts'!I740</f>
        <v>Whitehorse Community Health Service Inc.</v>
      </c>
    </row>
    <row r="741" spans="1:1" x14ac:dyDescent="0.45">
      <c r="A741" t="str">
        <f>'State Depts'!I741</f>
        <v>Whroo Cemetery Trust</v>
      </c>
    </row>
    <row r="742" spans="1:1" x14ac:dyDescent="0.45">
      <c r="A742" t="str">
        <f>'State Depts'!I742</f>
        <v>Wickliffe Cemetery Trust</v>
      </c>
    </row>
    <row r="743" spans="1:1" x14ac:dyDescent="0.45">
      <c r="A743" t="str">
        <f>'State Depts'!I743</f>
        <v>Willaura Cemetery Trust</v>
      </c>
    </row>
    <row r="744" spans="1:1" x14ac:dyDescent="0.45">
      <c r="A744" t="str">
        <f>'State Depts'!I744</f>
        <v>Willow Grove Cemetery Trust</v>
      </c>
    </row>
    <row r="745" spans="1:1" x14ac:dyDescent="0.45">
      <c r="A745" t="str">
        <f>'State Depts'!I745</f>
        <v>Wimmera Health Care Group</v>
      </c>
    </row>
    <row r="746" spans="1:1" x14ac:dyDescent="0.45">
      <c r="A746" t="str">
        <f>'State Depts'!I746</f>
        <v>Winda-Mara Aboriginal Corporation</v>
      </c>
    </row>
    <row r="747" spans="1:1" x14ac:dyDescent="0.45">
      <c r="A747" t="str">
        <f>'State Depts'!I747</f>
        <v>Winiam Cemetery Trust</v>
      </c>
    </row>
    <row r="748" spans="1:1" x14ac:dyDescent="0.45">
      <c r="A748" t="str">
        <f>'State Depts'!I748</f>
        <v>Winton Cemetery Trust</v>
      </c>
    </row>
    <row r="749" spans="1:1" x14ac:dyDescent="0.45">
      <c r="A749" t="str">
        <f>'State Depts'!I749</f>
        <v>Wodonga Cemetery Trust</v>
      </c>
    </row>
    <row r="750" spans="1:1" x14ac:dyDescent="0.45">
      <c r="A750" t="str">
        <f>'State Depts'!I750</f>
        <v>Woodend Cemetery Trust</v>
      </c>
    </row>
    <row r="751" spans="1:1" x14ac:dyDescent="0.45">
      <c r="A751" t="str">
        <f>'State Depts'!I751</f>
        <v>Woods Point Cemetery Trust</v>
      </c>
    </row>
    <row r="752" spans="1:1" x14ac:dyDescent="0.45">
      <c r="A752" t="str">
        <f>'State Depts'!I752</f>
        <v>Woodside Cemetery Trust</v>
      </c>
    </row>
    <row r="753" spans="1:1" x14ac:dyDescent="0.45">
      <c r="A753" t="str">
        <f>'State Depts'!I753</f>
        <v>Woolsthorpe Cemetery Trust</v>
      </c>
    </row>
    <row r="754" spans="1:1" x14ac:dyDescent="0.45">
      <c r="A754" t="str">
        <f>'State Depts'!I754</f>
        <v>Woomelang and District Bush Nursing Centre Inc.</v>
      </c>
    </row>
    <row r="755" spans="1:1" x14ac:dyDescent="0.45">
      <c r="A755" t="str">
        <f>'State Depts'!I755</f>
        <v>Woomelang Cemetery Trust</v>
      </c>
    </row>
    <row r="756" spans="1:1" x14ac:dyDescent="0.45">
      <c r="A756" t="str">
        <f>'State Depts'!I756</f>
        <v>Woorak Cemetery Trust</v>
      </c>
    </row>
    <row r="757" spans="1:1" x14ac:dyDescent="0.45">
      <c r="A757" t="str">
        <f>'State Depts'!I757</f>
        <v>Woorndoo Cemetery Trust</v>
      </c>
    </row>
    <row r="758" spans="1:1" x14ac:dyDescent="0.45">
      <c r="A758" t="str">
        <f>'State Depts'!I758</f>
        <v>Woosang Cemetery Trust</v>
      </c>
    </row>
    <row r="759" spans="1:1" x14ac:dyDescent="0.45">
      <c r="A759" t="str">
        <f>'State Depts'!I759</f>
        <v>Wunghnu Cemetery Trust</v>
      </c>
    </row>
    <row r="760" spans="1:1" x14ac:dyDescent="0.45">
      <c r="A760" t="str">
        <f>'State Depts'!I760</f>
        <v>Wycheproof Cemetery Trust</v>
      </c>
    </row>
    <row r="761" spans="1:1" x14ac:dyDescent="0.45">
      <c r="A761" t="str">
        <f>'State Depts'!I761</f>
        <v>Wychitella Cemetery Trust</v>
      </c>
    </row>
    <row r="762" spans="1:1" x14ac:dyDescent="0.45">
      <c r="A762" t="str">
        <f>'State Depts'!I762</f>
        <v>Yabba Cemetery Trust</v>
      </c>
    </row>
    <row r="763" spans="1:1" x14ac:dyDescent="0.45">
      <c r="A763" t="str">
        <f>'State Depts'!I763</f>
        <v>Yackandandah Cemetery Trust</v>
      </c>
    </row>
    <row r="764" spans="1:1" x14ac:dyDescent="0.45">
      <c r="A764" t="str">
        <f>'State Depts'!I764</f>
        <v>Yalca North Cemetery Trust</v>
      </c>
    </row>
    <row r="765" spans="1:1" x14ac:dyDescent="0.45">
      <c r="A765" t="str">
        <f>'State Depts'!I765</f>
        <v>Yallourn Cemetery Trust</v>
      </c>
    </row>
    <row r="766" spans="1:1" x14ac:dyDescent="0.45">
      <c r="A766" t="str">
        <f>'State Depts'!I766</f>
        <v>Yambuk Cemetery Trust</v>
      </c>
    </row>
    <row r="767" spans="1:1" x14ac:dyDescent="0.45">
      <c r="A767" t="str">
        <f>'State Depts'!I767</f>
        <v>Yan Yean Cemetery Trust</v>
      </c>
    </row>
    <row r="768" spans="1:1" x14ac:dyDescent="0.45">
      <c r="A768" t="str">
        <f>'State Depts'!I768</f>
        <v>Yarck Cemetery Trust</v>
      </c>
    </row>
    <row r="769" spans="1:1" x14ac:dyDescent="0.45">
      <c r="A769" t="str">
        <f>'State Depts'!I769</f>
        <v>Yarra Park Advisory Committee</v>
      </c>
    </row>
    <row r="770" spans="1:1" x14ac:dyDescent="0.45">
      <c r="A770" t="str">
        <f>'State Depts'!I770</f>
        <v>Yarragon Cemetery Trust</v>
      </c>
    </row>
    <row r="771" spans="1:1" x14ac:dyDescent="0.45">
      <c r="A771" t="str">
        <f>'State Depts'!I771</f>
        <v>Yarram And District Health Service</v>
      </c>
    </row>
    <row r="772" spans="1:1" x14ac:dyDescent="0.45">
      <c r="A772" t="str">
        <f>'State Depts'!I772</f>
        <v>Yarram Cemetery Trust</v>
      </c>
    </row>
    <row r="773" spans="1:1" x14ac:dyDescent="0.45">
      <c r="A773" t="str">
        <f>'State Depts'!I773</f>
        <v>Yarrawonga And District Cemetery Trust</v>
      </c>
    </row>
    <row r="774" spans="1:1" x14ac:dyDescent="0.45">
      <c r="A774" t="str">
        <f>'State Depts'!I774</f>
        <v>Yarrawonga Health</v>
      </c>
    </row>
    <row r="775" spans="1:1" x14ac:dyDescent="0.45">
      <c r="A775" t="str">
        <f>'State Depts'!I775</f>
        <v>Yarrayne Cemetery Trust</v>
      </c>
    </row>
    <row r="776" spans="1:1" x14ac:dyDescent="0.45">
      <c r="A776" t="str">
        <f>'State Depts'!I776</f>
        <v>Yaugher Cemetery Trust</v>
      </c>
    </row>
    <row r="777" spans="1:1" x14ac:dyDescent="0.45">
      <c r="A777" t="str">
        <f>'State Depts'!I777</f>
        <v>Yea and District Memorial Hospital</v>
      </c>
    </row>
    <row r="778" spans="1:1" x14ac:dyDescent="0.45">
      <c r="A778" t="str">
        <f>'State Depts'!I778</f>
        <v>Yea Cemetery</v>
      </c>
    </row>
    <row r="779" spans="1:1" x14ac:dyDescent="0.45">
      <c r="A779" t="str">
        <f>'State Depts'!I779</f>
        <v>Youth Affairs Council of Victoria</v>
      </c>
    </row>
    <row r="780" spans="1:1" x14ac:dyDescent="0.45">
      <c r="A780" t="str">
        <f>'State Depts'!I780</f>
        <v>YSAS</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4">
    <tabColor rgb="FF0070C0"/>
  </sheetPr>
  <dimension ref="A2:H43"/>
  <sheetViews>
    <sheetView workbookViewId="0">
      <pane ySplit="4" topLeftCell="A5" activePane="bottomLeft" state="frozen"/>
      <selection pane="bottomLeft" activeCell="H30" sqref="H30"/>
    </sheetView>
  </sheetViews>
  <sheetFormatPr defaultRowHeight="14.25" x14ac:dyDescent="0.45"/>
  <cols>
    <col min="1" max="1" width="31.265625" customWidth="1"/>
    <col min="2" max="2" width="31.3984375" customWidth="1"/>
    <col min="3" max="4" width="31.265625" customWidth="1"/>
    <col min="5" max="5" width="31.3984375" customWidth="1"/>
    <col min="6" max="7" width="31.265625" customWidth="1"/>
    <col min="8" max="8" width="31.1328125" customWidth="1"/>
  </cols>
  <sheetData>
    <row r="2" spans="1:8" ht="27" customHeight="1" x14ac:dyDescent="0.7">
      <c r="B2" s="30" t="s">
        <v>5534</v>
      </c>
    </row>
    <row r="5" spans="1:8" x14ac:dyDescent="0.45">
      <c r="A5" t="s">
        <v>490</v>
      </c>
      <c r="B5" t="s">
        <v>820</v>
      </c>
      <c r="C5" t="s">
        <v>1035</v>
      </c>
      <c r="D5" t="s">
        <v>1041</v>
      </c>
      <c r="E5" t="s">
        <v>563</v>
      </c>
      <c r="F5" t="s">
        <v>1054</v>
      </c>
      <c r="G5" t="s">
        <v>873</v>
      </c>
      <c r="H5" t="s">
        <v>884</v>
      </c>
    </row>
    <row r="6" spans="1:8" x14ac:dyDescent="0.45">
      <c r="A6" t="s">
        <v>811</v>
      </c>
      <c r="B6" t="s">
        <v>821</v>
      </c>
      <c r="C6" t="s">
        <v>832</v>
      </c>
      <c r="D6" t="s">
        <v>546</v>
      </c>
      <c r="E6" t="s">
        <v>756</v>
      </c>
      <c r="F6" t="s">
        <v>587</v>
      </c>
      <c r="G6" t="s">
        <v>874</v>
      </c>
      <c r="H6" t="s">
        <v>885</v>
      </c>
    </row>
    <row r="7" spans="1:8" x14ac:dyDescent="0.45">
      <c r="A7" t="s">
        <v>492</v>
      </c>
      <c r="B7" t="s">
        <v>733</v>
      </c>
      <c r="C7" t="s">
        <v>833</v>
      </c>
      <c r="D7" t="s">
        <v>1042</v>
      </c>
      <c r="E7" t="s">
        <v>757</v>
      </c>
      <c r="F7" t="s">
        <v>861</v>
      </c>
      <c r="G7" t="s">
        <v>766</v>
      </c>
      <c r="H7" t="s">
        <v>1070</v>
      </c>
    </row>
    <row r="8" spans="1:8" x14ac:dyDescent="0.45">
      <c r="A8" t="s">
        <v>493</v>
      </c>
      <c r="B8" t="s">
        <v>514</v>
      </c>
      <c r="C8" t="s">
        <v>834</v>
      </c>
      <c r="D8" t="s">
        <v>844</v>
      </c>
      <c r="E8" t="s">
        <v>1050</v>
      </c>
      <c r="F8" t="s">
        <v>1055</v>
      </c>
      <c r="G8" t="s">
        <v>1061</v>
      </c>
      <c r="H8" t="s">
        <v>620</v>
      </c>
    </row>
    <row r="9" spans="1:8" x14ac:dyDescent="0.45">
      <c r="A9" t="s">
        <v>494</v>
      </c>
      <c r="B9" t="s">
        <v>822</v>
      </c>
      <c r="C9" t="s">
        <v>528</v>
      </c>
      <c r="D9" t="s">
        <v>1043</v>
      </c>
      <c r="E9" t="s">
        <v>855</v>
      </c>
      <c r="F9" t="s">
        <v>863</v>
      </c>
      <c r="G9" t="s">
        <v>607</v>
      </c>
      <c r="H9" t="s">
        <v>622</v>
      </c>
    </row>
    <row r="10" spans="1:8" x14ac:dyDescent="0.45">
      <c r="A10" t="s">
        <v>1025</v>
      </c>
      <c r="B10" t="s">
        <v>823</v>
      </c>
      <c r="C10" t="s">
        <v>527</v>
      </c>
      <c r="D10" t="s">
        <v>545</v>
      </c>
      <c r="E10" t="s">
        <v>561</v>
      </c>
      <c r="F10" t="s">
        <v>862</v>
      </c>
      <c r="G10" t="s">
        <v>615</v>
      </c>
      <c r="H10" t="s">
        <v>624</v>
      </c>
    </row>
    <row r="11" spans="1:8" x14ac:dyDescent="0.45">
      <c r="A11" t="s">
        <v>812</v>
      </c>
      <c r="B11" t="s">
        <v>17</v>
      </c>
      <c r="C11" t="s">
        <v>746</v>
      </c>
      <c r="D11" t="s">
        <v>542</v>
      </c>
      <c r="E11" t="s">
        <v>856</v>
      </c>
      <c r="F11" t="s">
        <v>864</v>
      </c>
      <c r="G11" t="s">
        <v>875</v>
      </c>
    </row>
    <row r="12" spans="1:8" x14ac:dyDescent="0.45">
      <c r="A12" t="s">
        <v>495</v>
      </c>
      <c r="B12" t="s">
        <v>525</v>
      </c>
      <c r="C12" t="s">
        <v>835</v>
      </c>
      <c r="D12" t="s">
        <v>543</v>
      </c>
      <c r="E12" t="s">
        <v>564</v>
      </c>
      <c r="F12" t="s">
        <v>761</v>
      </c>
      <c r="G12" t="s">
        <v>1062</v>
      </c>
      <c r="H12" t="s">
        <v>627</v>
      </c>
    </row>
    <row r="13" spans="1:8" x14ac:dyDescent="0.45">
      <c r="A13" t="s">
        <v>508</v>
      </c>
      <c r="B13" t="s">
        <v>1029</v>
      </c>
      <c r="C13" t="s">
        <v>1036</v>
      </c>
      <c r="D13" t="s">
        <v>547</v>
      </c>
      <c r="E13" t="s">
        <v>755</v>
      </c>
      <c r="F13" t="s">
        <v>1056</v>
      </c>
      <c r="G13" t="s">
        <v>611</v>
      </c>
      <c r="H13" t="s">
        <v>886</v>
      </c>
    </row>
    <row r="14" spans="1:8" x14ac:dyDescent="0.45">
      <c r="A14" t="s">
        <v>813</v>
      </c>
      <c r="B14" t="s">
        <v>515</v>
      </c>
      <c r="C14" t="s">
        <v>38</v>
      </c>
      <c r="D14" t="s">
        <v>544</v>
      </c>
      <c r="E14" t="s">
        <v>702</v>
      </c>
      <c r="F14" t="s">
        <v>865</v>
      </c>
      <c r="G14" t="s">
        <v>1063</v>
      </c>
      <c r="H14" t="s">
        <v>732</v>
      </c>
    </row>
    <row r="15" spans="1:8" x14ac:dyDescent="0.45">
      <c r="A15" t="s">
        <v>1026</v>
      </c>
      <c r="B15" t="s">
        <v>1030</v>
      </c>
      <c r="C15" t="s">
        <v>836</v>
      </c>
      <c r="D15" t="s">
        <v>845</v>
      </c>
      <c r="E15" t="s">
        <v>567</v>
      </c>
      <c r="F15" t="s">
        <v>1057</v>
      </c>
      <c r="G15" t="s">
        <v>764</v>
      </c>
      <c r="H15" t="s">
        <v>623</v>
      </c>
    </row>
    <row r="16" spans="1:8" x14ac:dyDescent="0.45">
      <c r="A16" t="s">
        <v>506</v>
      </c>
      <c r="B16" t="s">
        <v>824</v>
      </c>
      <c r="C16" t="s">
        <v>734</v>
      </c>
      <c r="D16" t="s">
        <v>553</v>
      </c>
      <c r="E16" t="s">
        <v>566</v>
      </c>
      <c r="F16" t="s">
        <v>588</v>
      </c>
      <c r="G16" t="s">
        <v>608</v>
      </c>
      <c r="H16" t="s">
        <v>887</v>
      </c>
    </row>
    <row r="17" spans="1:8" x14ac:dyDescent="0.45">
      <c r="A17" t="s">
        <v>814</v>
      </c>
      <c r="B17" t="s">
        <v>510</v>
      </c>
      <c r="C17" t="s">
        <v>534</v>
      </c>
      <c r="D17" t="s">
        <v>846</v>
      </c>
      <c r="E17" t="s">
        <v>562</v>
      </c>
      <c r="F17" t="s">
        <v>590</v>
      </c>
      <c r="G17" t="s">
        <v>613</v>
      </c>
      <c r="H17" t="s">
        <v>888</v>
      </c>
    </row>
    <row r="18" spans="1:8" x14ac:dyDescent="0.45">
      <c r="A18" t="s">
        <v>5535</v>
      </c>
      <c r="B18" t="s">
        <v>745</v>
      </c>
      <c r="C18" t="s">
        <v>837</v>
      </c>
      <c r="D18" t="s">
        <v>847</v>
      </c>
      <c r="E18" t="s">
        <v>568</v>
      </c>
      <c r="F18" t="s">
        <v>866</v>
      </c>
      <c r="G18" t="s">
        <v>4968</v>
      </c>
      <c r="H18" t="s">
        <v>889</v>
      </c>
    </row>
    <row r="19" spans="1:8" x14ac:dyDescent="0.45">
      <c r="A19" t="s">
        <v>1027</v>
      </c>
      <c r="B19" t="s">
        <v>5536</v>
      </c>
      <c r="C19" t="s">
        <v>539</v>
      </c>
      <c r="D19" t="s">
        <v>749</v>
      </c>
      <c r="E19" t="s">
        <v>1051</v>
      </c>
      <c r="F19" t="s">
        <v>867</v>
      </c>
      <c r="G19" t="s">
        <v>616</v>
      </c>
      <c r="H19" t="s">
        <v>628</v>
      </c>
    </row>
    <row r="20" spans="1:8" x14ac:dyDescent="0.45">
      <c r="A20" t="s">
        <v>816</v>
      </c>
      <c r="B20" t="s">
        <v>516</v>
      </c>
      <c r="C20" t="s">
        <v>747</v>
      </c>
      <c r="D20" t="s">
        <v>848</v>
      </c>
      <c r="E20" t="s">
        <v>570</v>
      </c>
      <c r="F20" t="s">
        <v>735</v>
      </c>
      <c r="G20" t="s">
        <v>614</v>
      </c>
      <c r="H20" t="s">
        <v>629</v>
      </c>
    </row>
    <row r="21" spans="1:8" x14ac:dyDescent="0.45">
      <c r="A21" t="s">
        <v>1028</v>
      </c>
      <c r="B21" t="s">
        <v>517</v>
      </c>
      <c r="C21" t="s">
        <v>537</v>
      </c>
      <c r="D21" t="s">
        <v>1044</v>
      </c>
      <c r="E21" t="s">
        <v>578</v>
      </c>
      <c r="F21" t="s">
        <v>1058</v>
      </c>
      <c r="G21" t="s">
        <v>604</v>
      </c>
      <c r="H21" t="s">
        <v>636</v>
      </c>
    </row>
    <row r="22" spans="1:8" x14ac:dyDescent="0.45">
      <c r="A22" t="s">
        <v>740</v>
      </c>
      <c r="B22" t="s">
        <v>518</v>
      </c>
      <c r="C22" t="s">
        <v>71</v>
      </c>
      <c r="D22" t="s">
        <v>552</v>
      </c>
      <c r="E22" t="s">
        <v>576</v>
      </c>
      <c r="F22" t="s">
        <v>591</v>
      </c>
      <c r="G22" t="s">
        <v>876</v>
      </c>
      <c r="H22" t="s">
        <v>769</v>
      </c>
    </row>
    <row r="23" spans="1:8" x14ac:dyDescent="0.45">
      <c r="A23" t="s">
        <v>500</v>
      </c>
      <c r="B23" t="s">
        <v>519</v>
      </c>
      <c r="C23" t="s">
        <v>838</v>
      </c>
      <c r="D23" t="s">
        <v>1045</v>
      </c>
      <c r="E23" t="s">
        <v>574</v>
      </c>
      <c r="F23" t="s">
        <v>147</v>
      </c>
      <c r="G23" t="s">
        <v>763</v>
      </c>
      <c r="H23" t="s">
        <v>637</v>
      </c>
    </row>
    <row r="24" spans="1:8" x14ac:dyDescent="0.45">
      <c r="A24" t="s">
        <v>817</v>
      </c>
      <c r="B24" t="s">
        <v>35</v>
      </c>
      <c r="C24" t="s">
        <v>1037</v>
      </c>
      <c r="D24" t="s">
        <v>849</v>
      </c>
      <c r="E24" t="s">
        <v>758</v>
      </c>
      <c r="F24" t="s">
        <v>1059</v>
      </c>
      <c r="G24" t="s">
        <v>1064</v>
      </c>
      <c r="H24" t="s">
        <v>640</v>
      </c>
    </row>
    <row r="25" spans="1:8" x14ac:dyDescent="0.45">
      <c r="A25" t="s">
        <v>504</v>
      </c>
      <c r="B25" t="s">
        <v>520</v>
      </c>
      <c r="C25" t="s">
        <v>1038</v>
      </c>
      <c r="D25" t="s">
        <v>850</v>
      </c>
      <c r="E25" t="s">
        <v>1052</v>
      </c>
      <c r="F25" t="s">
        <v>868</v>
      </c>
      <c r="G25" t="s">
        <v>1065</v>
      </c>
      <c r="H25" t="s">
        <v>630</v>
      </c>
    </row>
    <row r="26" spans="1:8" x14ac:dyDescent="0.45">
      <c r="A26" t="s">
        <v>741</v>
      </c>
      <c r="B26" t="s">
        <v>522</v>
      </c>
      <c r="C26" t="s">
        <v>538</v>
      </c>
      <c r="D26" t="s">
        <v>851</v>
      </c>
      <c r="E26" t="s">
        <v>573</v>
      </c>
      <c r="F26" t="s">
        <v>869</v>
      </c>
      <c r="G26" t="s">
        <v>877</v>
      </c>
      <c r="H26" t="s">
        <v>737</v>
      </c>
    </row>
    <row r="27" spans="1:8" x14ac:dyDescent="0.45">
      <c r="A27" t="s">
        <v>503</v>
      </c>
      <c r="B27" t="s">
        <v>825</v>
      </c>
      <c r="C27" t="s">
        <v>540</v>
      </c>
      <c r="D27" t="s">
        <v>753</v>
      </c>
      <c r="E27" t="s">
        <v>857</v>
      </c>
      <c r="F27" t="s">
        <v>870</v>
      </c>
      <c r="G27" t="s">
        <v>878</v>
      </c>
      <c r="H27" t="s">
        <v>890</v>
      </c>
    </row>
    <row r="28" spans="1:8" x14ac:dyDescent="0.45">
      <c r="A28" t="s">
        <v>507</v>
      </c>
      <c r="B28" t="s">
        <v>826</v>
      </c>
      <c r="C28" t="s">
        <v>839</v>
      </c>
      <c r="D28" t="s">
        <v>751</v>
      </c>
      <c r="E28" t="s">
        <v>571</v>
      </c>
      <c r="F28" t="s">
        <v>871</v>
      </c>
      <c r="G28" t="s">
        <v>609</v>
      </c>
      <c r="H28" t="s">
        <v>1071</v>
      </c>
    </row>
    <row r="29" spans="1:8" x14ac:dyDescent="0.45">
      <c r="A29" t="s">
        <v>498</v>
      </c>
      <c r="B29" t="s">
        <v>1032</v>
      </c>
      <c r="C29" t="s">
        <v>554</v>
      </c>
      <c r="D29" t="s">
        <v>852</v>
      </c>
      <c r="E29" t="s">
        <v>577</v>
      </c>
      <c r="F29" t="s">
        <v>593</v>
      </c>
      <c r="G29" t="s">
        <v>1066</v>
      </c>
      <c r="H29" t="s">
        <v>4967</v>
      </c>
    </row>
    <row r="30" spans="1:8" x14ac:dyDescent="0.45">
      <c r="A30" t="s">
        <v>499</v>
      </c>
      <c r="B30" t="s">
        <v>1033</v>
      </c>
      <c r="C30" t="s">
        <v>548</v>
      </c>
      <c r="D30" t="s">
        <v>1046</v>
      </c>
      <c r="E30" t="s">
        <v>575</v>
      </c>
      <c r="F30" t="s">
        <v>598</v>
      </c>
      <c r="G30" t="s">
        <v>1067</v>
      </c>
      <c r="H30" t="s">
        <v>892</v>
      </c>
    </row>
    <row r="31" spans="1:8" x14ac:dyDescent="0.45">
      <c r="A31" t="s">
        <v>497</v>
      </c>
      <c r="B31" t="s">
        <v>1034</v>
      </c>
      <c r="C31" t="s">
        <v>840</v>
      </c>
      <c r="D31" t="s">
        <v>5537</v>
      </c>
      <c r="E31" t="s">
        <v>858</v>
      </c>
      <c r="F31" t="s">
        <v>762</v>
      </c>
      <c r="G31" t="s">
        <v>879</v>
      </c>
      <c r="H31" t="s">
        <v>891</v>
      </c>
    </row>
    <row r="32" spans="1:8" x14ac:dyDescent="0.45">
      <c r="A32" t="s">
        <v>502</v>
      </c>
      <c r="B32" t="s">
        <v>827</v>
      </c>
      <c r="C32" t="s">
        <v>95</v>
      </c>
      <c r="D32" t="s">
        <v>752</v>
      </c>
      <c r="E32" t="s">
        <v>579</v>
      </c>
      <c r="F32" t="s">
        <v>37</v>
      </c>
      <c r="G32" t="s">
        <v>605</v>
      </c>
      <c r="H32" t="s">
        <v>635</v>
      </c>
    </row>
    <row r="33" spans="1:8" x14ac:dyDescent="0.45">
      <c r="A33" t="s">
        <v>509</v>
      </c>
      <c r="B33" t="s">
        <v>521</v>
      </c>
      <c r="C33" t="s">
        <v>1039</v>
      </c>
      <c r="D33" t="s">
        <v>854</v>
      </c>
      <c r="E33" t="s">
        <v>760</v>
      </c>
      <c r="F33" t="s">
        <v>600</v>
      </c>
      <c r="G33" t="s">
        <v>602</v>
      </c>
      <c r="H33" t="s">
        <v>638</v>
      </c>
    </row>
    <row r="34" spans="1:8" x14ac:dyDescent="0.45">
      <c r="A34" t="s">
        <v>501</v>
      </c>
      <c r="B34" t="s">
        <v>828</v>
      </c>
      <c r="C34" t="s">
        <v>841</v>
      </c>
      <c r="D34" t="s">
        <v>1047</v>
      </c>
      <c r="E34" t="s">
        <v>859</v>
      </c>
      <c r="F34" t="s">
        <v>1060</v>
      </c>
      <c r="G34" t="s">
        <v>880</v>
      </c>
      <c r="H34" t="s">
        <v>639</v>
      </c>
    </row>
    <row r="35" spans="1:8" x14ac:dyDescent="0.45">
      <c r="A35" t="s">
        <v>818</v>
      </c>
      <c r="B35" t="s">
        <v>829</v>
      </c>
      <c r="C35" t="s">
        <v>1040</v>
      </c>
      <c r="D35" t="s">
        <v>754</v>
      </c>
      <c r="E35" t="s">
        <v>1053</v>
      </c>
      <c r="F35" t="s">
        <v>28</v>
      </c>
      <c r="G35" t="s">
        <v>881</v>
      </c>
      <c r="H35" t="s">
        <v>771</v>
      </c>
    </row>
    <row r="36" spans="1:8" x14ac:dyDescent="0.45">
      <c r="A36" t="s">
        <v>819</v>
      </c>
      <c r="B36" t="s">
        <v>830</v>
      </c>
      <c r="C36" t="s">
        <v>842</v>
      </c>
      <c r="D36" t="s">
        <v>1048</v>
      </c>
      <c r="E36" t="s">
        <v>107</v>
      </c>
      <c r="F36" t="s">
        <v>594</v>
      </c>
      <c r="G36" t="s">
        <v>882</v>
      </c>
      <c r="H36" t="s">
        <v>634</v>
      </c>
    </row>
    <row r="37" spans="1:8" x14ac:dyDescent="0.45">
      <c r="A37" t="s">
        <v>505</v>
      </c>
      <c r="B37" t="s">
        <v>532</v>
      </c>
      <c r="C37" t="s">
        <v>843</v>
      </c>
      <c r="D37" t="s">
        <v>1049</v>
      </c>
      <c r="E37" t="s">
        <v>860</v>
      </c>
      <c r="F37" t="s">
        <v>595</v>
      </c>
      <c r="G37" t="s">
        <v>1068</v>
      </c>
      <c r="H37" t="s">
        <v>770</v>
      </c>
    </row>
    <row r="38" spans="1:8" x14ac:dyDescent="0.45">
      <c r="A38" t="s">
        <v>742</v>
      </c>
      <c r="B38" t="s">
        <v>531</v>
      </c>
      <c r="C38" t="s">
        <v>549</v>
      </c>
      <c r="D38" t="s">
        <v>556</v>
      </c>
      <c r="E38" t="s">
        <v>580</v>
      </c>
      <c r="F38" t="s">
        <v>738</v>
      </c>
      <c r="G38" t="s">
        <v>65</v>
      </c>
      <c r="H38" t="s">
        <v>642</v>
      </c>
    </row>
    <row r="39" spans="1:8" x14ac:dyDescent="0.45">
      <c r="A39" t="s">
        <v>743</v>
      </c>
      <c r="B39" t="s">
        <v>530</v>
      </c>
      <c r="C39" t="s">
        <v>750</v>
      </c>
      <c r="D39" t="s">
        <v>560</v>
      </c>
      <c r="E39" t="s">
        <v>581</v>
      </c>
      <c r="F39" t="s">
        <v>597</v>
      </c>
      <c r="G39" t="s">
        <v>617</v>
      </c>
      <c r="H39" t="s">
        <v>1072</v>
      </c>
    </row>
    <row r="40" spans="1:8" x14ac:dyDescent="0.45">
      <c r="A40" t="s">
        <v>511</v>
      </c>
      <c r="B40" t="s">
        <v>529</v>
      </c>
      <c r="C40" t="s">
        <v>551</v>
      </c>
      <c r="D40" t="s">
        <v>555</v>
      </c>
      <c r="E40" t="s">
        <v>582</v>
      </c>
      <c r="F40" t="s">
        <v>872</v>
      </c>
      <c r="G40" t="s">
        <v>1069</v>
      </c>
      <c r="H40" t="s">
        <v>641</v>
      </c>
    </row>
    <row r="41" spans="1:8" x14ac:dyDescent="0.45">
      <c r="A41" t="s">
        <v>512</v>
      </c>
      <c r="B41" t="s">
        <v>831</v>
      </c>
      <c r="C41" t="s">
        <v>550</v>
      </c>
      <c r="D41" t="s">
        <v>557</v>
      </c>
      <c r="E41" t="s">
        <v>15</v>
      </c>
      <c r="F41" t="s">
        <v>596</v>
      </c>
      <c r="G41" t="s">
        <v>883</v>
      </c>
      <c r="H41" t="s">
        <v>643</v>
      </c>
    </row>
    <row r="42" spans="1:8" x14ac:dyDescent="0.45">
      <c r="A42" t="s">
        <v>744</v>
      </c>
      <c r="B42" t="s">
        <v>526</v>
      </c>
      <c r="C42" t="s">
        <v>748</v>
      </c>
      <c r="D42" t="s">
        <v>559</v>
      </c>
      <c r="E42" t="s">
        <v>583</v>
      </c>
      <c r="F42" t="s">
        <v>601</v>
      </c>
      <c r="G42" t="s">
        <v>618</v>
      </c>
    </row>
    <row r="43" spans="1:8" x14ac:dyDescent="0.45">
      <c r="A43" t="s">
        <v>513</v>
      </c>
      <c r="B43" t="s">
        <v>533</v>
      </c>
      <c r="C43" t="s">
        <v>541</v>
      </c>
      <c r="D43" t="s">
        <v>148</v>
      </c>
      <c r="E43" t="s">
        <v>584</v>
      </c>
      <c r="F43" t="s">
        <v>765</v>
      </c>
      <c r="G43" t="s">
        <v>619</v>
      </c>
    </row>
  </sheetData>
  <sheetProtection selectLockedCells="1" selectUnlockedCells="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tabColor rgb="FF0070C0"/>
  </sheetPr>
  <dimension ref="A1:N39"/>
  <sheetViews>
    <sheetView topLeftCell="I1" zoomScale="85" zoomScaleNormal="85" workbookViewId="0">
      <pane ySplit="2" topLeftCell="A3" activePane="bottomLeft" state="frozen"/>
      <selection activeCell="E1" sqref="E1"/>
      <selection pane="bottomLeft" activeCell="M3" sqref="M3"/>
    </sheetView>
  </sheetViews>
  <sheetFormatPr defaultColWidth="9" defaultRowHeight="14.25" x14ac:dyDescent="0.45"/>
  <cols>
    <col min="1" max="1" width="31.3984375" customWidth="1"/>
    <col min="2" max="2" width="31.265625" customWidth="1"/>
    <col min="3" max="3" width="31.3984375" customWidth="1"/>
    <col min="4" max="5" width="31.265625" customWidth="1"/>
    <col min="6" max="6" width="31.3984375" customWidth="1"/>
    <col min="7" max="7" width="50.1328125" customWidth="1"/>
    <col min="8" max="8" width="55.265625" customWidth="1"/>
    <col min="9" max="9" width="31.1328125" customWidth="1"/>
    <col min="10" max="10" width="31.265625" customWidth="1"/>
    <col min="11" max="11" width="31.3984375" customWidth="1"/>
    <col min="12" max="12" width="34.1328125" customWidth="1"/>
    <col min="13" max="13" width="33.1328125" customWidth="1"/>
    <col min="14" max="14" width="28.86328125" customWidth="1"/>
    <col min="15" max="15" width="30.59765625" customWidth="1"/>
  </cols>
  <sheetData>
    <row r="1" spans="1:14" ht="87" customHeight="1" x14ac:dyDescent="0.45">
      <c r="B1" s="106" t="s">
        <v>9931</v>
      </c>
      <c r="C1" s="106"/>
    </row>
    <row r="2" spans="1:14" s="38" customFormat="1" ht="54" customHeight="1" x14ac:dyDescent="0.45">
      <c r="A2" s="38" t="s">
        <v>5538</v>
      </c>
      <c r="B2" s="38" t="s">
        <v>5539</v>
      </c>
      <c r="C2" s="38" t="s">
        <v>5613</v>
      </c>
      <c r="D2" s="38" t="s">
        <v>5540</v>
      </c>
      <c r="E2" s="38" t="s">
        <v>5541</v>
      </c>
      <c r="F2" s="38" t="s">
        <v>5614</v>
      </c>
      <c r="G2" s="39" t="s">
        <v>5542</v>
      </c>
      <c r="H2" s="39" t="s">
        <v>5615</v>
      </c>
      <c r="I2" s="38" t="s">
        <v>5543</v>
      </c>
      <c r="J2" s="38" t="s">
        <v>5616</v>
      </c>
      <c r="K2" s="38" t="s">
        <v>5544</v>
      </c>
      <c r="L2" s="38" t="s">
        <v>11</v>
      </c>
      <c r="M2" s="38" t="s">
        <v>10665</v>
      </c>
      <c r="N2" s="38" t="s">
        <v>10666</v>
      </c>
    </row>
    <row r="3" spans="1:14" x14ac:dyDescent="0.45">
      <c r="A3" t="s">
        <v>5545</v>
      </c>
      <c r="B3" t="s">
        <v>5546</v>
      </c>
      <c r="C3" t="s">
        <v>5546</v>
      </c>
      <c r="D3" t="s">
        <v>5551</v>
      </c>
      <c r="E3" t="s">
        <v>5547</v>
      </c>
      <c r="F3" t="s">
        <v>5547</v>
      </c>
      <c r="G3" t="s">
        <v>5548</v>
      </c>
      <c r="H3" t="s">
        <v>5548</v>
      </c>
      <c r="I3" t="s">
        <v>103</v>
      </c>
      <c r="J3" t="s">
        <v>103</v>
      </c>
      <c r="K3" t="s">
        <v>5549</v>
      </c>
      <c r="L3" t="s">
        <v>5554</v>
      </c>
      <c r="M3" t="s">
        <v>5551</v>
      </c>
      <c r="N3" t="s">
        <v>10667</v>
      </c>
    </row>
    <row r="4" spans="1:14" x14ac:dyDescent="0.45">
      <c r="A4" t="s">
        <v>5547</v>
      </c>
      <c r="B4" t="s">
        <v>5550</v>
      </c>
      <c r="C4" t="s">
        <v>5550</v>
      </c>
      <c r="D4" t="s">
        <v>5554</v>
      </c>
      <c r="E4" t="s">
        <v>60</v>
      </c>
      <c r="F4" t="s">
        <v>60</v>
      </c>
      <c r="G4" t="s">
        <v>5546</v>
      </c>
      <c r="H4" t="s">
        <v>5546</v>
      </c>
      <c r="I4" t="s">
        <v>5552</v>
      </c>
      <c r="J4" t="s">
        <v>5552</v>
      </c>
      <c r="K4" t="s">
        <v>5554</v>
      </c>
      <c r="L4" t="s">
        <v>532</v>
      </c>
      <c r="M4" t="s">
        <v>532</v>
      </c>
      <c r="N4" t="s">
        <v>5551</v>
      </c>
    </row>
    <row r="5" spans="1:14" x14ac:dyDescent="0.45">
      <c r="A5" t="s">
        <v>5253</v>
      </c>
      <c r="B5" t="s">
        <v>5553</v>
      </c>
      <c r="C5" t="s">
        <v>5553</v>
      </c>
      <c r="D5" t="s">
        <v>532</v>
      </c>
      <c r="E5" t="s">
        <v>5258</v>
      </c>
      <c r="F5" t="s">
        <v>5258</v>
      </c>
      <c r="G5" t="s">
        <v>5555</v>
      </c>
      <c r="H5" t="s">
        <v>5555</v>
      </c>
      <c r="I5" t="s">
        <v>5556</v>
      </c>
      <c r="J5" t="s">
        <v>5556</v>
      </c>
      <c r="K5" t="s">
        <v>532</v>
      </c>
      <c r="L5" t="s">
        <v>1036</v>
      </c>
      <c r="M5" t="s">
        <v>1036</v>
      </c>
      <c r="N5" t="s">
        <v>10668</v>
      </c>
    </row>
    <row r="6" spans="1:14" x14ac:dyDescent="0.45">
      <c r="A6" t="s">
        <v>5557</v>
      </c>
      <c r="B6" t="s">
        <v>5558</v>
      </c>
      <c r="C6" t="s">
        <v>5558</v>
      </c>
      <c r="D6" t="s">
        <v>10031</v>
      </c>
      <c r="E6" t="s">
        <v>5559</v>
      </c>
      <c r="F6" t="s">
        <v>5559</v>
      </c>
      <c r="G6" t="s">
        <v>5554</v>
      </c>
      <c r="H6" t="s">
        <v>5551</v>
      </c>
      <c r="I6" t="s">
        <v>5560</v>
      </c>
      <c r="J6" t="s">
        <v>5560</v>
      </c>
      <c r="K6" t="s">
        <v>1036</v>
      </c>
      <c r="L6" t="s">
        <v>5565</v>
      </c>
      <c r="M6" t="s">
        <v>5565</v>
      </c>
      <c r="N6" t="s">
        <v>10669</v>
      </c>
    </row>
    <row r="7" spans="1:14" x14ac:dyDescent="0.45">
      <c r="A7" t="s">
        <v>5561</v>
      </c>
      <c r="B7" t="s">
        <v>5562</v>
      </c>
      <c r="C7" t="s">
        <v>5562</v>
      </c>
      <c r="D7" t="s">
        <v>5565</v>
      </c>
      <c r="E7" t="s">
        <v>5554</v>
      </c>
      <c r="F7" t="s">
        <v>5551</v>
      </c>
      <c r="G7" t="s">
        <v>532</v>
      </c>
      <c r="H7" t="s">
        <v>532</v>
      </c>
      <c r="I7" t="s">
        <v>5554</v>
      </c>
      <c r="J7" t="s">
        <v>5551</v>
      </c>
      <c r="K7" t="s">
        <v>5565</v>
      </c>
      <c r="L7" t="s">
        <v>10028</v>
      </c>
      <c r="M7" t="s">
        <v>10028</v>
      </c>
      <c r="N7" t="s">
        <v>4959</v>
      </c>
    </row>
    <row r="8" spans="1:14" x14ac:dyDescent="0.45">
      <c r="A8" t="s">
        <v>5563</v>
      </c>
      <c r="B8" t="s">
        <v>5564</v>
      </c>
      <c r="C8" t="s">
        <v>5564</v>
      </c>
      <c r="D8" t="s">
        <v>5284</v>
      </c>
      <c r="E8" t="s">
        <v>532</v>
      </c>
      <c r="F8" t="s">
        <v>532</v>
      </c>
      <c r="G8" t="s">
        <v>86</v>
      </c>
      <c r="H8" t="s">
        <v>86</v>
      </c>
      <c r="I8" t="s">
        <v>532</v>
      </c>
      <c r="J8" t="s">
        <v>532</v>
      </c>
      <c r="K8" t="s">
        <v>5567</v>
      </c>
      <c r="L8" t="s">
        <v>10027</v>
      </c>
      <c r="M8" t="s">
        <v>10670</v>
      </c>
      <c r="N8" t="s">
        <v>10671</v>
      </c>
    </row>
    <row r="9" spans="1:14" x14ac:dyDescent="0.45">
      <c r="A9" t="s">
        <v>5566</v>
      </c>
      <c r="B9" t="s">
        <v>5554</v>
      </c>
      <c r="C9" t="s">
        <v>5551</v>
      </c>
      <c r="D9" t="s">
        <v>5568</v>
      </c>
      <c r="E9" t="s">
        <v>1036</v>
      </c>
      <c r="F9" t="s">
        <v>1036</v>
      </c>
      <c r="G9" t="s">
        <v>1036</v>
      </c>
      <c r="H9" t="s">
        <v>1036</v>
      </c>
      <c r="I9" t="s">
        <v>1036</v>
      </c>
      <c r="J9" t="s">
        <v>1036</v>
      </c>
      <c r="K9" t="s">
        <v>5570</v>
      </c>
      <c r="L9" t="s">
        <v>10670</v>
      </c>
      <c r="M9" t="s">
        <v>627</v>
      </c>
      <c r="N9" t="s">
        <v>10672</v>
      </c>
    </row>
    <row r="10" spans="1:14" x14ac:dyDescent="0.45">
      <c r="A10" t="s">
        <v>5295</v>
      </c>
      <c r="B10" t="s">
        <v>700</v>
      </c>
      <c r="C10" t="s">
        <v>700</v>
      </c>
      <c r="D10" t="s">
        <v>627</v>
      </c>
      <c r="E10" t="s">
        <v>5565</v>
      </c>
      <c r="F10" t="s">
        <v>5565</v>
      </c>
      <c r="G10" t="s">
        <v>5565</v>
      </c>
      <c r="H10" t="s">
        <v>5565</v>
      </c>
      <c r="I10" t="s">
        <v>5565</v>
      </c>
      <c r="J10" t="s">
        <v>5565</v>
      </c>
      <c r="K10" t="s">
        <v>5287</v>
      </c>
      <c r="L10" t="s">
        <v>627</v>
      </c>
      <c r="M10" t="s">
        <v>10023</v>
      </c>
      <c r="N10" t="s">
        <v>4965</v>
      </c>
    </row>
    <row r="11" spans="1:14" x14ac:dyDescent="0.45">
      <c r="A11" t="s">
        <v>5571</v>
      </c>
      <c r="B11" t="s">
        <v>532</v>
      </c>
      <c r="C11" t="s">
        <v>532</v>
      </c>
      <c r="E11" t="s">
        <v>5572</v>
      </c>
      <c r="F11" t="s">
        <v>5572</v>
      </c>
      <c r="G11" t="s">
        <v>5569</v>
      </c>
      <c r="H11" t="s">
        <v>5569</v>
      </c>
      <c r="I11" t="s">
        <v>5574</v>
      </c>
      <c r="J11" t="s">
        <v>5574</v>
      </c>
      <c r="K11" t="s">
        <v>5578</v>
      </c>
      <c r="L11" t="s">
        <v>10022</v>
      </c>
      <c r="M11" t="s">
        <v>10024</v>
      </c>
    </row>
    <row r="12" spans="1:14" x14ac:dyDescent="0.45">
      <c r="A12" t="s">
        <v>5575</v>
      </c>
      <c r="B12" t="s">
        <v>1036</v>
      </c>
      <c r="C12" t="s">
        <v>1036</v>
      </c>
      <c r="E12" t="s">
        <v>5576</v>
      </c>
      <c r="F12" t="s">
        <v>5576</v>
      </c>
      <c r="G12" t="s">
        <v>5573</v>
      </c>
      <c r="H12" t="s">
        <v>5573</v>
      </c>
      <c r="I12" t="s">
        <v>5583</v>
      </c>
      <c r="J12" t="s">
        <v>10673</v>
      </c>
      <c r="K12" t="s">
        <v>5580</v>
      </c>
      <c r="L12" t="s">
        <v>10023</v>
      </c>
      <c r="M12" t="s">
        <v>10025</v>
      </c>
    </row>
    <row r="13" spans="1:14" x14ac:dyDescent="0.45">
      <c r="A13" t="s">
        <v>5258</v>
      </c>
      <c r="B13" t="s">
        <v>5565</v>
      </c>
      <c r="C13" t="s">
        <v>5565</v>
      </c>
      <c r="E13" t="s">
        <v>695</v>
      </c>
      <c r="F13" t="s">
        <v>695</v>
      </c>
      <c r="G13" t="s">
        <v>5567</v>
      </c>
      <c r="H13" t="s">
        <v>5567</v>
      </c>
      <c r="I13" t="s">
        <v>10674</v>
      </c>
      <c r="J13" t="s">
        <v>5583</v>
      </c>
      <c r="K13" t="s">
        <v>5292</v>
      </c>
      <c r="L13" t="s">
        <v>10024</v>
      </c>
      <c r="M13" t="s">
        <v>10026</v>
      </c>
    </row>
    <row r="14" spans="1:14" x14ac:dyDescent="0.45">
      <c r="A14" t="s">
        <v>5581</v>
      </c>
      <c r="B14" t="s">
        <v>5569</v>
      </c>
      <c r="C14" t="s">
        <v>5569</v>
      </c>
      <c r="E14" t="s">
        <v>49</v>
      </c>
      <c r="F14" t="s">
        <v>49</v>
      </c>
      <c r="G14" t="s">
        <v>5579</v>
      </c>
      <c r="H14" t="s">
        <v>5574</v>
      </c>
      <c r="I14" t="s">
        <v>752</v>
      </c>
      <c r="J14" t="s">
        <v>10674</v>
      </c>
      <c r="K14" t="s">
        <v>5584</v>
      </c>
      <c r="L14" t="s">
        <v>10025</v>
      </c>
    </row>
    <row r="15" spans="1:14" x14ac:dyDescent="0.45">
      <c r="A15" t="s">
        <v>5549</v>
      </c>
      <c r="B15" t="s">
        <v>5585</v>
      </c>
      <c r="C15" t="s">
        <v>5585</v>
      </c>
      <c r="E15" t="s">
        <v>5288</v>
      </c>
      <c r="F15" t="s">
        <v>5288</v>
      </c>
      <c r="G15" t="s">
        <v>5582</v>
      </c>
      <c r="H15" t="s">
        <v>5583</v>
      </c>
      <c r="I15" t="s">
        <v>5577</v>
      </c>
      <c r="J15" t="s">
        <v>752</v>
      </c>
      <c r="K15" t="s">
        <v>5587</v>
      </c>
      <c r="L15" t="s">
        <v>10026</v>
      </c>
    </row>
    <row r="16" spans="1:14" x14ac:dyDescent="0.45">
      <c r="A16" t="s">
        <v>5554</v>
      </c>
      <c r="B16" t="s">
        <v>5588</v>
      </c>
      <c r="C16" t="s">
        <v>5588</v>
      </c>
      <c r="E16" t="s">
        <v>5589</v>
      </c>
      <c r="F16" t="s">
        <v>5590</v>
      </c>
      <c r="G16" t="s">
        <v>5586</v>
      </c>
      <c r="H16" t="s">
        <v>5579</v>
      </c>
      <c r="I16" t="s">
        <v>5274</v>
      </c>
      <c r="J16" t="s">
        <v>5577</v>
      </c>
      <c r="K16" t="s">
        <v>5593</v>
      </c>
    </row>
    <row r="17" spans="1:11" x14ac:dyDescent="0.45">
      <c r="A17" t="s">
        <v>532</v>
      </c>
      <c r="B17" t="s">
        <v>5594</v>
      </c>
      <c r="C17" t="s">
        <v>5594</v>
      </c>
      <c r="E17" t="s">
        <v>5580</v>
      </c>
      <c r="F17" t="s">
        <v>5589</v>
      </c>
      <c r="G17" t="s">
        <v>5591</v>
      </c>
      <c r="H17" t="s">
        <v>5582</v>
      </c>
      <c r="I17" t="s">
        <v>5280</v>
      </c>
      <c r="J17" t="s">
        <v>5274</v>
      </c>
      <c r="K17" t="s">
        <v>627</v>
      </c>
    </row>
    <row r="18" spans="1:11" x14ac:dyDescent="0.45">
      <c r="A18" t="s">
        <v>1036</v>
      </c>
      <c r="B18" t="s">
        <v>5597</v>
      </c>
      <c r="C18" t="s">
        <v>5597</v>
      </c>
      <c r="E18" t="s">
        <v>5292</v>
      </c>
      <c r="F18" t="s">
        <v>5595</v>
      </c>
      <c r="G18" t="s">
        <v>5596</v>
      </c>
      <c r="H18" t="s">
        <v>5586</v>
      </c>
      <c r="I18" t="s">
        <v>85</v>
      </c>
      <c r="J18" t="s">
        <v>5280</v>
      </c>
      <c r="K18" t="s">
        <v>5599</v>
      </c>
    </row>
    <row r="19" spans="1:11" x14ac:dyDescent="0.45">
      <c r="A19" t="s">
        <v>5565</v>
      </c>
      <c r="B19" t="s">
        <v>5600</v>
      </c>
      <c r="C19" t="s">
        <v>5600</v>
      </c>
      <c r="E19" t="s">
        <v>627</v>
      </c>
      <c r="F19" t="s">
        <v>627</v>
      </c>
      <c r="G19" t="s">
        <v>854</v>
      </c>
      <c r="H19" t="s">
        <v>5591</v>
      </c>
      <c r="I19" t="s">
        <v>5592</v>
      </c>
      <c r="J19" t="s">
        <v>85</v>
      </c>
    </row>
    <row r="20" spans="1:11" x14ac:dyDescent="0.45">
      <c r="A20" t="s">
        <v>5573</v>
      </c>
      <c r="B20" t="s">
        <v>5601</v>
      </c>
      <c r="C20" t="s">
        <v>5601</v>
      </c>
      <c r="E20" t="s">
        <v>5272</v>
      </c>
      <c r="G20" t="s">
        <v>4959</v>
      </c>
      <c r="H20" t="s">
        <v>5596</v>
      </c>
      <c r="I20" t="s">
        <v>5283</v>
      </c>
      <c r="J20" t="s">
        <v>5592</v>
      </c>
    </row>
    <row r="21" spans="1:11" x14ac:dyDescent="0.45">
      <c r="A21" t="s">
        <v>5567</v>
      </c>
      <c r="B21" t="s">
        <v>5602</v>
      </c>
      <c r="C21" t="s">
        <v>5602</v>
      </c>
      <c r="G21" t="s">
        <v>5275</v>
      </c>
      <c r="H21" t="s">
        <v>854</v>
      </c>
      <c r="I21" t="s">
        <v>5598</v>
      </c>
      <c r="J21" t="s">
        <v>5283</v>
      </c>
    </row>
    <row r="22" spans="1:11" x14ac:dyDescent="0.45">
      <c r="A22" t="s">
        <v>5570</v>
      </c>
      <c r="B22" t="s">
        <v>10018</v>
      </c>
      <c r="C22" t="s">
        <v>10018</v>
      </c>
      <c r="G22" t="s">
        <v>702</v>
      </c>
      <c r="H22" t="s">
        <v>4959</v>
      </c>
      <c r="I22" t="s">
        <v>102</v>
      </c>
      <c r="J22" t="s">
        <v>5598</v>
      </c>
    </row>
    <row r="23" spans="1:11" x14ac:dyDescent="0.45">
      <c r="A23" t="s">
        <v>46</v>
      </c>
      <c r="B23" t="s">
        <v>692</v>
      </c>
      <c r="C23" t="s">
        <v>692</v>
      </c>
      <c r="G23" t="s">
        <v>5603</v>
      </c>
      <c r="H23" t="s">
        <v>5275</v>
      </c>
      <c r="I23" t="s">
        <v>5286</v>
      </c>
      <c r="J23" t="s">
        <v>102</v>
      </c>
    </row>
    <row r="24" spans="1:11" x14ac:dyDescent="0.45">
      <c r="A24" t="s">
        <v>5600</v>
      </c>
      <c r="B24" t="s">
        <v>5605</v>
      </c>
      <c r="C24" t="s">
        <v>5605</v>
      </c>
      <c r="G24" t="s">
        <v>5604</v>
      </c>
      <c r="H24" t="s">
        <v>702</v>
      </c>
      <c r="I24" t="s">
        <v>5288</v>
      </c>
      <c r="J24" t="s">
        <v>5286</v>
      </c>
    </row>
    <row r="25" spans="1:11" x14ac:dyDescent="0.45">
      <c r="A25" t="s">
        <v>42</v>
      </c>
      <c r="B25" t="s">
        <v>5606</v>
      </c>
      <c r="C25" t="s">
        <v>5606</v>
      </c>
      <c r="G25" t="s">
        <v>5600</v>
      </c>
      <c r="H25" t="s">
        <v>5603</v>
      </c>
      <c r="I25" t="s">
        <v>5289</v>
      </c>
      <c r="J25" t="s">
        <v>5288</v>
      </c>
    </row>
    <row r="26" spans="1:11" x14ac:dyDescent="0.45">
      <c r="A26" t="s">
        <v>49</v>
      </c>
      <c r="B26" t="s">
        <v>5608</v>
      </c>
      <c r="C26" t="s">
        <v>5608</v>
      </c>
      <c r="G26" t="s">
        <v>5278</v>
      </c>
      <c r="H26" t="s">
        <v>5604</v>
      </c>
      <c r="I26" t="s">
        <v>5578</v>
      </c>
      <c r="J26" t="s">
        <v>5289</v>
      </c>
    </row>
    <row r="27" spans="1:11" x14ac:dyDescent="0.45">
      <c r="A27" t="s">
        <v>5607</v>
      </c>
      <c r="B27" t="s">
        <v>5587</v>
      </c>
      <c r="C27" t="s">
        <v>5587</v>
      </c>
      <c r="G27" t="s">
        <v>80</v>
      </c>
      <c r="H27" t="s">
        <v>5600</v>
      </c>
      <c r="I27" t="s">
        <v>5294</v>
      </c>
      <c r="J27" t="s">
        <v>5578</v>
      </c>
    </row>
    <row r="28" spans="1:11" x14ac:dyDescent="0.45">
      <c r="A28" t="s">
        <v>5587</v>
      </c>
      <c r="B28" t="s">
        <v>627</v>
      </c>
      <c r="C28" t="s">
        <v>627</v>
      </c>
      <c r="G28" t="s">
        <v>5609</v>
      </c>
      <c r="H28" t="s">
        <v>5278</v>
      </c>
      <c r="I28" t="s">
        <v>627</v>
      </c>
      <c r="J28" t="s">
        <v>5294</v>
      </c>
    </row>
    <row r="29" spans="1:11" x14ac:dyDescent="0.45">
      <c r="A29" t="s">
        <v>5593</v>
      </c>
      <c r="B29" t="s">
        <v>5611</v>
      </c>
      <c r="C29" t="s">
        <v>5611</v>
      </c>
      <c r="G29" t="s">
        <v>5610</v>
      </c>
      <c r="H29" t="s">
        <v>80</v>
      </c>
      <c r="J29" t="s">
        <v>627</v>
      </c>
    </row>
    <row r="30" spans="1:11" x14ac:dyDescent="0.45">
      <c r="A30" t="s">
        <v>627</v>
      </c>
      <c r="B30" t="s">
        <v>32</v>
      </c>
      <c r="C30" t="s">
        <v>32</v>
      </c>
      <c r="G30" t="s">
        <v>89</v>
      </c>
      <c r="H30" t="s">
        <v>5609</v>
      </c>
    </row>
    <row r="31" spans="1:11" x14ac:dyDescent="0.45">
      <c r="A31" t="s">
        <v>5272</v>
      </c>
      <c r="B31" t="s">
        <v>5599</v>
      </c>
      <c r="C31" t="s">
        <v>5599</v>
      </c>
      <c r="G31" t="s">
        <v>5607</v>
      </c>
      <c r="H31" t="s">
        <v>5610</v>
      </c>
    </row>
    <row r="32" spans="1:11" x14ac:dyDescent="0.45">
      <c r="B32" t="s">
        <v>34</v>
      </c>
      <c r="C32" t="s">
        <v>34</v>
      </c>
      <c r="G32" t="s">
        <v>704</v>
      </c>
      <c r="H32" t="s">
        <v>89</v>
      </c>
    </row>
    <row r="33" spans="7:8" x14ac:dyDescent="0.45">
      <c r="G33" t="s">
        <v>92</v>
      </c>
      <c r="H33" t="s">
        <v>5607</v>
      </c>
    </row>
    <row r="34" spans="7:8" x14ac:dyDescent="0.45">
      <c r="G34" t="s">
        <v>91</v>
      </c>
      <c r="H34" t="s">
        <v>704</v>
      </c>
    </row>
    <row r="35" spans="7:8" x14ac:dyDescent="0.45">
      <c r="G35" t="s">
        <v>627</v>
      </c>
      <c r="H35" t="s">
        <v>5612</v>
      </c>
    </row>
    <row r="36" spans="7:8" x14ac:dyDescent="0.45">
      <c r="G36" t="s">
        <v>81</v>
      </c>
      <c r="H36" t="s">
        <v>92</v>
      </c>
    </row>
    <row r="37" spans="7:8" x14ac:dyDescent="0.45">
      <c r="H37" t="s">
        <v>91</v>
      </c>
    </row>
    <row r="38" spans="7:8" x14ac:dyDescent="0.45">
      <c r="H38" t="s">
        <v>627</v>
      </c>
    </row>
    <row r="39" spans="7:8" x14ac:dyDescent="0.45">
      <c r="H39" t="s">
        <v>81</v>
      </c>
    </row>
  </sheetData>
  <sheetProtection selectLockedCells="1" selectUnlockedCells="1"/>
  <sortState xmlns:xlrd2="http://schemas.microsoft.com/office/spreadsheetml/2017/richdata2" ref="L3:L15">
    <sortCondition ref="L3"/>
  </sortState>
  <mergeCells count="1">
    <mergeCell ref="B1:C1"/>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tabColor rgb="FF0070C0"/>
  </sheetPr>
  <dimension ref="A1:D33"/>
  <sheetViews>
    <sheetView workbookViewId="0">
      <pane ySplit="1" topLeftCell="A2" activePane="bottomLeft" state="frozen"/>
      <selection pane="bottomLeft" activeCell="A2" sqref="A2"/>
    </sheetView>
  </sheetViews>
  <sheetFormatPr defaultRowHeight="14.25" x14ac:dyDescent="0.45"/>
  <cols>
    <col min="1" max="4" width="31.265625" customWidth="1"/>
  </cols>
  <sheetData>
    <row r="1" spans="1:4" ht="60" customHeight="1" x14ac:dyDescent="0.45">
      <c r="B1" s="106" t="s">
        <v>111</v>
      </c>
      <c r="C1" s="107"/>
    </row>
    <row r="3" spans="1:4" ht="17.45" customHeight="1" x14ac:dyDescent="0.45">
      <c r="A3" t="s">
        <v>902</v>
      </c>
      <c r="B3" t="s">
        <v>939</v>
      </c>
      <c r="C3" t="s">
        <v>924</v>
      </c>
      <c r="D3" t="s">
        <v>1005</v>
      </c>
    </row>
    <row r="4" spans="1:4" ht="17.45" customHeight="1" x14ac:dyDescent="0.45">
      <c r="A4" t="s">
        <v>984</v>
      </c>
      <c r="B4" t="s">
        <v>921</v>
      </c>
      <c r="C4" t="s">
        <v>980</v>
      </c>
      <c r="D4" t="s">
        <v>1006</v>
      </c>
    </row>
    <row r="5" spans="1:4" ht="17.45" customHeight="1" x14ac:dyDescent="0.45">
      <c r="A5" t="s">
        <v>933</v>
      </c>
      <c r="B5" t="s">
        <v>922</v>
      </c>
      <c r="C5" t="s">
        <v>911</v>
      </c>
      <c r="D5" t="s">
        <v>982</v>
      </c>
    </row>
    <row r="6" spans="1:4" ht="17.45" customHeight="1" x14ac:dyDescent="0.45">
      <c r="A6" t="s">
        <v>973</v>
      </c>
      <c r="B6" t="s">
        <v>993</v>
      </c>
      <c r="C6" t="s">
        <v>942</v>
      </c>
      <c r="D6" t="s">
        <v>1021</v>
      </c>
    </row>
    <row r="7" spans="1:4" ht="17.45" customHeight="1" x14ac:dyDescent="0.45">
      <c r="A7" t="s">
        <v>934</v>
      </c>
      <c r="B7" t="s">
        <v>968</v>
      </c>
      <c r="C7" t="s">
        <v>987</v>
      </c>
      <c r="D7" t="s">
        <v>946</v>
      </c>
    </row>
    <row r="8" spans="1:4" ht="17.45" customHeight="1" x14ac:dyDescent="0.45">
      <c r="A8" t="s">
        <v>935</v>
      </c>
      <c r="B8" t="s">
        <v>1014</v>
      </c>
      <c r="C8" t="s">
        <v>912</v>
      </c>
      <c r="D8" t="s">
        <v>925</v>
      </c>
    </row>
    <row r="9" spans="1:4" ht="17.45" customHeight="1" x14ac:dyDescent="0.45">
      <c r="A9" t="s">
        <v>936</v>
      </c>
      <c r="B9" t="s">
        <v>990</v>
      </c>
      <c r="C9" t="s">
        <v>943</v>
      </c>
      <c r="D9" t="s">
        <v>1007</v>
      </c>
    </row>
    <row r="10" spans="1:4" ht="17.45" customHeight="1" x14ac:dyDescent="0.45">
      <c r="A10" t="s">
        <v>950</v>
      </c>
      <c r="B10" t="s">
        <v>930</v>
      </c>
      <c r="C10" t="s">
        <v>1003</v>
      </c>
      <c r="D10" t="s">
        <v>965</v>
      </c>
    </row>
    <row r="11" spans="1:4" ht="17.45" customHeight="1" x14ac:dyDescent="0.45">
      <c r="A11" t="s">
        <v>951</v>
      </c>
      <c r="B11" t="s">
        <v>940</v>
      </c>
      <c r="C11" t="s">
        <v>931</v>
      </c>
      <c r="D11" t="s">
        <v>915</v>
      </c>
    </row>
    <row r="12" spans="1:4" ht="17.45" customHeight="1" x14ac:dyDescent="0.45">
      <c r="A12" t="s">
        <v>918</v>
      </c>
      <c r="B12" t="s">
        <v>985</v>
      </c>
      <c r="C12" t="s">
        <v>1004</v>
      </c>
      <c r="D12" t="s">
        <v>947</v>
      </c>
    </row>
    <row r="13" spans="1:4" ht="17.45" customHeight="1" x14ac:dyDescent="0.45">
      <c r="A13" t="s">
        <v>952</v>
      </c>
      <c r="B13" t="s">
        <v>976</v>
      </c>
      <c r="C13" t="s">
        <v>959</v>
      </c>
      <c r="D13" t="s">
        <v>926</v>
      </c>
    </row>
    <row r="14" spans="1:4" ht="17.45" customHeight="1" x14ac:dyDescent="0.45">
      <c r="A14" t="s">
        <v>998</v>
      </c>
      <c r="B14" t="s">
        <v>977</v>
      </c>
      <c r="C14" t="s">
        <v>988</v>
      </c>
      <c r="D14" t="s">
        <v>983</v>
      </c>
    </row>
    <row r="15" spans="1:4" ht="17.45" customHeight="1" x14ac:dyDescent="0.45">
      <c r="A15" t="s">
        <v>919</v>
      </c>
      <c r="B15" t="s">
        <v>969</v>
      </c>
      <c r="C15" t="s">
        <v>995</v>
      </c>
      <c r="D15" t="s">
        <v>916</v>
      </c>
    </row>
    <row r="16" spans="1:4" ht="17.45" customHeight="1" x14ac:dyDescent="0.45">
      <c r="A16" t="s">
        <v>1011</v>
      </c>
      <c r="B16" t="s">
        <v>5617</v>
      </c>
      <c r="C16" t="s">
        <v>960</v>
      </c>
      <c r="D16" t="s">
        <v>917</v>
      </c>
    </row>
    <row r="17" spans="1:4" ht="17.45" customHeight="1" x14ac:dyDescent="0.45">
      <c r="A17" t="s">
        <v>1012</v>
      </c>
      <c r="B17" t="s">
        <v>957</v>
      </c>
      <c r="C17" t="s">
        <v>970</v>
      </c>
      <c r="D17" t="s">
        <v>966</v>
      </c>
    </row>
    <row r="18" spans="1:4" ht="17.45" customHeight="1" x14ac:dyDescent="0.45">
      <c r="A18" t="s">
        <v>903</v>
      </c>
      <c r="B18" t="s">
        <v>978</v>
      </c>
      <c r="C18" t="s">
        <v>970</v>
      </c>
      <c r="D18" t="s">
        <v>967</v>
      </c>
    </row>
    <row r="19" spans="1:4" ht="17.45" customHeight="1" x14ac:dyDescent="0.45">
      <c r="A19" t="s">
        <v>1020</v>
      </c>
      <c r="B19" t="s">
        <v>5618</v>
      </c>
      <c r="C19" t="s">
        <v>981</v>
      </c>
      <c r="D19" t="s">
        <v>1008</v>
      </c>
    </row>
    <row r="20" spans="1:4" ht="17.45" customHeight="1" x14ac:dyDescent="0.45">
      <c r="A20" t="s">
        <v>937</v>
      </c>
      <c r="B20" t="s">
        <v>905</v>
      </c>
      <c r="C20" t="s">
        <v>913</v>
      </c>
      <c r="D20" t="s">
        <v>927</v>
      </c>
    </row>
    <row r="21" spans="1:4" ht="17.45" customHeight="1" x14ac:dyDescent="0.45">
      <c r="A21" t="s">
        <v>904</v>
      </c>
      <c r="B21" t="s">
        <v>906</v>
      </c>
      <c r="C21" t="s">
        <v>944</v>
      </c>
      <c r="D21" t="s">
        <v>948</v>
      </c>
    </row>
    <row r="22" spans="1:4" ht="17.45" customHeight="1" x14ac:dyDescent="0.45">
      <c r="A22" t="s">
        <v>974</v>
      </c>
      <c r="B22" t="s">
        <v>923</v>
      </c>
      <c r="C22" t="s">
        <v>961</v>
      </c>
      <c r="D22" t="s">
        <v>1015</v>
      </c>
    </row>
    <row r="23" spans="1:4" ht="17.45" customHeight="1" x14ac:dyDescent="0.45">
      <c r="A23" t="s">
        <v>992</v>
      </c>
      <c r="B23" t="s">
        <v>941</v>
      </c>
      <c r="C23" t="s">
        <v>961</v>
      </c>
      <c r="D23" t="s">
        <v>1016</v>
      </c>
    </row>
    <row r="24" spans="1:4" ht="17.45" customHeight="1" x14ac:dyDescent="0.45">
      <c r="A24" t="s">
        <v>953</v>
      </c>
      <c r="B24" t="s">
        <v>986</v>
      </c>
      <c r="C24" t="s">
        <v>962</v>
      </c>
      <c r="D24" t="s">
        <v>1009</v>
      </c>
    </row>
    <row r="25" spans="1:4" ht="17.45" customHeight="1" x14ac:dyDescent="0.45">
      <c r="A25" t="s">
        <v>10289</v>
      </c>
      <c r="B25" t="s">
        <v>907</v>
      </c>
      <c r="C25" t="s">
        <v>963</v>
      </c>
      <c r="D25" t="s">
        <v>1017</v>
      </c>
    </row>
    <row r="26" spans="1:4" ht="17.45" customHeight="1" x14ac:dyDescent="0.45">
      <c r="A26" t="s">
        <v>954</v>
      </c>
      <c r="B26" t="s">
        <v>1001</v>
      </c>
      <c r="C26" t="s">
        <v>945</v>
      </c>
      <c r="D26" t="s">
        <v>949</v>
      </c>
    </row>
    <row r="27" spans="1:4" ht="17.45" customHeight="1" x14ac:dyDescent="0.45">
      <c r="A27" t="s">
        <v>999</v>
      </c>
      <c r="B27" t="s">
        <v>908</v>
      </c>
      <c r="C27" t="s">
        <v>5619</v>
      </c>
      <c r="D27" t="s">
        <v>1018</v>
      </c>
    </row>
    <row r="28" spans="1:4" ht="17.45" customHeight="1" x14ac:dyDescent="0.45">
      <c r="A28" t="s">
        <v>955</v>
      </c>
      <c r="B28" t="s">
        <v>909</v>
      </c>
      <c r="C28" t="s">
        <v>914</v>
      </c>
      <c r="D28" t="s">
        <v>1019</v>
      </c>
    </row>
    <row r="29" spans="1:4" ht="17.45" customHeight="1" x14ac:dyDescent="0.45">
      <c r="A29" t="s">
        <v>920</v>
      </c>
      <c r="B29" t="s">
        <v>958</v>
      </c>
      <c r="C29" t="s">
        <v>932</v>
      </c>
      <c r="D29" t="s">
        <v>971</v>
      </c>
    </row>
    <row r="30" spans="1:4" ht="17.45" customHeight="1" x14ac:dyDescent="0.45">
      <c r="A30" t="s">
        <v>989</v>
      </c>
      <c r="B30" t="s">
        <v>1002</v>
      </c>
      <c r="C30" t="s">
        <v>964</v>
      </c>
      <c r="D30" t="s">
        <v>928</v>
      </c>
    </row>
    <row r="31" spans="1:4" ht="17.45" customHeight="1" x14ac:dyDescent="0.45">
      <c r="A31" t="s">
        <v>1000</v>
      </c>
      <c r="B31" t="s">
        <v>910</v>
      </c>
      <c r="C31" t="s">
        <v>991</v>
      </c>
      <c r="D31" t="s">
        <v>972</v>
      </c>
    </row>
    <row r="32" spans="1:4" ht="17.45" customHeight="1" x14ac:dyDescent="0.45">
      <c r="A32" t="s">
        <v>956</v>
      </c>
      <c r="B32" t="s">
        <v>994</v>
      </c>
      <c r="C32" t="s">
        <v>996</v>
      </c>
      <c r="D32" t="s">
        <v>929</v>
      </c>
    </row>
    <row r="33" spans="1:4" ht="17.45" customHeight="1" x14ac:dyDescent="0.45">
      <c r="A33" t="s">
        <v>975</v>
      </c>
      <c r="B33" t="s">
        <v>979</v>
      </c>
      <c r="C33" t="s">
        <v>997</v>
      </c>
      <c r="D33" t="s">
        <v>1010</v>
      </c>
    </row>
  </sheetData>
  <sheetProtection selectLockedCells="1" selectUnlockedCells="1"/>
  <mergeCells count="1">
    <mergeCell ref="B1:C1"/>
  </mergeCell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tabColor rgb="FF0070C0"/>
  </sheetPr>
  <dimension ref="A1:B64"/>
  <sheetViews>
    <sheetView workbookViewId="0">
      <pane ySplit="2" topLeftCell="A3" activePane="bottomLeft" state="frozen"/>
      <selection pane="bottomLeft" activeCell="A3" sqref="A3"/>
    </sheetView>
  </sheetViews>
  <sheetFormatPr defaultRowHeight="14.25" x14ac:dyDescent="0.45"/>
  <cols>
    <col min="1" max="1" width="75.86328125" customWidth="1"/>
    <col min="2" max="2" width="79.265625" customWidth="1"/>
  </cols>
  <sheetData>
    <row r="1" spans="1:2" ht="49.5" customHeight="1" thickBot="1" x14ac:dyDescent="0.5">
      <c r="A1" s="106" t="s">
        <v>5620</v>
      </c>
      <c r="B1" s="106"/>
    </row>
    <row r="2" spans="1:2" s="33" customFormat="1" ht="33.75" customHeight="1" thickBot="1" x14ac:dyDescent="0.5">
      <c r="A2" s="46" t="s">
        <v>5621</v>
      </c>
      <c r="B2" s="35" t="s">
        <v>5733</v>
      </c>
    </row>
    <row r="3" spans="1:2" ht="18.95" customHeight="1" x14ac:dyDescent="0.45">
      <c r="A3" s="44" t="s">
        <v>5622</v>
      </c>
      <c r="B3" s="36" t="s">
        <v>5623</v>
      </c>
    </row>
    <row r="4" spans="1:2" ht="18.95" customHeight="1" x14ac:dyDescent="0.45">
      <c r="A4" t="s">
        <v>5624</v>
      </c>
      <c r="B4" s="32"/>
    </row>
    <row r="5" spans="1:2" ht="18.95" customHeight="1" x14ac:dyDescent="0.45">
      <c r="A5" s="45" t="s">
        <v>5625</v>
      </c>
      <c r="B5" s="37" t="s">
        <v>5626</v>
      </c>
    </row>
    <row r="6" spans="1:2" ht="18.95" customHeight="1" x14ac:dyDescent="0.45">
      <c r="A6" t="s">
        <v>5627</v>
      </c>
      <c r="B6" s="32" t="s">
        <v>5628</v>
      </c>
    </row>
    <row r="7" spans="1:2" ht="18.95" customHeight="1" x14ac:dyDescent="0.45">
      <c r="A7" s="45" t="s">
        <v>5629</v>
      </c>
      <c r="B7" s="37"/>
    </row>
    <row r="8" spans="1:2" ht="18.95" customHeight="1" x14ac:dyDescent="0.45">
      <c r="A8" t="s">
        <v>5630</v>
      </c>
      <c r="B8" s="32" t="s">
        <v>5631</v>
      </c>
    </row>
    <row r="9" spans="1:2" ht="18.95" customHeight="1" x14ac:dyDescent="0.45">
      <c r="A9" s="45" t="s">
        <v>5632</v>
      </c>
      <c r="B9" s="37" t="s">
        <v>5633</v>
      </c>
    </row>
    <row r="10" spans="1:2" ht="18.95" customHeight="1" x14ac:dyDescent="0.45">
      <c r="A10" t="s">
        <v>5634</v>
      </c>
      <c r="B10" s="32" t="s">
        <v>5635</v>
      </c>
    </row>
    <row r="11" spans="1:2" ht="18.95" customHeight="1" x14ac:dyDescent="0.45">
      <c r="A11" s="45" t="s">
        <v>5636</v>
      </c>
      <c r="B11" s="37"/>
    </row>
    <row r="12" spans="1:2" ht="18.95" customHeight="1" x14ac:dyDescent="0.45">
      <c r="A12" t="s">
        <v>5637</v>
      </c>
      <c r="B12" s="32" t="s">
        <v>5638</v>
      </c>
    </row>
    <row r="13" spans="1:2" ht="18.95" customHeight="1" x14ac:dyDescent="0.45">
      <c r="A13" s="45" t="s">
        <v>5639</v>
      </c>
      <c r="B13" s="37" t="s">
        <v>5640</v>
      </c>
    </row>
    <row r="14" spans="1:2" ht="18.95" customHeight="1" x14ac:dyDescent="0.45">
      <c r="A14" t="s">
        <v>5641</v>
      </c>
      <c r="B14" s="32" t="s">
        <v>5642</v>
      </c>
    </row>
    <row r="15" spans="1:2" ht="18.95" customHeight="1" x14ac:dyDescent="0.45">
      <c r="A15" s="45" t="s">
        <v>5643</v>
      </c>
      <c r="B15" s="37" t="s">
        <v>5644</v>
      </c>
    </row>
    <row r="16" spans="1:2" ht="18.95" customHeight="1" x14ac:dyDescent="0.45">
      <c r="A16" t="s">
        <v>5645</v>
      </c>
      <c r="B16" s="32" t="s">
        <v>5646</v>
      </c>
    </row>
    <row r="17" spans="1:2" ht="18.95" customHeight="1" x14ac:dyDescent="0.45">
      <c r="A17" s="45" t="s">
        <v>5647</v>
      </c>
      <c r="B17" s="37" t="s">
        <v>5648</v>
      </c>
    </row>
    <row r="18" spans="1:2" ht="18.95" customHeight="1" x14ac:dyDescent="0.45">
      <c r="A18" t="s">
        <v>5649</v>
      </c>
      <c r="B18" s="32" t="s">
        <v>5650</v>
      </c>
    </row>
    <row r="19" spans="1:2" ht="18.95" customHeight="1" x14ac:dyDescent="0.45">
      <c r="A19" s="45" t="s">
        <v>5651</v>
      </c>
      <c r="B19" s="37" t="s">
        <v>5652</v>
      </c>
    </row>
    <row r="20" spans="1:2" ht="18.95" customHeight="1" x14ac:dyDescent="0.45">
      <c r="A20" t="s">
        <v>5653</v>
      </c>
      <c r="B20" s="32" t="s">
        <v>5654</v>
      </c>
    </row>
    <row r="21" spans="1:2" ht="18.95" customHeight="1" x14ac:dyDescent="0.45">
      <c r="A21" s="45" t="s">
        <v>5655</v>
      </c>
      <c r="B21" s="37" t="s">
        <v>5656</v>
      </c>
    </row>
    <row r="22" spans="1:2" ht="18.95" customHeight="1" x14ac:dyDescent="0.45">
      <c r="A22" t="s">
        <v>5657</v>
      </c>
      <c r="B22" s="32" t="s">
        <v>5658</v>
      </c>
    </row>
    <row r="23" spans="1:2" ht="18.95" customHeight="1" x14ac:dyDescent="0.45">
      <c r="A23" s="45" t="s">
        <v>5659</v>
      </c>
      <c r="B23" s="37" t="s">
        <v>5660</v>
      </c>
    </row>
    <row r="24" spans="1:2" ht="18.95" customHeight="1" x14ac:dyDescent="0.45">
      <c r="A24" t="s">
        <v>5661</v>
      </c>
      <c r="B24" s="32" t="s">
        <v>5662</v>
      </c>
    </row>
    <row r="25" spans="1:2" ht="18.95" customHeight="1" x14ac:dyDescent="0.45">
      <c r="A25" s="45" t="s">
        <v>5663</v>
      </c>
      <c r="B25" s="37"/>
    </row>
    <row r="26" spans="1:2" ht="18.95" customHeight="1" x14ac:dyDescent="0.45">
      <c r="A26" t="s">
        <v>5664</v>
      </c>
      <c r="B26" s="32" t="s">
        <v>5665</v>
      </c>
    </row>
    <row r="27" spans="1:2" ht="18.95" customHeight="1" x14ac:dyDescent="0.45">
      <c r="A27" s="45" t="s">
        <v>5666</v>
      </c>
      <c r="B27" s="37" t="s">
        <v>5667</v>
      </c>
    </row>
    <row r="28" spans="1:2" ht="18.95" customHeight="1" x14ac:dyDescent="0.45">
      <c r="A28" t="s">
        <v>5668</v>
      </c>
      <c r="B28" s="32" t="s">
        <v>5669</v>
      </c>
    </row>
    <row r="29" spans="1:2" ht="18.95" customHeight="1" x14ac:dyDescent="0.45">
      <c r="A29" s="45" t="s">
        <v>5670</v>
      </c>
      <c r="B29" s="37" t="s">
        <v>5671</v>
      </c>
    </row>
    <row r="30" spans="1:2" ht="18.95" customHeight="1" x14ac:dyDescent="0.45">
      <c r="A30" t="s">
        <v>5672</v>
      </c>
      <c r="B30" s="32"/>
    </row>
    <row r="31" spans="1:2" ht="18.95" customHeight="1" x14ac:dyDescent="0.45">
      <c r="A31" s="45" t="s">
        <v>5673</v>
      </c>
      <c r="B31" s="37" t="s">
        <v>5674</v>
      </c>
    </row>
    <row r="32" spans="1:2" ht="18.95" customHeight="1" x14ac:dyDescent="0.45">
      <c r="A32" t="s">
        <v>5675</v>
      </c>
      <c r="B32" s="32" t="s">
        <v>10017</v>
      </c>
    </row>
    <row r="33" spans="1:2" ht="18.95" customHeight="1" x14ac:dyDescent="0.45">
      <c r="A33" s="45" t="s">
        <v>5676</v>
      </c>
      <c r="B33" s="37" t="s">
        <v>5677</v>
      </c>
    </row>
    <row r="34" spans="1:2" ht="18.95" customHeight="1" x14ac:dyDescent="0.45">
      <c r="A34" t="s">
        <v>5678</v>
      </c>
      <c r="B34" s="32"/>
    </row>
    <row r="35" spans="1:2" ht="18.95" customHeight="1" x14ac:dyDescent="0.45">
      <c r="A35" s="45" t="s">
        <v>5679</v>
      </c>
      <c r="B35" s="37" t="s">
        <v>5680</v>
      </c>
    </row>
    <row r="36" spans="1:2" ht="18.95" customHeight="1" x14ac:dyDescent="0.45">
      <c r="A36" t="s">
        <v>5681</v>
      </c>
      <c r="B36" s="32" t="s">
        <v>5682</v>
      </c>
    </row>
    <row r="37" spans="1:2" ht="18.95" customHeight="1" x14ac:dyDescent="0.45">
      <c r="A37" s="45" t="s">
        <v>5683</v>
      </c>
      <c r="B37" s="37"/>
    </row>
    <row r="38" spans="1:2" ht="18.95" customHeight="1" x14ac:dyDescent="0.45">
      <c r="A38" t="s">
        <v>5684</v>
      </c>
      <c r="B38" s="32" t="s">
        <v>5685</v>
      </c>
    </row>
    <row r="39" spans="1:2" ht="18.95" customHeight="1" x14ac:dyDescent="0.45">
      <c r="A39" s="45" t="s">
        <v>5686</v>
      </c>
      <c r="B39" s="37" t="s">
        <v>5687</v>
      </c>
    </row>
    <row r="40" spans="1:2" ht="18.95" customHeight="1" x14ac:dyDescent="0.45">
      <c r="A40" t="s">
        <v>5688</v>
      </c>
      <c r="B40" s="32"/>
    </row>
    <row r="41" spans="1:2" ht="18.95" customHeight="1" x14ac:dyDescent="0.45">
      <c r="A41" s="45" t="s">
        <v>5689</v>
      </c>
      <c r="B41" s="37" t="s">
        <v>5690</v>
      </c>
    </row>
    <row r="42" spans="1:2" ht="18.95" customHeight="1" x14ac:dyDescent="0.45">
      <c r="A42" t="s">
        <v>5691</v>
      </c>
      <c r="B42" s="32" t="s">
        <v>5692</v>
      </c>
    </row>
    <row r="43" spans="1:2" ht="18.95" customHeight="1" x14ac:dyDescent="0.45">
      <c r="A43" s="45" t="s">
        <v>10016</v>
      </c>
      <c r="B43" s="37" t="s">
        <v>5693</v>
      </c>
    </row>
    <row r="44" spans="1:2" ht="18.95" customHeight="1" x14ac:dyDescent="0.45">
      <c r="A44" t="s">
        <v>5694</v>
      </c>
      <c r="B44" s="32" t="s">
        <v>5695</v>
      </c>
    </row>
    <row r="45" spans="1:2" ht="18.95" customHeight="1" x14ac:dyDescent="0.45">
      <c r="A45" s="45" t="s">
        <v>5696</v>
      </c>
      <c r="B45" s="37" t="s">
        <v>5697</v>
      </c>
    </row>
    <row r="46" spans="1:2" ht="18.95" customHeight="1" x14ac:dyDescent="0.45">
      <c r="A46" t="s">
        <v>5698</v>
      </c>
      <c r="B46" s="32" t="s">
        <v>5699</v>
      </c>
    </row>
    <row r="47" spans="1:2" ht="18.95" customHeight="1" x14ac:dyDescent="0.45">
      <c r="A47" s="45" t="s">
        <v>5700</v>
      </c>
      <c r="B47" s="37" t="s">
        <v>5701</v>
      </c>
    </row>
    <row r="48" spans="1:2" ht="18.95" customHeight="1" x14ac:dyDescent="0.45">
      <c r="A48" t="s">
        <v>5702</v>
      </c>
      <c r="B48" s="32" t="s">
        <v>5703</v>
      </c>
    </row>
    <row r="49" spans="1:2" ht="18.95" customHeight="1" x14ac:dyDescent="0.45">
      <c r="A49" s="45" t="s">
        <v>5704</v>
      </c>
      <c r="B49" s="37" t="s">
        <v>5705</v>
      </c>
    </row>
    <row r="50" spans="1:2" ht="18.95" customHeight="1" x14ac:dyDescent="0.45">
      <c r="A50" t="s">
        <v>5706</v>
      </c>
      <c r="B50" s="32" t="s">
        <v>5707</v>
      </c>
    </row>
    <row r="51" spans="1:2" ht="18.95" customHeight="1" x14ac:dyDescent="0.45">
      <c r="A51" s="45" t="s">
        <v>5708</v>
      </c>
      <c r="B51" s="37" t="s">
        <v>5709</v>
      </c>
    </row>
    <row r="52" spans="1:2" ht="18.95" customHeight="1" x14ac:dyDescent="0.45">
      <c r="A52" t="s">
        <v>5710</v>
      </c>
      <c r="B52" s="32" t="s">
        <v>5711</v>
      </c>
    </row>
    <row r="53" spans="1:2" ht="18.95" customHeight="1" x14ac:dyDescent="0.45">
      <c r="A53" s="45" t="s">
        <v>5712</v>
      </c>
      <c r="B53" s="37" t="s">
        <v>5713</v>
      </c>
    </row>
    <row r="54" spans="1:2" ht="18.95" customHeight="1" x14ac:dyDescent="0.45">
      <c r="A54" t="s">
        <v>5714</v>
      </c>
      <c r="B54" s="32" t="s">
        <v>5715</v>
      </c>
    </row>
    <row r="55" spans="1:2" ht="18.95" customHeight="1" x14ac:dyDescent="0.45">
      <c r="A55" s="45" t="s">
        <v>5716</v>
      </c>
      <c r="B55" s="37" t="s">
        <v>5717</v>
      </c>
    </row>
    <row r="56" spans="1:2" ht="18.95" customHeight="1" x14ac:dyDescent="0.45">
      <c r="A56" t="s">
        <v>5718</v>
      </c>
      <c r="B56" s="32" t="s">
        <v>5719</v>
      </c>
    </row>
    <row r="57" spans="1:2" ht="18.95" customHeight="1" x14ac:dyDescent="0.45">
      <c r="A57" s="45" t="s">
        <v>5720</v>
      </c>
      <c r="B57" s="37" t="s">
        <v>5721</v>
      </c>
    </row>
    <row r="58" spans="1:2" ht="18.95" customHeight="1" x14ac:dyDescent="0.45">
      <c r="A58" t="s">
        <v>5722</v>
      </c>
      <c r="B58" s="32" t="s">
        <v>4952</v>
      </c>
    </row>
    <row r="59" spans="1:2" ht="18.95" customHeight="1" x14ac:dyDescent="0.45">
      <c r="A59" s="45" t="s">
        <v>5723</v>
      </c>
      <c r="B59" s="37" t="s">
        <v>476</v>
      </c>
    </row>
    <row r="60" spans="1:2" ht="18.95" customHeight="1" x14ac:dyDescent="0.45">
      <c r="A60" t="s">
        <v>5724</v>
      </c>
      <c r="B60" s="32" t="s">
        <v>5725</v>
      </c>
    </row>
    <row r="61" spans="1:2" ht="18.95" customHeight="1" x14ac:dyDescent="0.45">
      <c r="A61" s="45" t="s">
        <v>5726</v>
      </c>
      <c r="B61" s="37" t="s">
        <v>5727</v>
      </c>
    </row>
    <row r="62" spans="1:2" ht="18.95" customHeight="1" x14ac:dyDescent="0.45">
      <c r="A62" t="s">
        <v>5728</v>
      </c>
      <c r="B62" s="32" t="s">
        <v>5729</v>
      </c>
    </row>
    <row r="63" spans="1:2" ht="18.95" customHeight="1" x14ac:dyDescent="0.45">
      <c r="A63" s="45" t="s">
        <v>5730</v>
      </c>
      <c r="B63" s="37"/>
    </row>
    <row r="64" spans="1:2" ht="18.95" customHeight="1" thickBot="1" x14ac:dyDescent="0.5">
      <c r="A64" t="s">
        <v>5731</v>
      </c>
      <c r="B64" s="34" t="s">
        <v>5732</v>
      </c>
    </row>
  </sheetData>
  <sheetProtection selectLockedCells="1" selectUnlockedCells="1"/>
  <mergeCells count="1">
    <mergeCell ref="A1:B1"/>
  </mergeCells>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0070C0"/>
  </sheetPr>
  <dimension ref="A1:DPB4"/>
  <sheetViews>
    <sheetView workbookViewId="0"/>
  </sheetViews>
  <sheetFormatPr defaultRowHeight="14.25" x14ac:dyDescent="0.45"/>
  <cols>
    <col min="1" max="1" width="8.73046875" bestFit="1" customWidth="1"/>
    <col min="2" max="2" width="10" bestFit="1" customWidth="1"/>
    <col min="3" max="3" width="9.265625" bestFit="1" customWidth="1"/>
    <col min="4" max="4" width="8.73046875" bestFit="1" customWidth="1"/>
    <col min="5" max="5" width="7.59765625" bestFit="1" customWidth="1"/>
    <col min="6" max="6" width="4.73046875" bestFit="1" customWidth="1"/>
    <col min="7" max="7" width="11.86328125" bestFit="1" customWidth="1"/>
    <col min="8" max="8" width="9.265625" bestFit="1" customWidth="1"/>
    <col min="9" max="9" width="12.1328125" bestFit="1" customWidth="1"/>
    <col min="10" max="10" width="5.73046875" bestFit="1" customWidth="1"/>
    <col min="11" max="11" width="9.3984375" bestFit="1" customWidth="1"/>
    <col min="12" max="12" width="10" bestFit="1" customWidth="1"/>
    <col min="13" max="13" width="4.73046875" bestFit="1" customWidth="1"/>
    <col min="14" max="14" width="11.1328125" bestFit="1" customWidth="1"/>
    <col min="15" max="16" width="8.86328125" bestFit="1" customWidth="1"/>
    <col min="17" max="17" width="9.86328125" bestFit="1" customWidth="1"/>
    <col min="18" max="18" width="8" bestFit="1" customWidth="1"/>
    <col min="19" max="19" width="12.59765625" bestFit="1" customWidth="1"/>
    <col min="20" max="20" width="6" bestFit="1" customWidth="1"/>
    <col min="21" max="21" width="9" bestFit="1" customWidth="1"/>
    <col min="22" max="22" width="8.59765625" bestFit="1" customWidth="1"/>
    <col min="23" max="23" width="8.3984375" bestFit="1" customWidth="1"/>
    <col min="24" max="24" width="15.3984375" bestFit="1" customWidth="1"/>
    <col min="25" max="25" width="13.86328125" bestFit="1" customWidth="1"/>
    <col min="28" max="28" width="8.3984375" bestFit="1" customWidth="1"/>
    <col min="29" max="29" width="8" bestFit="1" customWidth="1"/>
    <col min="30" max="30" width="5" bestFit="1" customWidth="1"/>
    <col min="31" max="31" width="8" bestFit="1" customWidth="1"/>
    <col min="32" max="32" width="7.265625" bestFit="1" customWidth="1"/>
    <col min="33" max="33" width="9.86328125" bestFit="1" customWidth="1"/>
    <col min="34" max="34" width="6.1328125" bestFit="1" customWidth="1"/>
    <col min="35" max="35" width="10" bestFit="1" customWidth="1"/>
    <col min="36" max="36" width="10.3984375" bestFit="1" customWidth="1"/>
    <col min="37" max="37" width="14.73046875" bestFit="1" customWidth="1"/>
    <col min="38" max="38" width="11.265625" bestFit="1" customWidth="1"/>
    <col min="39" max="39" width="4.86328125" bestFit="1" customWidth="1"/>
    <col min="40" max="40" width="7.73046875" bestFit="1" customWidth="1"/>
    <col min="41" max="41" width="5.265625" bestFit="1" customWidth="1"/>
    <col min="42" max="42" width="12.1328125" bestFit="1" customWidth="1"/>
    <col min="43" max="43" width="6.265625" bestFit="1" customWidth="1"/>
    <col min="44" max="44" width="6.86328125" bestFit="1" customWidth="1"/>
    <col min="45" max="45" width="8.73046875" bestFit="1" customWidth="1"/>
    <col min="46" max="46" width="10.86328125" bestFit="1" customWidth="1"/>
    <col min="47" max="48" width="8.1328125" bestFit="1" customWidth="1"/>
    <col min="49" max="49" width="7.86328125" bestFit="1" customWidth="1"/>
    <col min="50" max="50" width="9.3984375" bestFit="1" customWidth="1"/>
    <col min="51" max="51" width="5.59765625" bestFit="1" customWidth="1"/>
    <col min="52" max="52" width="10.86328125" bestFit="1" customWidth="1"/>
    <col min="53" max="53" width="6.1328125" bestFit="1" customWidth="1"/>
    <col min="54" max="54" width="7.265625" bestFit="1" customWidth="1"/>
    <col min="55" max="55" width="5.86328125" bestFit="1" customWidth="1"/>
    <col min="56" max="56" width="7.59765625" bestFit="1" customWidth="1"/>
    <col min="57" max="57" width="8" bestFit="1" customWidth="1"/>
    <col min="58" max="58" width="6.86328125" bestFit="1" customWidth="1"/>
    <col min="59" max="59" width="12" bestFit="1" customWidth="1"/>
    <col min="60" max="60" width="8" bestFit="1" customWidth="1"/>
    <col min="61" max="61" width="15.265625" bestFit="1" customWidth="1"/>
    <col min="62" max="62" width="9" bestFit="1" customWidth="1"/>
    <col min="63" max="63" width="11.86328125" bestFit="1" customWidth="1"/>
    <col min="64" max="64" width="6.265625" bestFit="1" customWidth="1"/>
    <col min="65" max="65" width="8.265625" bestFit="1" customWidth="1"/>
    <col min="66" max="66" width="7.1328125" bestFit="1" customWidth="1"/>
    <col min="67" max="67" width="6" bestFit="1" customWidth="1"/>
    <col min="68" max="68" width="8.59765625" bestFit="1" customWidth="1"/>
    <col min="69" max="69" width="13.86328125" bestFit="1" customWidth="1"/>
    <col min="70" max="70" width="9.3984375" bestFit="1" customWidth="1"/>
    <col min="71" max="71" width="14.59765625" bestFit="1" customWidth="1"/>
    <col min="72" max="72" width="6.265625" bestFit="1" customWidth="1"/>
    <col min="73" max="73" width="11" bestFit="1" customWidth="1"/>
    <col min="74" max="74" width="12" bestFit="1" customWidth="1"/>
    <col min="75" max="75" width="10.86328125" bestFit="1" customWidth="1"/>
    <col min="76" max="76" width="5.265625" bestFit="1" customWidth="1"/>
    <col min="77" max="77" width="9.265625" bestFit="1" customWidth="1"/>
    <col min="78" max="78" width="9.73046875" bestFit="1" customWidth="1"/>
    <col min="79" max="79" width="9.3984375" bestFit="1" customWidth="1"/>
    <col min="80" max="80" width="8.3984375" bestFit="1" customWidth="1"/>
    <col min="81" max="81" width="9.265625" bestFit="1" customWidth="1"/>
    <col min="82" max="82" width="16.59765625" bestFit="1" customWidth="1"/>
    <col min="83" max="83" width="7.265625" bestFit="1" customWidth="1"/>
    <col min="84" max="84" width="8" bestFit="1" customWidth="1"/>
    <col min="85" max="85" width="6.73046875" bestFit="1" customWidth="1"/>
    <col min="86" max="86" width="6.86328125" bestFit="1" customWidth="1"/>
    <col min="87" max="87" width="12.1328125" bestFit="1" customWidth="1"/>
    <col min="88" max="88" width="9.1328125" bestFit="1" customWidth="1"/>
    <col min="89" max="90" width="6.3984375" bestFit="1" customWidth="1"/>
    <col min="91" max="91" width="5.73046875" bestFit="1" customWidth="1"/>
    <col min="92" max="92" width="10.1328125" bestFit="1" customWidth="1"/>
    <col min="93" max="93" width="15.1328125" bestFit="1" customWidth="1"/>
    <col min="94" max="94" width="9.265625" bestFit="1" customWidth="1"/>
    <col min="95" max="95" width="9.73046875" bestFit="1" customWidth="1"/>
    <col min="96" max="96" width="8.86328125" bestFit="1" customWidth="1"/>
    <col min="97" max="97" width="7.265625" bestFit="1" customWidth="1"/>
    <col min="98" max="98" width="7" bestFit="1" customWidth="1"/>
    <col min="99" max="99" width="13" bestFit="1" customWidth="1"/>
    <col min="100" max="100" width="10.86328125" bestFit="1" customWidth="1"/>
    <col min="101" max="101" width="11.3984375" bestFit="1" customWidth="1"/>
    <col min="102" max="102" width="8.1328125" bestFit="1" customWidth="1"/>
    <col min="103" max="103" width="7.265625" bestFit="1" customWidth="1"/>
    <col min="104" max="104" width="12.3984375" bestFit="1" customWidth="1"/>
    <col min="105" max="105" width="8.59765625" bestFit="1" customWidth="1"/>
    <col min="106" max="106" width="8.73046875" bestFit="1" customWidth="1"/>
    <col min="107" max="107" width="9.1328125" bestFit="1" customWidth="1"/>
    <col min="108" max="108" width="9.265625" bestFit="1" customWidth="1"/>
    <col min="109" max="111" width="8.1328125" bestFit="1" customWidth="1"/>
    <col min="112" max="112" width="5.73046875" bestFit="1" customWidth="1"/>
    <col min="113" max="113" width="10" bestFit="1" customWidth="1"/>
    <col min="114" max="114" width="7.3984375" bestFit="1" customWidth="1"/>
    <col min="115" max="115" width="6.86328125" bestFit="1" customWidth="1"/>
    <col min="116" max="116" width="13.1328125" bestFit="1" customWidth="1"/>
    <col min="117" max="117" width="10.73046875" bestFit="1" customWidth="1"/>
    <col min="118" max="118" width="12" bestFit="1" customWidth="1"/>
    <col min="119" max="119" width="11.59765625" bestFit="1" customWidth="1"/>
    <col min="120" max="120" width="9.73046875" bestFit="1" customWidth="1"/>
    <col min="121" max="121" width="7" bestFit="1" customWidth="1"/>
    <col min="122" max="122" width="10.86328125" bestFit="1" customWidth="1"/>
    <col min="123" max="123" width="9.265625" bestFit="1" customWidth="1"/>
    <col min="124" max="124" width="9.73046875" bestFit="1" customWidth="1"/>
    <col min="125" max="125" width="8" bestFit="1" customWidth="1"/>
    <col min="126" max="126" width="9" bestFit="1" customWidth="1"/>
    <col min="127" max="127" width="14.3984375" bestFit="1" customWidth="1"/>
    <col min="128" max="128" width="6.265625" bestFit="1" customWidth="1"/>
    <col min="129" max="129" width="6.73046875" bestFit="1" customWidth="1"/>
    <col min="130" max="130" width="10.3984375" bestFit="1" customWidth="1"/>
    <col min="131" max="131" width="11.86328125" bestFit="1" customWidth="1"/>
    <col min="132" max="132" width="8.265625" bestFit="1" customWidth="1"/>
    <col min="133" max="133" width="16.86328125" bestFit="1" customWidth="1"/>
    <col min="134" max="134" width="7" bestFit="1" customWidth="1"/>
    <col min="135" max="135" width="8.73046875" bestFit="1" customWidth="1"/>
    <col min="136" max="136" width="8.265625" bestFit="1" customWidth="1"/>
    <col min="137" max="137" width="9.265625" bestFit="1" customWidth="1"/>
    <col min="138" max="138" width="10" bestFit="1" customWidth="1"/>
    <col min="139" max="139" width="15.265625" bestFit="1" customWidth="1"/>
    <col min="140" max="140" width="9.265625" bestFit="1" customWidth="1"/>
    <col min="141" max="141" width="11.59765625" bestFit="1" customWidth="1"/>
    <col min="142" max="142" width="6.73046875" bestFit="1" customWidth="1"/>
    <col min="143" max="143" width="7.73046875" bestFit="1" customWidth="1"/>
    <col min="144" max="144" width="7.265625" bestFit="1" customWidth="1"/>
    <col min="145" max="145" width="9.59765625" bestFit="1" customWidth="1"/>
    <col min="146" max="146" width="7.3984375" bestFit="1" customWidth="1"/>
    <col min="147" max="147" width="6.59765625" bestFit="1" customWidth="1"/>
    <col min="149" max="149" width="13.86328125" bestFit="1" customWidth="1"/>
    <col min="150" max="150" width="6.3984375" bestFit="1" customWidth="1"/>
    <col min="151" max="151" width="11.86328125" bestFit="1" customWidth="1"/>
    <col min="152" max="152" width="5.73046875" bestFit="1" customWidth="1"/>
    <col min="153" max="153" width="8.86328125" bestFit="1" customWidth="1"/>
    <col min="154" max="154" width="7" bestFit="1" customWidth="1"/>
    <col min="155" max="155" width="10" bestFit="1" customWidth="1"/>
    <col min="156" max="156" width="11.1328125" bestFit="1" customWidth="1"/>
    <col min="157" max="157" width="16.3984375" bestFit="1" customWidth="1"/>
    <col min="158" max="158" width="6.59765625" bestFit="1" customWidth="1"/>
    <col min="159" max="159" width="11.1328125" bestFit="1" customWidth="1"/>
    <col min="160" max="160" width="15.86328125" bestFit="1" customWidth="1"/>
    <col min="161" max="161" width="7.3984375" bestFit="1" customWidth="1"/>
    <col min="162" max="162" width="8.73046875" bestFit="1" customWidth="1"/>
    <col min="163" max="163" width="8" bestFit="1" customWidth="1"/>
    <col min="164" max="164" width="10.59765625" bestFit="1" customWidth="1"/>
    <col min="165" max="165" width="8.3984375" bestFit="1" customWidth="1"/>
    <col min="166" max="166" width="13.1328125" bestFit="1" customWidth="1"/>
    <col min="167" max="167" width="10" bestFit="1" customWidth="1"/>
    <col min="168" max="168" width="11.59765625" bestFit="1" customWidth="1"/>
    <col min="169" max="169" width="12.86328125" bestFit="1" customWidth="1"/>
    <col min="170" max="170" width="9.265625" bestFit="1" customWidth="1"/>
    <col min="171" max="171" width="7" bestFit="1" customWidth="1"/>
    <col min="172" max="172" width="13.1328125" bestFit="1" customWidth="1"/>
    <col min="173" max="173" width="12.3984375" bestFit="1" customWidth="1"/>
    <col min="174" max="174" width="5.59765625" bestFit="1" customWidth="1"/>
    <col min="175" max="175" width="4.73046875" bestFit="1" customWidth="1"/>
    <col min="176" max="176" width="8.59765625" bestFit="1" customWidth="1"/>
    <col min="177" max="177" width="7.59765625" bestFit="1" customWidth="1"/>
    <col min="178" max="178" width="7" bestFit="1" customWidth="1"/>
    <col min="179" max="179" width="8.1328125" bestFit="1" customWidth="1"/>
    <col min="180" max="180" width="14" bestFit="1" customWidth="1"/>
    <col min="181" max="181" width="6" bestFit="1" customWidth="1"/>
    <col min="182" max="182" width="9.265625" bestFit="1" customWidth="1"/>
    <col min="183" max="183" width="6" bestFit="1" customWidth="1"/>
    <col min="184" max="184" width="7.59765625" bestFit="1" customWidth="1"/>
    <col min="185" max="185" width="11.265625" bestFit="1" customWidth="1"/>
    <col min="186" max="186" width="9.1328125" bestFit="1" customWidth="1"/>
    <col min="187" max="187" width="14.3984375" bestFit="1" customWidth="1"/>
    <col min="188" max="188" width="11" bestFit="1" customWidth="1"/>
    <col min="189" max="189" width="16.73046875" bestFit="1" customWidth="1"/>
    <col min="190" max="190" width="6.73046875" bestFit="1" customWidth="1"/>
    <col min="191" max="191" width="5.265625" bestFit="1" customWidth="1"/>
    <col min="192" max="192" width="11.59765625" bestFit="1" customWidth="1"/>
    <col min="193" max="193" width="10.265625" bestFit="1" customWidth="1"/>
    <col min="194" max="194" width="7.86328125" bestFit="1" customWidth="1"/>
    <col min="195" max="195" width="9.265625" bestFit="1" customWidth="1"/>
    <col min="196" max="196" width="13.3984375" bestFit="1" customWidth="1"/>
    <col min="197" max="197" width="11.86328125" bestFit="1" customWidth="1"/>
    <col min="198" max="198" width="5.59765625" bestFit="1" customWidth="1"/>
    <col min="199" max="199" width="11.1328125" bestFit="1" customWidth="1"/>
    <col min="200" max="200" width="10.59765625" bestFit="1" customWidth="1"/>
    <col min="201" max="201" width="6.73046875" bestFit="1" customWidth="1"/>
    <col min="202" max="202" width="7.73046875" bestFit="1" customWidth="1"/>
    <col min="203" max="203" width="14.3984375" bestFit="1" customWidth="1"/>
    <col min="204" max="204" width="13" bestFit="1" customWidth="1"/>
    <col min="205" max="205" width="7.73046875" bestFit="1" customWidth="1"/>
    <col min="206" max="206" width="10.86328125" bestFit="1" customWidth="1"/>
    <col min="207" max="207" width="7.86328125" bestFit="1" customWidth="1"/>
    <col min="208" max="208" width="12" bestFit="1" customWidth="1"/>
    <col min="209" max="209" width="7.3984375" bestFit="1" customWidth="1"/>
    <col min="210" max="210" width="9" bestFit="1" customWidth="1"/>
    <col min="211" max="211" width="7.73046875" bestFit="1" customWidth="1"/>
    <col min="212" max="212" width="7.265625" bestFit="1" customWidth="1"/>
    <col min="213" max="213" width="9.86328125" bestFit="1" customWidth="1"/>
    <col min="214" max="214" width="7.73046875" bestFit="1" customWidth="1"/>
    <col min="215" max="215" width="10.59765625" bestFit="1" customWidth="1"/>
    <col min="216" max="216" width="4.86328125" bestFit="1" customWidth="1"/>
    <col min="217" max="217" width="6.73046875" bestFit="1" customWidth="1"/>
    <col min="219" max="219" width="7.86328125" bestFit="1" customWidth="1"/>
    <col min="220" max="220" width="13.59765625" bestFit="1" customWidth="1"/>
    <col min="221" max="221" width="7.3984375" bestFit="1" customWidth="1"/>
    <col min="222" max="222" width="14.73046875" bestFit="1" customWidth="1"/>
    <col min="223" max="223" width="12.73046875" bestFit="1" customWidth="1"/>
    <col min="224" max="224" width="6.86328125" bestFit="1" customWidth="1"/>
    <col min="225" max="225" width="11.1328125" bestFit="1" customWidth="1"/>
    <col min="226" max="226" width="9.1328125" bestFit="1" customWidth="1"/>
    <col min="227" max="227" width="7.265625" bestFit="1" customWidth="1"/>
    <col min="228" max="228" width="12.86328125" bestFit="1" customWidth="1"/>
    <col min="229" max="229" width="8.265625" bestFit="1" customWidth="1"/>
    <col min="230" max="230" width="8.3984375" bestFit="1" customWidth="1"/>
    <col min="231" max="231" width="12.265625" bestFit="1" customWidth="1"/>
    <col min="232" max="232" width="9.1328125" bestFit="1" customWidth="1"/>
    <col min="233" max="233" width="10.1328125" bestFit="1" customWidth="1"/>
    <col min="234" max="235" width="7.59765625" bestFit="1" customWidth="1"/>
    <col min="236" max="236" width="10" bestFit="1" customWidth="1"/>
    <col min="237" max="237" width="10.265625" bestFit="1" customWidth="1"/>
    <col min="239" max="239" width="11" bestFit="1" customWidth="1"/>
    <col min="240" max="240" width="7.1328125" bestFit="1" customWidth="1"/>
    <col min="241" max="241" width="9.86328125" bestFit="1" customWidth="1"/>
    <col min="242" max="242" width="6.73046875" bestFit="1" customWidth="1"/>
    <col min="243" max="243" width="10.59765625" bestFit="1" customWidth="1"/>
    <col min="244" max="244" width="15.86328125" bestFit="1" customWidth="1"/>
    <col min="245" max="245" width="8.3984375" bestFit="1" customWidth="1"/>
    <col min="246" max="246" width="5.86328125" bestFit="1" customWidth="1"/>
    <col min="247" max="247" width="6.265625" bestFit="1" customWidth="1"/>
    <col min="248" max="249" width="8.86328125" bestFit="1" customWidth="1"/>
    <col min="250" max="250" width="9" bestFit="1" customWidth="1"/>
    <col min="251" max="251" width="6.265625" bestFit="1" customWidth="1"/>
    <col min="252" max="252" width="12.1328125" bestFit="1" customWidth="1"/>
    <col min="253" max="253" width="6.73046875" bestFit="1" customWidth="1"/>
    <col min="254" max="254" width="8.265625" bestFit="1" customWidth="1"/>
    <col min="255" max="255" width="9.1328125" bestFit="1" customWidth="1"/>
    <col min="256" max="256" width="4.86328125" bestFit="1" customWidth="1"/>
    <col min="257" max="257" width="10" bestFit="1" customWidth="1"/>
    <col min="258" max="258" width="11.59765625" bestFit="1" customWidth="1"/>
    <col min="259" max="259" width="6.265625" bestFit="1" customWidth="1"/>
    <col min="260" max="260" width="11" bestFit="1" customWidth="1"/>
    <col min="261" max="261" width="11.3984375" bestFit="1" customWidth="1"/>
    <col min="262" max="262" width="8.86328125" bestFit="1" customWidth="1"/>
    <col min="263" max="263" width="6.265625" bestFit="1" customWidth="1"/>
    <col min="264" max="264" width="8" bestFit="1" customWidth="1"/>
    <col min="265" max="265" width="10.3984375" bestFit="1" customWidth="1"/>
    <col min="266" max="266" width="9.265625" bestFit="1" customWidth="1"/>
    <col min="267" max="267" width="14.59765625" bestFit="1" customWidth="1"/>
    <col min="268" max="268" width="8.86328125" bestFit="1" customWidth="1"/>
    <col min="269" max="269" width="14" bestFit="1" customWidth="1"/>
    <col min="270" max="270" width="14.1328125" bestFit="1" customWidth="1"/>
    <col min="271" max="271" width="9.73046875" bestFit="1" customWidth="1"/>
    <col min="272" max="273" width="9.59765625" bestFit="1" customWidth="1"/>
    <col min="274" max="274" width="15.1328125" bestFit="1" customWidth="1"/>
    <col min="275" max="275" width="10" bestFit="1" customWidth="1"/>
    <col min="276" max="277" width="8.3984375" bestFit="1" customWidth="1"/>
    <col min="278" max="278" width="9.59765625" bestFit="1" customWidth="1"/>
    <col min="279" max="279" width="8.59765625" bestFit="1" customWidth="1"/>
    <col min="280" max="280" width="7.3984375" bestFit="1" customWidth="1"/>
    <col min="281" max="281" width="12.1328125" bestFit="1" customWidth="1"/>
    <col min="282" max="282" width="7.265625" bestFit="1" customWidth="1"/>
    <col min="283" max="283" width="6.86328125" bestFit="1" customWidth="1"/>
    <col min="284" max="284" width="5" bestFit="1" customWidth="1"/>
    <col min="285" max="285" width="10.265625" bestFit="1" customWidth="1"/>
    <col min="286" max="286" width="8" bestFit="1" customWidth="1"/>
    <col min="287" max="287" width="6.265625" bestFit="1" customWidth="1"/>
    <col min="288" max="288" width="7.59765625" bestFit="1" customWidth="1"/>
    <col min="289" max="289" width="9" bestFit="1" customWidth="1"/>
    <col min="290" max="290" width="6.86328125" bestFit="1" customWidth="1"/>
    <col min="291" max="291" width="6.1328125" bestFit="1" customWidth="1"/>
    <col min="292" max="292" width="8" bestFit="1" customWidth="1"/>
    <col min="294" max="294" width="9.265625" bestFit="1" customWidth="1"/>
    <col min="295" max="295" width="6.86328125" bestFit="1" customWidth="1"/>
    <col min="296" max="296" width="8.86328125" bestFit="1" customWidth="1"/>
    <col min="297" max="297" width="8.1328125" bestFit="1" customWidth="1"/>
    <col min="298" max="298" width="6" bestFit="1" customWidth="1"/>
    <col min="299" max="299" width="5" bestFit="1" customWidth="1"/>
    <col min="300" max="300" width="11.265625" bestFit="1" customWidth="1"/>
    <col min="301" max="301" width="8.1328125" bestFit="1" customWidth="1"/>
    <col min="302" max="302" width="7.3984375" bestFit="1" customWidth="1"/>
    <col min="303" max="303" width="5.265625" bestFit="1" customWidth="1"/>
    <col min="305" max="305" width="7.59765625" bestFit="1" customWidth="1"/>
    <col min="306" max="306" width="13" bestFit="1" customWidth="1"/>
    <col min="307" max="307" width="10.3984375" bestFit="1" customWidth="1"/>
    <col min="308" max="308" width="6.59765625" bestFit="1" customWidth="1"/>
    <col min="309" max="309" width="17.73046875" bestFit="1" customWidth="1"/>
    <col min="310" max="310" width="7" bestFit="1" customWidth="1"/>
    <col min="311" max="311" width="13.86328125" bestFit="1" customWidth="1"/>
    <col min="312" max="312" width="7.3984375" bestFit="1" customWidth="1"/>
    <col min="313" max="313" width="10.1328125" bestFit="1" customWidth="1"/>
    <col min="314" max="314" width="14" bestFit="1" customWidth="1"/>
    <col min="315" max="315" width="15.3984375" bestFit="1" customWidth="1"/>
    <col min="316" max="316" width="8.265625" bestFit="1" customWidth="1"/>
    <col min="317" max="317" width="7.1328125" bestFit="1" customWidth="1"/>
    <col min="318" max="318" width="5.265625" bestFit="1" customWidth="1"/>
    <col min="319" max="319" width="6.73046875" bestFit="1" customWidth="1"/>
    <col min="320" max="320" width="7.3984375" bestFit="1" customWidth="1"/>
    <col min="321" max="321" width="9.3984375" bestFit="1" customWidth="1"/>
    <col min="322" max="322" width="7" bestFit="1" customWidth="1"/>
    <col min="323" max="323" width="6.59765625" bestFit="1" customWidth="1"/>
    <col min="324" max="324" width="13" bestFit="1" customWidth="1"/>
    <col min="325" max="325" width="11.86328125" bestFit="1" customWidth="1"/>
    <col min="326" max="326" width="13.265625" bestFit="1" customWidth="1"/>
    <col min="327" max="327" width="9.73046875" bestFit="1" customWidth="1"/>
    <col min="328" max="328" width="7.1328125" bestFit="1" customWidth="1"/>
    <col min="329" max="329" width="12.3984375" bestFit="1" customWidth="1"/>
    <col min="330" max="330" width="14.265625" bestFit="1" customWidth="1"/>
    <col min="331" max="332" width="6.86328125" bestFit="1" customWidth="1"/>
    <col min="333" max="333" width="13.1328125" bestFit="1" customWidth="1"/>
    <col min="334" max="335" width="12" bestFit="1" customWidth="1"/>
    <col min="336" max="336" width="8.3984375" bestFit="1" customWidth="1"/>
    <col min="337" max="338" width="7.86328125" bestFit="1" customWidth="1"/>
    <col min="339" max="339" width="7.73046875" bestFit="1" customWidth="1"/>
    <col min="340" max="340" width="7.265625" bestFit="1" customWidth="1"/>
    <col min="341" max="341" width="11.73046875" bestFit="1" customWidth="1"/>
    <col min="342" max="342" width="11.59765625" bestFit="1" customWidth="1"/>
    <col min="343" max="343" width="10.59765625" bestFit="1" customWidth="1"/>
    <col min="344" max="344" width="9.59765625" bestFit="1" customWidth="1"/>
    <col min="345" max="345" width="9.1328125" bestFit="1" customWidth="1"/>
    <col min="346" max="346" width="14.73046875" bestFit="1" customWidth="1"/>
    <col min="347" max="347" width="10" bestFit="1" customWidth="1"/>
    <col min="348" max="348" width="8.3984375" bestFit="1" customWidth="1"/>
    <col min="349" max="349" width="8.59765625" bestFit="1" customWidth="1"/>
    <col min="350" max="350" width="14.86328125" bestFit="1" customWidth="1"/>
    <col min="351" max="351" width="8" bestFit="1" customWidth="1"/>
    <col min="352" max="352" width="9.3984375" bestFit="1" customWidth="1"/>
    <col min="353" max="353" width="7.59765625" bestFit="1" customWidth="1"/>
    <col min="354" max="354" width="11" bestFit="1" customWidth="1"/>
    <col min="355" max="355" width="10.73046875" bestFit="1" customWidth="1"/>
    <col min="356" max="356" width="16" bestFit="1" customWidth="1"/>
    <col min="357" max="357" width="20.265625" bestFit="1" customWidth="1"/>
    <col min="358" max="358" width="5.59765625" bestFit="1" customWidth="1"/>
    <col min="359" max="359" width="7.73046875" bestFit="1" customWidth="1"/>
    <col min="360" max="360" width="11.59765625" bestFit="1" customWidth="1"/>
    <col min="361" max="361" width="13" bestFit="1" customWidth="1"/>
    <col min="362" max="362" width="12.265625" bestFit="1" customWidth="1"/>
    <col min="363" max="363" width="4.73046875" bestFit="1" customWidth="1"/>
    <col min="364" max="364" width="8" bestFit="1" customWidth="1"/>
    <col min="365" max="365" width="6" bestFit="1" customWidth="1"/>
    <col min="366" max="366" width="8.59765625" bestFit="1" customWidth="1"/>
    <col min="367" max="367" width="9.73046875" bestFit="1" customWidth="1"/>
    <col min="368" max="368" width="11.86328125" bestFit="1" customWidth="1"/>
    <col min="369" max="369" width="7" bestFit="1" customWidth="1"/>
    <col min="370" max="370" width="9" bestFit="1" customWidth="1"/>
    <col min="371" max="371" width="9.86328125" bestFit="1" customWidth="1"/>
    <col min="372" max="372" width="13.59765625" bestFit="1" customWidth="1"/>
    <col min="373" max="373" width="10.265625" bestFit="1" customWidth="1"/>
    <col min="374" max="374" width="12.3984375" bestFit="1" customWidth="1"/>
    <col min="375" max="375" width="11.59765625" bestFit="1" customWidth="1"/>
    <col min="376" max="376" width="7.59765625" bestFit="1" customWidth="1"/>
    <col min="377" max="377" width="9.1328125" bestFit="1" customWidth="1"/>
    <col min="378" max="378" width="8" bestFit="1" customWidth="1"/>
    <col min="379" max="379" width="8.86328125" bestFit="1" customWidth="1"/>
    <col min="380" max="380" width="9.86328125" bestFit="1" customWidth="1"/>
    <col min="381" max="381" width="9.3984375" bestFit="1" customWidth="1"/>
    <col min="382" max="382" width="9.1328125" bestFit="1" customWidth="1"/>
    <col min="383" max="383" width="12" bestFit="1" customWidth="1"/>
    <col min="384" max="384" width="8.1328125" bestFit="1" customWidth="1"/>
    <col min="385" max="385" width="8.265625" bestFit="1" customWidth="1"/>
    <col min="386" max="386" width="7.1328125" bestFit="1" customWidth="1"/>
    <col min="388" max="388" width="13" bestFit="1" customWidth="1"/>
    <col min="389" max="389" width="14.59765625" bestFit="1" customWidth="1"/>
    <col min="390" max="390" width="14.265625" bestFit="1" customWidth="1"/>
    <col min="391" max="391" width="14.3984375" bestFit="1" customWidth="1"/>
    <col min="392" max="392" width="13.86328125" bestFit="1" customWidth="1"/>
    <col min="393" max="393" width="7.265625" bestFit="1" customWidth="1"/>
    <col min="394" max="394" width="7.59765625" bestFit="1" customWidth="1"/>
    <col min="395" max="395" width="6.73046875" bestFit="1" customWidth="1"/>
    <col min="396" max="396" width="12" bestFit="1" customWidth="1"/>
    <col min="397" max="397" width="8.1328125" bestFit="1" customWidth="1"/>
    <col min="398" max="398" width="7" bestFit="1" customWidth="1"/>
    <col min="399" max="399" width="13.59765625" bestFit="1" customWidth="1"/>
    <col min="400" max="400" width="12.86328125" bestFit="1" customWidth="1"/>
    <col min="401" max="401" width="13.59765625" bestFit="1" customWidth="1"/>
    <col min="402" max="402" width="8.59765625" bestFit="1" customWidth="1"/>
    <col min="403" max="403" width="13" bestFit="1" customWidth="1"/>
    <col min="404" max="404" width="6.59765625" bestFit="1" customWidth="1"/>
    <col min="405" max="405" width="11.1328125" bestFit="1" customWidth="1"/>
    <col min="406" max="406" width="5.59765625" bestFit="1" customWidth="1"/>
    <col min="407" max="407" width="6.3984375" bestFit="1" customWidth="1"/>
    <col min="408" max="408" width="5.1328125" bestFit="1" customWidth="1"/>
    <col min="409" max="409" width="7.1328125" bestFit="1" customWidth="1"/>
    <col min="410" max="410" width="4.73046875" bestFit="1" customWidth="1"/>
    <col min="412" max="412" width="8.3984375" bestFit="1" customWidth="1"/>
    <col min="413" max="413" width="7.1328125" bestFit="1" customWidth="1"/>
    <col min="414" max="414" width="12.3984375" bestFit="1" customWidth="1"/>
    <col min="415" max="415" width="6.86328125" bestFit="1" customWidth="1"/>
    <col min="416" max="416" width="11.3984375" bestFit="1" customWidth="1"/>
    <col min="417" max="417" width="6.3984375" bestFit="1" customWidth="1"/>
    <col min="418" max="418" width="10.265625" bestFit="1" customWidth="1"/>
    <col min="419" max="419" width="8.59765625" bestFit="1" customWidth="1"/>
    <col min="420" max="420" width="12.265625" bestFit="1" customWidth="1"/>
    <col min="421" max="421" width="9.86328125" bestFit="1" customWidth="1"/>
    <col min="422" max="422" width="9.265625" bestFit="1" customWidth="1"/>
    <col min="423" max="423" width="11.265625" bestFit="1" customWidth="1"/>
    <col min="424" max="424" width="9.3984375" bestFit="1" customWidth="1"/>
    <col min="425" max="425" width="14.86328125" bestFit="1" customWidth="1"/>
    <col min="426" max="426" width="7.59765625" bestFit="1" customWidth="1"/>
    <col min="427" max="427" width="7.3984375" bestFit="1" customWidth="1"/>
    <col min="428" max="428" width="8.73046875" bestFit="1" customWidth="1"/>
    <col min="429" max="429" width="9.3984375" bestFit="1" customWidth="1"/>
    <col min="430" max="430" width="8.59765625" bestFit="1" customWidth="1"/>
    <col min="431" max="431" width="6.265625" bestFit="1" customWidth="1"/>
    <col min="433" max="433" width="8.3984375" bestFit="1" customWidth="1"/>
    <col min="434" max="434" width="7.59765625" bestFit="1" customWidth="1"/>
    <col min="435" max="435" width="12.1328125" bestFit="1" customWidth="1"/>
    <col min="436" max="436" width="5.86328125" bestFit="1" customWidth="1"/>
    <col min="437" max="438" width="9.3984375" bestFit="1" customWidth="1"/>
    <col min="439" max="439" width="10.3984375" bestFit="1" customWidth="1"/>
    <col min="440" max="440" width="6.3984375" bestFit="1" customWidth="1"/>
    <col min="441" max="441" width="11.59765625" bestFit="1" customWidth="1"/>
    <col min="442" max="443" width="12" bestFit="1" customWidth="1"/>
    <col min="444" max="444" width="9.73046875" bestFit="1" customWidth="1"/>
    <col min="445" max="445" width="8.59765625" bestFit="1" customWidth="1"/>
    <col min="446" max="446" width="10" bestFit="1" customWidth="1"/>
    <col min="447" max="447" width="7" bestFit="1" customWidth="1"/>
    <col min="448" max="448" width="12.1328125" bestFit="1" customWidth="1"/>
    <col min="449" max="449" width="8" bestFit="1" customWidth="1"/>
    <col min="450" max="450" width="14.59765625" bestFit="1" customWidth="1"/>
    <col min="451" max="451" width="10.59765625" bestFit="1" customWidth="1"/>
    <col min="452" max="452" width="9.265625" bestFit="1" customWidth="1"/>
    <col min="453" max="453" width="14.59765625" bestFit="1" customWidth="1"/>
    <col min="454" max="454" width="8.73046875" bestFit="1" customWidth="1"/>
    <col min="455" max="455" width="10.59765625" bestFit="1" customWidth="1"/>
    <col min="456" max="456" width="8.1328125" bestFit="1" customWidth="1"/>
    <col min="457" max="457" width="12" bestFit="1" customWidth="1"/>
    <col min="458" max="458" width="14.86328125" bestFit="1" customWidth="1"/>
    <col min="459" max="459" width="8.265625" bestFit="1" customWidth="1"/>
    <col min="460" max="460" width="9.73046875" bestFit="1" customWidth="1"/>
    <col min="461" max="461" width="13" bestFit="1" customWidth="1"/>
    <col min="462" max="462" width="6.59765625" bestFit="1" customWidth="1"/>
    <col min="463" max="463" width="6.73046875" bestFit="1" customWidth="1"/>
    <col min="464" max="464" width="12" bestFit="1" customWidth="1"/>
    <col min="465" max="465" width="8.73046875" bestFit="1" customWidth="1"/>
    <col min="466" max="466" width="7" bestFit="1" customWidth="1"/>
    <col min="467" max="467" width="8.86328125" bestFit="1" customWidth="1"/>
    <col min="468" max="468" width="7.3984375" bestFit="1" customWidth="1"/>
    <col min="469" max="469" width="11.73046875" bestFit="1" customWidth="1"/>
    <col min="470" max="470" width="17" bestFit="1" customWidth="1"/>
    <col min="471" max="471" width="6.73046875" bestFit="1" customWidth="1"/>
    <col min="472" max="472" width="7.265625" bestFit="1" customWidth="1"/>
    <col min="473" max="473" width="9.86328125" bestFit="1" customWidth="1"/>
    <col min="474" max="474" width="11.3984375" bestFit="1" customWidth="1"/>
    <col min="475" max="475" width="13" bestFit="1" customWidth="1"/>
    <col min="476" max="476" width="5.3984375" bestFit="1" customWidth="1"/>
    <col min="477" max="477" width="10" bestFit="1" customWidth="1"/>
    <col min="478" max="478" width="8" bestFit="1" customWidth="1"/>
    <col min="479" max="479" width="13.265625" bestFit="1" customWidth="1"/>
    <col min="480" max="480" width="13.3984375" bestFit="1" customWidth="1"/>
    <col min="481" max="481" width="8" bestFit="1" customWidth="1"/>
    <col min="482" max="482" width="5.73046875" bestFit="1" customWidth="1"/>
    <col min="483" max="483" width="10.265625" bestFit="1" customWidth="1"/>
    <col min="484" max="484" width="10.3984375" bestFit="1" customWidth="1"/>
    <col min="485" max="485" width="14.265625" bestFit="1" customWidth="1"/>
    <col min="486" max="487" width="15.73046875" bestFit="1" customWidth="1"/>
    <col min="488" max="488" width="15.1328125" bestFit="1" customWidth="1"/>
    <col min="489" max="489" width="11.59765625" bestFit="1" customWidth="1"/>
    <col min="490" max="490" width="12" bestFit="1" customWidth="1"/>
    <col min="491" max="491" width="14.86328125" bestFit="1" customWidth="1"/>
    <col min="492" max="492" width="14.265625" bestFit="1" customWidth="1"/>
    <col min="493" max="493" width="14.73046875" bestFit="1" customWidth="1"/>
    <col min="494" max="494" width="12.59765625" bestFit="1" customWidth="1"/>
    <col min="495" max="495" width="11.73046875" bestFit="1" customWidth="1"/>
    <col min="496" max="496" width="8.1328125" bestFit="1" customWidth="1"/>
    <col min="497" max="497" width="11.59765625" bestFit="1" customWidth="1"/>
    <col min="498" max="498" width="8.86328125" bestFit="1" customWidth="1"/>
    <col min="499" max="499" width="9.3984375" bestFit="1" customWidth="1"/>
    <col min="500" max="500" width="6.265625" bestFit="1" customWidth="1"/>
    <col min="501" max="501" width="12.86328125" bestFit="1" customWidth="1"/>
    <col min="502" max="502" width="7.3984375" bestFit="1" customWidth="1"/>
    <col min="503" max="503" width="9.86328125" bestFit="1" customWidth="1"/>
    <col min="504" max="504" width="15.1328125" bestFit="1" customWidth="1"/>
    <col min="505" max="505" width="9.265625" bestFit="1" customWidth="1"/>
    <col min="506" max="506" width="11" bestFit="1" customWidth="1"/>
    <col min="507" max="507" width="10.59765625" bestFit="1" customWidth="1"/>
    <col min="508" max="508" width="12.3984375" bestFit="1" customWidth="1"/>
    <col min="509" max="509" width="11.73046875" bestFit="1" customWidth="1"/>
    <col min="510" max="510" width="13.59765625" bestFit="1" customWidth="1"/>
    <col min="511" max="511" width="13.265625" bestFit="1" customWidth="1"/>
    <col min="512" max="512" width="10.1328125" bestFit="1" customWidth="1"/>
    <col min="513" max="513" width="8.3984375" bestFit="1" customWidth="1"/>
    <col min="514" max="514" width="7.59765625" bestFit="1" customWidth="1"/>
    <col min="515" max="515" width="9.3984375" bestFit="1" customWidth="1"/>
    <col min="516" max="516" width="14.1328125" bestFit="1" customWidth="1"/>
    <col min="517" max="517" width="8.3984375" bestFit="1" customWidth="1"/>
    <col min="518" max="518" width="7.1328125" bestFit="1" customWidth="1"/>
    <col min="519" max="519" width="7.86328125" bestFit="1" customWidth="1"/>
    <col min="520" max="520" width="13.73046875" bestFit="1" customWidth="1"/>
    <col min="521" max="521" width="7.265625" bestFit="1" customWidth="1"/>
    <col min="522" max="522" width="7.73046875" bestFit="1" customWidth="1"/>
    <col min="523" max="523" width="7.3984375" bestFit="1" customWidth="1"/>
    <col min="524" max="524" width="5.86328125" bestFit="1" customWidth="1"/>
    <col min="525" max="525" width="7.1328125" bestFit="1" customWidth="1"/>
    <col min="526" max="526" width="9.3984375" bestFit="1" customWidth="1"/>
    <col min="527" max="527" width="11.1328125" bestFit="1" customWidth="1"/>
    <col min="528" max="528" width="8.3984375" bestFit="1" customWidth="1"/>
    <col min="529" max="529" width="6.59765625" bestFit="1" customWidth="1"/>
    <col min="530" max="531" width="11.86328125" bestFit="1" customWidth="1"/>
    <col min="532" max="532" width="6.1328125" bestFit="1" customWidth="1"/>
    <col min="533" max="533" width="7.86328125" bestFit="1" customWidth="1"/>
    <col min="534" max="534" width="9" bestFit="1" customWidth="1"/>
    <col min="535" max="535" width="13.86328125" bestFit="1" customWidth="1"/>
    <col min="536" max="536" width="9.73046875" bestFit="1" customWidth="1"/>
    <col min="537" max="537" width="8.3984375" bestFit="1" customWidth="1"/>
    <col min="538" max="538" width="14" bestFit="1" customWidth="1"/>
    <col min="539" max="539" width="13.86328125" bestFit="1" customWidth="1"/>
    <col min="540" max="540" width="10.73046875" bestFit="1" customWidth="1"/>
    <col min="541" max="541" width="6.1328125" bestFit="1" customWidth="1"/>
    <col min="542" max="542" width="6.73046875" bestFit="1" customWidth="1"/>
    <col min="543" max="543" width="12.86328125" bestFit="1" customWidth="1"/>
    <col min="544" max="544" width="7.3984375" bestFit="1" customWidth="1"/>
    <col min="545" max="545" width="8.86328125" bestFit="1" customWidth="1"/>
    <col min="546" max="546" width="6.3984375" bestFit="1" customWidth="1"/>
    <col min="547" max="547" width="7" bestFit="1" customWidth="1"/>
    <col min="548" max="548" width="8.59765625" bestFit="1" customWidth="1"/>
    <col min="549" max="549" width="10.73046875" bestFit="1" customWidth="1"/>
    <col min="550" max="550" width="15.86328125" bestFit="1" customWidth="1"/>
    <col min="551" max="551" width="10.73046875" bestFit="1" customWidth="1"/>
    <col min="552" max="552" width="5.86328125" bestFit="1" customWidth="1"/>
    <col min="553" max="553" width="7.3984375" bestFit="1" customWidth="1"/>
    <col min="554" max="554" width="6.86328125" bestFit="1" customWidth="1"/>
    <col min="555" max="555" width="8.3984375" bestFit="1" customWidth="1"/>
    <col min="556" max="556" width="7.86328125" bestFit="1" customWidth="1"/>
    <col min="557" max="557" width="11.59765625" bestFit="1" customWidth="1"/>
    <col min="558" max="558" width="15.1328125" bestFit="1" customWidth="1"/>
    <col min="559" max="559" width="13" bestFit="1" customWidth="1"/>
    <col min="560" max="560" width="13.1328125" bestFit="1" customWidth="1"/>
    <col min="561" max="561" width="6.1328125" bestFit="1" customWidth="1"/>
    <col min="563" max="563" width="10.59765625" bestFit="1" customWidth="1"/>
    <col min="564" max="564" width="5.1328125" bestFit="1" customWidth="1"/>
    <col min="565" max="565" width="9.3984375" bestFit="1" customWidth="1"/>
    <col min="566" max="566" width="15.265625" bestFit="1" customWidth="1"/>
    <col min="567" max="567" width="14" bestFit="1" customWidth="1"/>
    <col min="568" max="568" width="9.73046875" bestFit="1" customWidth="1"/>
    <col min="569" max="569" width="11.265625" bestFit="1" customWidth="1"/>
    <col min="570" max="570" width="7" bestFit="1" customWidth="1"/>
    <col min="571" max="571" width="10.265625" bestFit="1" customWidth="1"/>
    <col min="572" max="572" width="8" bestFit="1" customWidth="1"/>
    <col min="573" max="573" width="7.73046875" bestFit="1" customWidth="1"/>
    <col min="574" max="574" width="10.1328125" bestFit="1" customWidth="1"/>
    <col min="575" max="575" width="7" bestFit="1" customWidth="1"/>
    <col min="576" max="576" width="13.73046875" bestFit="1" customWidth="1"/>
    <col min="577" max="577" width="10.59765625" bestFit="1" customWidth="1"/>
    <col min="578" max="578" width="14.3984375" bestFit="1" customWidth="1"/>
    <col min="579" max="579" width="9.86328125" bestFit="1" customWidth="1"/>
    <col min="580" max="580" width="8.3984375" bestFit="1" customWidth="1"/>
    <col min="581" max="581" width="9.73046875" bestFit="1" customWidth="1"/>
    <col min="582" max="582" width="8.3984375" bestFit="1" customWidth="1"/>
    <col min="583" max="583" width="13.86328125" bestFit="1" customWidth="1"/>
    <col min="584" max="584" width="11.59765625" bestFit="1" customWidth="1"/>
    <col min="585" max="585" width="9" bestFit="1" customWidth="1"/>
    <col min="586" max="586" width="8" bestFit="1" customWidth="1"/>
    <col min="587" max="587" width="17" bestFit="1" customWidth="1"/>
    <col min="588" max="588" width="7.265625" bestFit="1" customWidth="1"/>
    <col min="589" max="589" width="10.73046875" bestFit="1" customWidth="1"/>
    <col min="590" max="590" width="7.1328125" bestFit="1" customWidth="1"/>
    <col min="591" max="591" width="12.59765625" bestFit="1" customWidth="1"/>
    <col min="592" max="592" width="8.86328125" bestFit="1" customWidth="1"/>
    <col min="593" max="593" width="10.265625" bestFit="1" customWidth="1"/>
    <col min="594" max="594" width="6.59765625" bestFit="1" customWidth="1"/>
    <col min="595" max="595" width="12.265625" bestFit="1" customWidth="1"/>
    <col min="596" max="596" width="6.1328125" bestFit="1" customWidth="1"/>
    <col min="597" max="597" width="8.1328125" bestFit="1" customWidth="1"/>
    <col min="598" max="598" width="12.59765625" bestFit="1" customWidth="1"/>
    <col min="599" max="599" width="10.59765625" bestFit="1" customWidth="1"/>
    <col min="600" max="600" width="7.86328125" bestFit="1" customWidth="1"/>
    <col min="601" max="601" width="13.1328125" bestFit="1" customWidth="1"/>
    <col min="602" max="602" width="5.59765625" bestFit="1" customWidth="1"/>
    <col min="605" max="605" width="7.265625" bestFit="1" customWidth="1"/>
    <col min="606" max="606" width="9.265625" bestFit="1" customWidth="1"/>
    <col min="607" max="607" width="9.59765625" bestFit="1" customWidth="1"/>
    <col min="608" max="608" width="6.86328125" bestFit="1" customWidth="1"/>
    <col min="609" max="609" width="12.1328125" bestFit="1" customWidth="1"/>
    <col min="610" max="610" width="9" bestFit="1" customWidth="1"/>
    <col min="611" max="611" width="7.73046875" bestFit="1" customWidth="1"/>
    <col min="612" max="612" width="11.1328125" bestFit="1" customWidth="1"/>
    <col min="613" max="613" width="9.1328125" bestFit="1" customWidth="1"/>
    <col min="614" max="614" width="12.3984375" bestFit="1" customWidth="1"/>
    <col min="615" max="615" width="10" bestFit="1" customWidth="1"/>
    <col min="616" max="616" width="9.265625" bestFit="1" customWidth="1"/>
    <col min="617" max="617" width="8.265625" bestFit="1" customWidth="1"/>
    <col min="618" max="618" width="10.86328125" bestFit="1" customWidth="1"/>
    <col min="619" max="619" width="6.1328125" bestFit="1" customWidth="1"/>
    <col min="620" max="620" width="5.1328125" bestFit="1" customWidth="1"/>
    <col min="621" max="621" width="10.3984375" bestFit="1" customWidth="1"/>
    <col min="622" max="622" width="9.1328125" bestFit="1" customWidth="1"/>
    <col min="623" max="623" width="9.3984375" bestFit="1" customWidth="1"/>
    <col min="624" max="624" width="7.59765625" bestFit="1" customWidth="1"/>
    <col min="625" max="625" width="7.1328125" bestFit="1" customWidth="1"/>
    <col min="626" max="626" width="6.265625" bestFit="1" customWidth="1"/>
    <col min="627" max="627" width="10" bestFit="1" customWidth="1"/>
    <col min="628" max="628" width="8.265625" bestFit="1" customWidth="1"/>
    <col min="629" max="630" width="7" bestFit="1" customWidth="1"/>
    <col min="631" max="631" width="10.86328125" bestFit="1" customWidth="1"/>
    <col min="632" max="632" width="6.86328125" bestFit="1" customWidth="1"/>
    <col min="633" max="633" width="8.59765625" bestFit="1" customWidth="1"/>
    <col min="634" max="634" width="6.59765625" bestFit="1" customWidth="1"/>
    <col min="635" max="635" width="11.73046875" bestFit="1" customWidth="1"/>
    <col min="636" max="636" width="8.1328125" bestFit="1" customWidth="1"/>
    <col min="637" max="637" width="14.265625" bestFit="1" customWidth="1"/>
    <col min="638" max="638" width="8.265625" bestFit="1" customWidth="1"/>
    <col min="639" max="639" width="7.1328125" bestFit="1" customWidth="1"/>
    <col min="640" max="640" width="9.86328125" bestFit="1" customWidth="1"/>
    <col min="641" max="641" width="12" bestFit="1" customWidth="1"/>
    <col min="642" max="642" width="7" bestFit="1" customWidth="1"/>
    <col min="643" max="643" width="8.265625" bestFit="1" customWidth="1"/>
    <col min="644" max="644" width="6.3984375" bestFit="1" customWidth="1"/>
    <col min="645" max="645" width="5" bestFit="1" customWidth="1"/>
    <col min="646" max="646" width="9.73046875" bestFit="1" customWidth="1"/>
    <col min="647" max="647" width="8.86328125" bestFit="1" customWidth="1"/>
    <col min="648" max="648" width="9.73046875" bestFit="1" customWidth="1"/>
    <col min="649" max="649" width="10.3984375" bestFit="1" customWidth="1"/>
    <col min="650" max="650" width="8" bestFit="1" customWidth="1"/>
    <col min="651" max="651" width="10" bestFit="1" customWidth="1"/>
    <col min="652" max="652" width="8.3984375" bestFit="1" customWidth="1"/>
    <col min="653" max="653" width="7.73046875" bestFit="1" customWidth="1"/>
    <col min="654" max="654" width="10.86328125" bestFit="1" customWidth="1"/>
    <col min="655" max="655" width="16.1328125" bestFit="1" customWidth="1"/>
    <col min="656" max="656" width="6.86328125" bestFit="1" customWidth="1"/>
    <col min="657" max="657" width="10.73046875" bestFit="1" customWidth="1"/>
    <col min="658" max="658" width="10.59765625" bestFit="1" customWidth="1"/>
    <col min="659" max="659" width="7" bestFit="1" customWidth="1"/>
    <col min="660" max="660" width="13.3984375" bestFit="1" customWidth="1"/>
    <col min="661" max="661" width="9" bestFit="1" customWidth="1"/>
    <col min="662" max="662" width="10.73046875" bestFit="1" customWidth="1"/>
    <col min="663" max="663" width="12.59765625" bestFit="1" customWidth="1"/>
    <col min="664" max="664" width="6" bestFit="1" customWidth="1"/>
    <col min="665" max="665" width="8" bestFit="1" customWidth="1"/>
    <col min="666" max="666" width="6.3984375" bestFit="1" customWidth="1"/>
    <col min="667" max="667" width="10.73046875" bestFit="1" customWidth="1"/>
    <col min="668" max="668" width="9.1328125" bestFit="1" customWidth="1"/>
    <col min="669" max="669" width="8.86328125" bestFit="1" customWidth="1"/>
    <col min="670" max="670" width="14.3984375" bestFit="1" customWidth="1"/>
    <col min="671" max="671" width="13.3984375" bestFit="1" customWidth="1"/>
    <col min="672" max="672" width="12.3984375" bestFit="1" customWidth="1"/>
    <col min="673" max="673" width="12.1328125" bestFit="1" customWidth="1"/>
    <col min="674" max="674" width="9.3984375" bestFit="1" customWidth="1"/>
    <col min="675" max="675" width="8.73046875" bestFit="1" customWidth="1"/>
    <col min="676" max="676" width="6.1328125" bestFit="1" customWidth="1"/>
    <col min="677" max="677" width="10" bestFit="1" customWidth="1"/>
    <col min="678" max="678" width="8.59765625" bestFit="1" customWidth="1"/>
    <col min="679" max="679" width="9.265625" bestFit="1" customWidth="1"/>
    <col min="680" max="680" width="9.1328125" bestFit="1" customWidth="1"/>
    <col min="681" max="681" width="7.86328125" bestFit="1" customWidth="1"/>
    <col min="682" max="682" width="5" bestFit="1" customWidth="1"/>
    <col min="683" max="683" width="8" bestFit="1" customWidth="1"/>
    <col min="684" max="684" width="7.3984375" bestFit="1" customWidth="1"/>
    <col min="685" max="685" width="11.1328125" bestFit="1" customWidth="1"/>
    <col min="686" max="686" width="10.73046875" bestFit="1" customWidth="1"/>
    <col min="687" max="687" width="5.59765625" bestFit="1" customWidth="1"/>
    <col min="688" max="688" width="10.265625" bestFit="1" customWidth="1"/>
    <col min="689" max="689" width="9.265625" bestFit="1" customWidth="1"/>
    <col min="690" max="690" width="8" bestFit="1" customWidth="1"/>
    <col min="691" max="691" width="8.1328125" bestFit="1" customWidth="1"/>
    <col min="692" max="692" width="8.86328125" bestFit="1" customWidth="1"/>
    <col min="693" max="693" width="8.1328125" bestFit="1" customWidth="1"/>
    <col min="694" max="694" width="13.59765625" bestFit="1" customWidth="1"/>
    <col min="695" max="695" width="9.59765625" bestFit="1" customWidth="1"/>
    <col min="696" max="696" width="7" bestFit="1" customWidth="1"/>
    <col min="697" max="697" width="8.265625" bestFit="1" customWidth="1"/>
    <col min="698" max="698" width="12" bestFit="1" customWidth="1"/>
    <col min="699" max="699" width="5.1328125" bestFit="1" customWidth="1"/>
    <col min="700" max="700" width="8.73046875" bestFit="1" customWidth="1"/>
    <col min="701" max="701" width="6" bestFit="1" customWidth="1"/>
    <col min="702" max="702" width="12.59765625" bestFit="1" customWidth="1"/>
    <col min="703" max="703" width="8" bestFit="1" customWidth="1"/>
    <col min="704" max="704" width="6.1328125" bestFit="1" customWidth="1"/>
    <col min="705" max="705" width="10" bestFit="1" customWidth="1"/>
    <col min="706" max="706" width="10.265625" bestFit="1" customWidth="1"/>
    <col min="707" max="707" width="14.1328125" bestFit="1" customWidth="1"/>
    <col min="708" max="708" width="15.59765625" bestFit="1" customWidth="1"/>
    <col min="709" max="709" width="15.73046875" bestFit="1" customWidth="1"/>
    <col min="710" max="710" width="15" bestFit="1" customWidth="1"/>
    <col min="711" max="711" width="12.73046875" bestFit="1" customWidth="1"/>
    <col min="712" max="712" width="9.86328125" bestFit="1" customWidth="1"/>
    <col min="713" max="713" width="14.59765625" bestFit="1" customWidth="1"/>
    <col min="714" max="714" width="8.86328125" bestFit="1" customWidth="1"/>
    <col min="715" max="715" width="6" bestFit="1" customWidth="1"/>
    <col min="716" max="716" width="7.86328125" bestFit="1" customWidth="1"/>
    <col min="717" max="717" width="13.1328125" bestFit="1" customWidth="1"/>
    <col min="718" max="718" width="8.73046875" bestFit="1" customWidth="1"/>
    <col min="719" max="719" width="6.73046875" bestFit="1" customWidth="1"/>
    <col min="720" max="720" width="9.265625" bestFit="1" customWidth="1"/>
    <col min="721" max="721" width="12.1328125" bestFit="1" customWidth="1"/>
    <col min="722" max="722" width="9.265625" bestFit="1" customWidth="1"/>
    <col min="723" max="723" width="10.3984375" bestFit="1" customWidth="1"/>
    <col min="724" max="724" width="7.3984375" bestFit="1" customWidth="1"/>
    <col min="725" max="725" width="8.73046875" bestFit="1" customWidth="1"/>
    <col min="726" max="726" width="9.265625" bestFit="1" customWidth="1"/>
    <col min="727" max="727" width="11" bestFit="1" customWidth="1"/>
    <col min="728" max="728" width="7.59765625" bestFit="1" customWidth="1"/>
    <col min="729" max="729" width="11.3984375" bestFit="1" customWidth="1"/>
    <col min="730" max="730" width="12.86328125" bestFit="1" customWidth="1"/>
    <col min="731" max="731" width="13" bestFit="1" customWidth="1"/>
    <col min="732" max="732" width="8.59765625" bestFit="1" customWidth="1"/>
    <col min="733" max="733" width="11.265625" bestFit="1" customWidth="1"/>
    <col min="734" max="734" width="6.86328125" bestFit="1" customWidth="1"/>
    <col min="735" max="735" width="8.1328125" bestFit="1" customWidth="1"/>
    <col min="736" max="736" width="6.1328125" bestFit="1" customWidth="1"/>
    <col min="737" max="737" width="4.73046875" bestFit="1" customWidth="1"/>
    <col min="738" max="738" width="5.86328125" bestFit="1" customWidth="1"/>
    <col min="739" max="739" width="10.86328125" bestFit="1" customWidth="1"/>
    <col min="740" max="740" width="7.59765625" bestFit="1" customWidth="1"/>
    <col min="741" max="741" width="12.86328125" bestFit="1" customWidth="1"/>
    <col min="742" max="742" width="11.3984375" bestFit="1" customWidth="1"/>
    <col min="743" max="743" width="9.265625" bestFit="1" customWidth="1"/>
    <col min="744" max="744" width="7.73046875" bestFit="1" customWidth="1"/>
    <col min="745" max="745" width="5.3984375" bestFit="1" customWidth="1"/>
    <col min="746" max="746" width="14.73046875" bestFit="1" customWidth="1"/>
    <col min="747" max="747" width="8.1328125" bestFit="1" customWidth="1"/>
    <col min="748" max="748" width="10.1328125" bestFit="1" customWidth="1"/>
    <col min="749" max="749" width="5.59765625" bestFit="1" customWidth="1"/>
    <col min="750" max="750" width="7.73046875" bestFit="1" customWidth="1"/>
    <col min="751" max="751" width="12.59765625" bestFit="1" customWidth="1"/>
    <col min="752" max="752" width="9.3984375" bestFit="1" customWidth="1"/>
    <col min="753" max="753" width="7.86328125" bestFit="1" customWidth="1"/>
    <col min="754" max="754" width="10.1328125" bestFit="1" customWidth="1"/>
    <col min="755" max="755" width="14" bestFit="1" customWidth="1"/>
    <col min="756" max="757" width="15.3984375" bestFit="1" customWidth="1"/>
    <col min="758" max="758" width="12.3984375" bestFit="1" customWidth="1"/>
    <col min="759" max="759" width="5.59765625" bestFit="1" customWidth="1"/>
    <col min="760" max="760" width="6" bestFit="1" customWidth="1"/>
    <col min="761" max="761" width="9.1328125" bestFit="1" customWidth="1"/>
    <col min="762" max="762" width="6.3984375" bestFit="1" customWidth="1"/>
    <col min="763" max="763" width="11.73046875" bestFit="1" customWidth="1"/>
    <col min="764" max="764" width="9.265625" bestFit="1" customWidth="1"/>
    <col min="765" max="765" width="7.265625" bestFit="1" customWidth="1"/>
    <col min="766" max="766" width="13.59765625" bestFit="1" customWidth="1"/>
    <col min="767" max="767" width="8.265625" bestFit="1" customWidth="1"/>
    <col min="768" max="768" width="8.59765625" bestFit="1" customWidth="1"/>
    <col min="769" max="769" width="9.73046875" bestFit="1" customWidth="1"/>
    <col min="770" max="770" width="7.265625" bestFit="1" customWidth="1"/>
    <col min="771" max="771" width="9.3984375" bestFit="1" customWidth="1"/>
    <col min="772" max="772" width="5" bestFit="1" customWidth="1"/>
    <col min="773" max="773" width="11.265625" bestFit="1" customWidth="1"/>
    <col min="774" max="774" width="12.73046875" bestFit="1" customWidth="1"/>
    <col min="775" max="775" width="8.59765625" bestFit="1" customWidth="1"/>
    <col min="776" max="776" width="9.265625" bestFit="1" customWidth="1"/>
    <col min="777" max="777" width="9.1328125" bestFit="1" customWidth="1"/>
    <col min="778" max="778" width="8.59765625" bestFit="1" customWidth="1"/>
    <col min="779" max="779" width="12.3984375" bestFit="1" customWidth="1"/>
    <col min="780" max="780" width="13.86328125" bestFit="1" customWidth="1"/>
    <col min="781" max="781" width="9.86328125" bestFit="1" customWidth="1"/>
    <col min="782" max="782" width="7.265625" bestFit="1" customWidth="1"/>
    <col min="783" max="783" width="7.1328125" bestFit="1" customWidth="1"/>
    <col min="784" max="784" width="7.265625" bestFit="1" customWidth="1"/>
    <col min="785" max="785" width="12.59765625" bestFit="1" customWidth="1"/>
    <col min="786" max="786" width="6" bestFit="1" customWidth="1"/>
    <col min="787" max="787" width="12.265625" bestFit="1" customWidth="1"/>
    <col min="788" max="788" width="7.3984375" bestFit="1" customWidth="1"/>
    <col min="789" max="789" width="10.265625" bestFit="1" customWidth="1"/>
    <col min="790" max="790" width="6.59765625" bestFit="1" customWidth="1"/>
    <col min="791" max="791" width="8" bestFit="1" customWidth="1"/>
    <col min="792" max="792" width="5.59765625" bestFit="1" customWidth="1"/>
    <col min="793" max="793" width="6" bestFit="1" customWidth="1"/>
    <col min="794" max="794" width="8.73046875" bestFit="1" customWidth="1"/>
    <col min="795" max="795" width="8" bestFit="1" customWidth="1"/>
    <col min="796" max="796" width="7.1328125" bestFit="1" customWidth="1"/>
    <col min="797" max="797" width="10.265625" bestFit="1" customWidth="1"/>
    <col min="798" max="798" width="8.265625" bestFit="1" customWidth="1"/>
    <col min="799" max="799" width="10.1328125" bestFit="1" customWidth="1"/>
    <col min="800" max="800" width="14.59765625" bestFit="1" customWidth="1"/>
    <col min="801" max="801" width="11.1328125" bestFit="1" customWidth="1"/>
    <col min="802" max="802" width="8.73046875" bestFit="1" customWidth="1"/>
    <col min="803" max="803" width="9.86328125" bestFit="1" customWidth="1"/>
    <col min="804" max="804" width="13.265625" bestFit="1" customWidth="1"/>
    <col min="805" max="805" width="5.265625" bestFit="1" customWidth="1"/>
    <col min="806" max="806" width="10.73046875" bestFit="1" customWidth="1"/>
    <col min="807" max="807" width="7" bestFit="1" customWidth="1"/>
    <col min="808" max="808" width="8.59765625" bestFit="1" customWidth="1"/>
    <col min="809" max="809" width="6.3984375" bestFit="1" customWidth="1"/>
    <col min="810" max="810" width="12.73046875" bestFit="1" customWidth="1"/>
    <col min="811" max="811" width="7.73046875" bestFit="1" customWidth="1"/>
    <col min="812" max="812" width="10.59765625" bestFit="1" customWidth="1"/>
    <col min="813" max="813" width="4.73046875" bestFit="1" customWidth="1"/>
    <col min="814" max="814" width="11.265625" bestFit="1" customWidth="1"/>
    <col min="815" max="815" width="5.59765625" bestFit="1" customWidth="1"/>
    <col min="816" max="816" width="6.3984375" bestFit="1" customWidth="1"/>
    <col min="817" max="817" width="12.3984375" bestFit="1" customWidth="1"/>
    <col min="819" max="819" width="10.3984375" bestFit="1" customWidth="1"/>
    <col min="820" max="820" width="5.59765625" bestFit="1" customWidth="1"/>
    <col min="821" max="821" width="9.3984375" bestFit="1" customWidth="1"/>
    <col min="822" max="822" width="6.59765625" bestFit="1" customWidth="1"/>
    <col min="823" max="823" width="9" bestFit="1" customWidth="1"/>
    <col min="824" max="824" width="12.86328125" bestFit="1" customWidth="1"/>
    <col min="825" max="825" width="15.59765625" bestFit="1" customWidth="1"/>
    <col min="826" max="826" width="10.86328125" bestFit="1" customWidth="1"/>
    <col min="827" max="827" width="7.3984375" bestFit="1" customWidth="1"/>
    <col min="828" max="828" width="11.265625" bestFit="1" customWidth="1"/>
    <col min="829" max="829" width="6.1328125" bestFit="1" customWidth="1"/>
    <col min="830" max="830" width="6.3984375" bestFit="1" customWidth="1"/>
    <col min="831" max="831" width="13" bestFit="1" customWidth="1"/>
    <col min="832" max="832" width="6.73046875" bestFit="1" customWidth="1"/>
    <col min="833" max="833" width="8.86328125" bestFit="1" customWidth="1"/>
    <col min="834" max="834" width="13.1328125" bestFit="1" customWidth="1"/>
    <col min="835" max="835" width="7.1328125" bestFit="1" customWidth="1"/>
    <col min="836" max="836" width="7.73046875" bestFit="1" customWidth="1"/>
    <col min="837" max="837" width="6.73046875" bestFit="1" customWidth="1"/>
    <col min="838" max="838" width="12" bestFit="1" customWidth="1"/>
    <col min="839" max="839" width="7.265625" bestFit="1" customWidth="1"/>
    <col min="840" max="840" width="7.73046875" bestFit="1" customWidth="1"/>
    <col min="841" max="841" width="8.1328125" bestFit="1" customWidth="1"/>
    <col min="843" max="843" width="6.265625" bestFit="1" customWidth="1"/>
    <col min="844" max="844" width="10" bestFit="1" customWidth="1"/>
    <col min="845" max="845" width="11.59765625" bestFit="1" customWidth="1"/>
    <col min="846" max="846" width="11" bestFit="1" customWidth="1"/>
    <col min="847" max="847" width="10" bestFit="1" customWidth="1"/>
    <col min="848" max="848" width="9" bestFit="1" customWidth="1"/>
    <col min="849" max="849" width="10.86328125" bestFit="1" customWidth="1"/>
    <col min="850" max="850" width="10.73046875" bestFit="1" customWidth="1"/>
    <col min="851" max="851" width="10" bestFit="1" customWidth="1"/>
    <col min="852" max="852" width="15.265625" bestFit="1" customWidth="1"/>
    <col min="853" max="853" width="5.73046875" bestFit="1" customWidth="1"/>
    <col min="854" max="854" width="10.86328125" bestFit="1" customWidth="1"/>
    <col min="855" max="855" width="7.86328125" bestFit="1" customWidth="1"/>
    <col min="856" max="856" width="13.73046875" bestFit="1" customWidth="1"/>
    <col min="857" max="857" width="8" bestFit="1" customWidth="1"/>
    <col min="858" max="858" width="13.265625" bestFit="1" customWidth="1"/>
    <col min="859" max="859" width="7.3984375" bestFit="1" customWidth="1"/>
    <col min="860" max="860" width="6.86328125" bestFit="1" customWidth="1"/>
    <col min="861" max="861" width="10.265625" bestFit="1" customWidth="1"/>
    <col min="862" max="862" width="7.73046875" bestFit="1" customWidth="1"/>
    <col min="863" max="863" width="7.59765625" bestFit="1" customWidth="1"/>
    <col min="864" max="864" width="7" bestFit="1" customWidth="1"/>
    <col min="865" max="865" width="7.3984375" bestFit="1" customWidth="1"/>
    <col min="866" max="866" width="12" bestFit="1" customWidth="1"/>
    <col min="867" max="867" width="10.1328125" bestFit="1" customWidth="1"/>
    <col min="868" max="868" width="7" bestFit="1" customWidth="1"/>
    <col min="869" max="869" width="8.3984375" bestFit="1" customWidth="1"/>
    <col min="870" max="870" width="12" bestFit="1" customWidth="1"/>
    <col min="871" max="871" width="11.59765625" bestFit="1" customWidth="1"/>
    <col min="872" max="872" width="10" bestFit="1" customWidth="1"/>
    <col min="873" max="873" width="6.59765625" bestFit="1" customWidth="1"/>
    <col min="874" max="874" width="12.73046875" bestFit="1" customWidth="1"/>
    <col min="875" max="875" width="10.59765625" bestFit="1" customWidth="1"/>
    <col min="876" max="876" width="8.59765625" bestFit="1" customWidth="1"/>
    <col min="877" max="877" width="9.73046875" bestFit="1" customWidth="1"/>
    <col min="878" max="878" width="9.3984375" bestFit="1" customWidth="1"/>
    <col min="879" max="879" width="14.73046875" bestFit="1" customWidth="1"/>
    <col min="880" max="880" width="9.3984375" bestFit="1" customWidth="1"/>
    <col min="881" max="881" width="7.265625" bestFit="1" customWidth="1"/>
    <col min="882" max="882" width="13" bestFit="1" customWidth="1"/>
    <col min="883" max="883" width="11.1328125" bestFit="1" customWidth="1"/>
    <col min="884" max="884" width="11.265625" bestFit="1" customWidth="1"/>
    <col min="885" max="885" width="13.73046875" bestFit="1" customWidth="1"/>
    <col min="886" max="886" width="7.86328125" bestFit="1" customWidth="1"/>
    <col min="887" max="887" width="14" bestFit="1" customWidth="1"/>
    <col min="888" max="888" width="13.59765625" bestFit="1" customWidth="1"/>
    <col min="889" max="889" width="11.265625" bestFit="1" customWidth="1"/>
    <col min="890" max="890" width="7.3984375" bestFit="1" customWidth="1"/>
    <col min="891" max="891" width="8.73046875" bestFit="1" customWidth="1"/>
    <col min="892" max="892" width="5.86328125" bestFit="1" customWidth="1"/>
    <col min="893" max="893" width="6.265625" bestFit="1" customWidth="1"/>
    <col min="894" max="894" width="11.59765625" bestFit="1" customWidth="1"/>
    <col min="895" max="895" width="12.1328125" bestFit="1" customWidth="1"/>
    <col min="896" max="896" width="11" bestFit="1" customWidth="1"/>
    <col min="897" max="897" width="10.73046875" bestFit="1" customWidth="1"/>
    <col min="899" max="899" width="8.86328125" bestFit="1" customWidth="1"/>
    <col min="900" max="900" width="9" bestFit="1" customWidth="1"/>
    <col min="901" max="901" width="10.1328125" bestFit="1" customWidth="1"/>
    <col min="902" max="902" width="4.73046875" bestFit="1" customWidth="1"/>
    <col min="903" max="903" width="8.73046875" bestFit="1" customWidth="1"/>
    <col min="904" max="904" width="8.265625" bestFit="1" customWidth="1"/>
    <col min="905" max="905" width="9.73046875" bestFit="1" customWidth="1"/>
    <col min="906" max="906" width="5.86328125" bestFit="1" customWidth="1"/>
    <col min="907" max="907" width="5.59765625" bestFit="1" customWidth="1"/>
    <col min="908" max="908" width="8" bestFit="1" customWidth="1"/>
    <col min="909" max="909" width="13" bestFit="1" customWidth="1"/>
    <col min="910" max="910" width="9.265625" bestFit="1" customWidth="1"/>
    <col min="911" max="911" width="14.59765625" bestFit="1" customWidth="1"/>
    <col min="912" max="912" width="13.59765625" bestFit="1" customWidth="1"/>
    <col min="913" max="913" width="9" bestFit="1" customWidth="1"/>
    <col min="914" max="914" width="7" bestFit="1" customWidth="1"/>
    <col min="915" max="915" width="7.86328125" bestFit="1" customWidth="1"/>
    <col min="916" max="916" width="8.1328125" bestFit="1" customWidth="1"/>
    <col min="917" max="917" width="8" bestFit="1" customWidth="1"/>
    <col min="918" max="918" width="6.3984375" bestFit="1" customWidth="1"/>
    <col min="919" max="919" width="10.3984375" bestFit="1" customWidth="1"/>
    <col min="920" max="920" width="10" bestFit="1" customWidth="1"/>
    <col min="921" max="921" width="6.3984375" bestFit="1" customWidth="1"/>
    <col min="922" max="922" width="11.59765625" bestFit="1" customWidth="1"/>
    <col min="923" max="923" width="6.86328125" bestFit="1" customWidth="1"/>
    <col min="924" max="924" width="7.3984375" bestFit="1" customWidth="1"/>
    <col min="925" max="925" width="4.73046875" bestFit="1" customWidth="1"/>
    <col min="926" max="926" width="9.3984375" bestFit="1" customWidth="1"/>
    <col min="927" max="927" width="13.3984375" bestFit="1" customWidth="1"/>
    <col min="928" max="928" width="6.265625" bestFit="1" customWidth="1"/>
    <col min="929" max="929" width="8.73046875" bestFit="1" customWidth="1"/>
    <col min="930" max="930" width="11.1328125" bestFit="1" customWidth="1"/>
    <col min="931" max="931" width="5.3984375" bestFit="1" customWidth="1"/>
    <col min="932" max="932" width="10.59765625" bestFit="1" customWidth="1"/>
    <col min="933" max="933" width="8" bestFit="1" customWidth="1"/>
    <col min="934" max="934" width="6.265625" bestFit="1" customWidth="1"/>
    <col min="935" max="935" width="6.1328125" bestFit="1" customWidth="1"/>
    <col min="936" max="936" width="9.265625" bestFit="1" customWidth="1"/>
    <col min="937" max="937" width="4.73046875" bestFit="1" customWidth="1"/>
    <col min="938" max="938" width="9.265625" bestFit="1" customWidth="1"/>
    <col min="939" max="939" width="6.86328125" bestFit="1" customWidth="1"/>
    <col min="940" max="940" width="7.265625" bestFit="1" customWidth="1"/>
    <col min="941" max="941" width="8.59765625" bestFit="1" customWidth="1"/>
    <col min="942" max="942" width="13.73046875" bestFit="1" customWidth="1"/>
    <col min="943" max="943" width="13.86328125" bestFit="1" customWidth="1"/>
    <col min="944" max="944" width="13.265625" bestFit="1" customWidth="1"/>
    <col min="945" max="945" width="13.3984375" bestFit="1" customWidth="1"/>
    <col min="946" max="946" width="6" bestFit="1" customWidth="1"/>
    <col min="947" max="947" width="6.265625" bestFit="1" customWidth="1"/>
    <col min="948" max="948" width="5.3984375" bestFit="1" customWidth="1"/>
    <col min="949" max="949" width="7" bestFit="1" customWidth="1"/>
    <col min="950" max="950" width="8.86328125" bestFit="1" customWidth="1"/>
    <col min="951" max="951" width="7.3984375" bestFit="1" customWidth="1"/>
    <col min="952" max="952" width="7" bestFit="1" customWidth="1"/>
    <col min="953" max="953" width="12.59765625" bestFit="1" customWidth="1"/>
    <col min="954" max="954" width="6" bestFit="1" customWidth="1"/>
    <col min="955" max="955" width="9.1328125" bestFit="1" customWidth="1"/>
    <col min="956" max="956" width="7.73046875" bestFit="1" customWidth="1"/>
    <col min="957" max="957" width="7.265625" bestFit="1" customWidth="1"/>
    <col min="958" max="958" width="8.73046875" bestFit="1" customWidth="1"/>
    <col min="959" max="959" width="6" bestFit="1" customWidth="1"/>
    <col min="960" max="960" width="8.1328125" bestFit="1" customWidth="1"/>
    <col min="961" max="961" width="9.265625" bestFit="1" customWidth="1"/>
    <col min="962" max="962" width="7" bestFit="1" customWidth="1"/>
    <col min="963" max="963" width="7.1328125" bestFit="1" customWidth="1"/>
    <col min="964" max="964" width="7.73046875" bestFit="1" customWidth="1"/>
    <col min="965" max="965" width="12.265625" bestFit="1" customWidth="1"/>
    <col min="966" max="966" width="8.1328125" bestFit="1" customWidth="1"/>
    <col min="967" max="967" width="7.3984375" bestFit="1" customWidth="1"/>
    <col min="968" max="968" width="8.265625" bestFit="1" customWidth="1"/>
    <col min="969" max="969" width="7.86328125" bestFit="1" customWidth="1"/>
    <col min="971" max="971" width="8.59765625" bestFit="1" customWidth="1"/>
    <col min="972" max="972" width="12.265625" bestFit="1" customWidth="1"/>
    <col min="973" max="973" width="10.265625" bestFit="1" customWidth="1"/>
    <col min="974" max="974" width="8" bestFit="1" customWidth="1"/>
    <col min="975" max="975" width="5.3984375" bestFit="1" customWidth="1"/>
    <col min="976" max="976" width="9" bestFit="1" customWidth="1"/>
    <col min="977" max="977" width="8.73046875" bestFit="1" customWidth="1"/>
    <col min="978" max="978" width="7.1328125" bestFit="1" customWidth="1"/>
    <col min="979" max="979" width="6.1328125" bestFit="1" customWidth="1"/>
    <col min="980" max="980" width="11.3984375" bestFit="1" customWidth="1"/>
    <col min="981" max="981" width="10.86328125" bestFit="1" customWidth="1"/>
    <col min="982" max="982" width="7.59765625" bestFit="1" customWidth="1"/>
    <col min="983" max="983" width="13.59765625" bestFit="1" customWidth="1"/>
    <col min="984" max="984" width="10" bestFit="1" customWidth="1"/>
    <col min="985" max="985" width="7.1328125" bestFit="1" customWidth="1"/>
    <col min="986" max="986" width="7.86328125" bestFit="1" customWidth="1"/>
    <col min="987" max="987" width="9.73046875" bestFit="1" customWidth="1"/>
    <col min="988" max="988" width="5.1328125" bestFit="1" customWidth="1"/>
    <col min="989" max="989" width="11" bestFit="1" customWidth="1"/>
    <col min="990" max="990" width="8.59765625" bestFit="1" customWidth="1"/>
    <col min="991" max="991" width="6.1328125" bestFit="1" customWidth="1"/>
    <col min="992" max="992" width="8.86328125" bestFit="1" customWidth="1"/>
    <col min="993" max="993" width="10.265625" bestFit="1" customWidth="1"/>
    <col min="994" max="994" width="6.3984375" bestFit="1" customWidth="1"/>
    <col min="995" max="995" width="5.86328125" bestFit="1" customWidth="1"/>
    <col min="996" max="996" width="11" bestFit="1" customWidth="1"/>
    <col min="997" max="997" width="9.1328125" bestFit="1" customWidth="1"/>
    <col min="998" max="998" width="12.1328125" bestFit="1" customWidth="1"/>
    <col min="999" max="999" width="7.1328125" bestFit="1" customWidth="1"/>
    <col min="1000" max="1000" width="11.265625" bestFit="1" customWidth="1"/>
    <col min="1001" max="1001" width="15.1328125" bestFit="1" customWidth="1"/>
    <col min="1002" max="1002" width="10.59765625" bestFit="1" customWidth="1"/>
    <col min="1003" max="1003" width="8.86328125" bestFit="1" customWidth="1"/>
    <col min="1004" max="1004" width="12.59765625" bestFit="1" customWidth="1"/>
    <col min="1005" max="1005" width="15.3984375" bestFit="1" customWidth="1"/>
    <col min="1006" max="1006" width="14" bestFit="1" customWidth="1"/>
    <col min="1007" max="1007" width="14.1328125" bestFit="1" customWidth="1"/>
    <col min="1009" max="1009" width="11.59765625" bestFit="1" customWidth="1"/>
    <col min="1010" max="1010" width="10.59765625" bestFit="1" customWidth="1"/>
    <col min="1011" max="1011" width="15" bestFit="1" customWidth="1"/>
    <col min="1012" max="1012" width="10" bestFit="1" customWidth="1"/>
    <col min="1013" max="1014" width="6.73046875" bestFit="1" customWidth="1"/>
    <col min="1015" max="1015" width="12" bestFit="1" customWidth="1"/>
    <col min="1016" max="1016" width="10.3984375" bestFit="1" customWidth="1"/>
    <col min="1017" max="1017" width="8.73046875" bestFit="1" customWidth="1"/>
    <col min="1018" max="1018" width="13" bestFit="1" customWidth="1"/>
    <col min="1019" max="1019" width="12.1328125" bestFit="1" customWidth="1"/>
    <col min="1020" max="1020" width="10.59765625" bestFit="1" customWidth="1"/>
    <col min="1021" max="1021" width="7.3984375" bestFit="1" customWidth="1"/>
    <col min="1022" max="1022" width="10.1328125" bestFit="1" customWidth="1"/>
    <col min="1023" max="1023" width="10" bestFit="1" customWidth="1"/>
    <col min="1024" max="1024" width="7.1328125" bestFit="1" customWidth="1"/>
    <col min="1025" max="1025" width="12.265625" bestFit="1" customWidth="1"/>
    <col min="1026" max="1026" width="8" bestFit="1" customWidth="1"/>
    <col min="1027" max="1027" width="6.265625" bestFit="1" customWidth="1"/>
    <col min="1028" max="1028" width="13.265625" bestFit="1" customWidth="1"/>
    <col min="1029" max="1029" width="6.1328125" bestFit="1" customWidth="1"/>
    <col min="1030" max="1030" width="7" bestFit="1" customWidth="1"/>
    <col min="1031" max="1031" width="7.3984375" bestFit="1" customWidth="1"/>
    <col min="1032" max="1032" width="10.3984375" bestFit="1" customWidth="1"/>
    <col min="1033" max="1033" width="12.73046875" bestFit="1" customWidth="1"/>
    <col min="1034" max="1034" width="12.1328125" bestFit="1" customWidth="1"/>
    <col min="1035" max="1035" width="8.59765625" bestFit="1" customWidth="1"/>
    <col min="1036" max="1036" width="9.1328125" bestFit="1" customWidth="1"/>
    <col min="1037" max="1037" width="14.73046875" bestFit="1" customWidth="1"/>
    <col min="1038" max="1038" width="10" bestFit="1" customWidth="1"/>
    <col min="1039" max="1039" width="9.265625" bestFit="1" customWidth="1"/>
    <col min="1040" max="1040" width="6" bestFit="1" customWidth="1"/>
    <col min="1041" max="1041" width="11.3984375" bestFit="1" customWidth="1"/>
    <col min="1042" max="1042" width="12.3984375" bestFit="1" customWidth="1"/>
    <col min="1043" max="1043" width="8.73046875" bestFit="1" customWidth="1"/>
    <col min="1044" max="1044" width="13" bestFit="1" customWidth="1"/>
    <col min="1045" max="1045" width="11.73046875" bestFit="1" customWidth="1"/>
    <col min="1046" max="1046" width="8.59765625" bestFit="1" customWidth="1"/>
    <col min="1047" max="1047" width="11.3984375" bestFit="1" customWidth="1"/>
    <col min="1048" max="1048" width="10.1328125" bestFit="1" customWidth="1"/>
    <col min="1049" max="1049" width="7.59765625" bestFit="1" customWidth="1"/>
    <col min="1050" max="1050" width="10.1328125" bestFit="1" customWidth="1"/>
    <col min="1051" max="1051" width="8.86328125" bestFit="1" customWidth="1"/>
    <col min="1052" max="1052" width="6.265625" bestFit="1" customWidth="1"/>
    <col min="1053" max="1053" width="11" bestFit="1" customWidth="1"/>
    <col min="1054" max="1054" width="5.3984375" bestFit="1" customWidth="1"/>
    <col min="1055" max="1055" width="8.3984375" bestFit="1" customWidth="1"/>
    <col min="1056" max="1056" width="7.59765625" bestFit="1" customWidth="1"/>
    <col min="1057" max="1057" width="8.3984375" bestFit="1" customWidth="1"/>
    <col min="1058" max="1058" width="6" bestFit="1" customWidth="1"/>
    <col min="1059" max="1059" width="10" bestFit="1" customWidth="1"/>
    <col min="1060" max="1060" width="7.265625" bestFit="1" customWidth="1"/>
    <col min="1061" max="1061" width="11" bestFit="1" customWidth="1"/>
    <col min="1062" max="1062" width="8" bestFit="1" customWidth="1"/>
    <col min="1063" max="1063" width="13.3984375" bestFit="1" customWidth="1"/>
    <col min="1064" max="1064" width="8" bestFit="1" customWidth="1"/>
    <col min="1065" max="1065" width="13" bestFit="1" customWidth="1"/>
    <col min="1066" max="1066" width="9.59765625" bestFit="1" customWidth="1"/>
    <col min="1067" max="1067" width="9" bestFit="1" customWidth="1"/>
    <col min="1068" max="1068" width="9.59765625" bestFit="1" customWidth="1"/>
    <col min="1069" max="1069" width="10.3984375" bestFit="1" customWidth="1"/>
    <col min="1070" max="1070" width="10.265625" bestFit="1" customWidth="1"/>
    <col min="1071" max="1071" width="7.3984375" bestFit="1" customWidth="1"/>
    <col min="1072" max="1072" width="8.3984375" bestFit="1" customWidth="1"/>
    <col min="1073" max="1073" width="9.86328125" bestFit="1" customWidth="1"/>
    <col min="1074" max="1074" width="12.59765625" bestFit="1" customWidth="1"/>
    <col min="1075" max="1075" width="8.86328125" bestFit="1" customWidth="1"/>
    <col min="1076" max="1076" width="7.59765625" bestFit="1" customWidth="1"/>
    <col min="1077" max="1077" width="10.265625" bestFit="1" customWidth="1"/>
    <col min="1078" max="1078" width="9" bestFit="1" customWidth="1"/>
    <col min="1079" max="1079" width="9.1328125" bestFit="1" customWidth="1"/>
    <col min="1080" max="1080" width="8.1328125" bestFit="1" customWidth="1"/>
    <col min="1081" max="1081" width="8.265625" bestFit="1" customWidth="1"/>
    <col min="1082" max="1082" width="9.73046875" bestFit="1" customWidth="1"/>
    <col min="1083" max="1083" width="10.1328125" bestFit="1" customWidth="1"/>
    <col min="1084" max="1084" width="9.86328125" bestFit="1" customWidth="1"/>
    <col min="1085" max="1085" width="14.1328125" bestFit="1" customWidth="1"/>
    <col min="1086" max="1086" width="8" bestFit="1" customWidth="1"/>
    <col min="1087" max="1087" width="7.73046875" bestFit="1" customWidth="1"/>
    <col min="1088" max="1088" width="8.59765625" bestFit="1" customWidth="1"/>
    <col min="1089" max="1089" width="13.86328125" bestFit="1" customWidth="1"/>
    <col min="1090" max="1090" width="13.265625" bestFit="1" customWidth="1"/>
    <col min="1091" max="1091" width="9.59765625" bestFit="1" customWidth="1"/>
    <col min="1092" max="1092" width="8.73046875" bestFit="1" customWidth="1"/>
    <col min="1093" max="1093" width="12.3984375" bestFit="1" customWidth="1"/>
    <col min="1094" max="1094" width="7.1328125" bestFit="1" customWidth="1"/>
    <col min="1095" max="1095" width="7" bestFit="1" customWidth="1"/>
    <col min="1096" max="1096" width="8.1328125" bestFit="1" customWidth="1"/>
    <col min="1097" max="1097" width="8.3984375" bestFit="1" customWidth="1"/>
    <col min="1098" max="1098" width="7.73046875" bestFit="1" customWidth="1"/>
    <col min="1099" max="1099" width="11.59765625" bestFit="1" customWidth="1"/>
    <col min="1100" max="1100" width="7.86328125" bestFit="1" customWidth="1"/>
    <col min="1101" max="1101" width="8" bestFit="1" customWidth="1"/>
    <col min="1102" max="1102" width="10.265625" bestFit="1" customWidth="1"/>
    <col min="1103" max="1103" width="8.86328125" bestFit="1" customWidth="1"/>
    <col min="1104" max="1104" width="9" bestFit="1" customWidth="1"/>
    <col min="1105" max="1105" width="11.86328125" bestFit="1" customWidth="1"/>
    <col min="1106" max="1106" width="17.1328125" bestFit="1" customWidth="1"/>
    <col min="1107" max="1107" width="17.265625" bestFit="1" customWidth="1"/>
    <col min="1108" max="1108" width="10" bestFit="1" customWidth="1"/>
    <col min="1109" max="1109" width="9.73046875" bestFit="1" customWidth="1"/>
    <col min="1110" max="1110" width="14.3984375" bestFit="1" customWidth="1"/>
    <col min="1111" max="1111" width="7.1328125" bestFit="1" customWidth="1"/>
    <col min="1112" max="1112" width="13" bestFit="1" customWidth="1"/>
    <col min="1113" max="1113" width="12" bestFit="1" customWidth="1"/>
    <col min="1114" max="1114" width="9.265625" bestFit="1" customWidth="1"/>
    <col min="1115" max="1115" width="6.73046875" bestFit="1" customWidth="1"/>
    <col min="1116" max="1116" width="7.86328125" bestFit="1" customWidth="1"/>
    <col min="1117" max="1117" width="5.86328125" bestFit="1" customWidth="1"/>
    <col min="1118" max="1118" width="12" bestFit="1" customWidth="1"/>
    <col min="1119" max="1119" width="11.1328125" bestFit="1" customWidth="1"/>
    <col min="1120" max="1120" width="11.265625" bestFit="1" customWidth="1"/>
    <col min="1121" max="1121" width="12.86328125" bestFit="1" customWidth="1"/>
    <col min="1122" max="1122" width="6" bestFit="1" customWidth="1"/>
    <col min="1123" max="1123" width="12.265625" bestFit="1" customWidth="1"/>
    <col min="1124" max="1124" width="9.73046875" bestFit="1" customWidth="1"/>
    <col min="1125" max="1125" width="12.3984375" bestFit="1" customWidth="1"/>
    <col min="1126" max="1126" width="10.59765625" bestFit="1" customWidth="1"/>
    <col min="1127" max="1127" width="9.59765625" bestFit="1" customWidth="1"/>
    <col min="1128" max="1128" width="9.73046875" bestFit="1" customWidth="1"/>
    <col min="1129" max="1129" width="7.265625" bestFit="1" customWidth="1"/>
    <col min="1130" max="1130" width="11.265625" bestFit="1" customWidth="1"/>
    <col min="1131" max="1131" width="10" bestFit="1" customWidth="1"/>
    <col min="1132" max="1132" width="8.86328125" bestFit="1" customWidth="1"/>
    <col min="1133" max="1133" width="6.59765625" bestFit="1" customWidth="1"/>
    <col min="1134" max="1134" width="5.59765625" bestFit="1" customWidth="1"/>
    <col min="1135" max="1135" width="10.265625" bestFit="1" customWidth="1"/>
    <col min="1136" max="1136" width="6.86328125" bestFit="1" customWidth="1"/>
    <col min="1137" max="1137" width="10.73046875" bestFit="1" customWidth="1"/>
    <col min="1138" max="1138" width="6.73046875" bestFit="1" customWidth="1"/>
    <col min="1139" max="1139" width="7.73046875" bestFit="1" customWidth="1"/>
    <col min="1140" max="1140" width="10.265625" bestFit="1" customWidth="1"/>
    <col min="1141" max="1141" width="12.86328125" bestFit="1" customWidth="1"/>
    <col min="1142" max="1142" width="10.1328125" bestFit="1" customWidth="1"/>
    <col min="1143" max="1143" width="9.86328125" bestFit="1" customWidth="1"/>
    <col min="1144" max="1144" width="11.59765625" bestFit="1" customWidth="1"/>
    <col min="1145" max="1145" width="9.86328125" bestFit="1" customWidth="1"/>
    <col min="1146" max="1146" width="6.1328125" bestFit="1" customWidth="1"/>
    <col min="1147" max="1147" width="10.3984375" bestFit="1" customWidth="1"/>
    <col min="1148" max="1148" width="9.3984375" bestFit="1" customWidth="1"/>
    <col min="1149" max="1149" width="10.73046875" bestFit="1" customWidth="1"/>
    <col min="1150" max="1150" width="10.1328125" bestFit="1" customWidth="1"/>
    <col min="1151" max="1151" width="11" bestFit="1" customWidth="1"/>
    <col min="1152" max="1152" width="8.59765625" bestFit="1" customWidth="1"/>
    <col min="1153" max="1153" width="6.3984375" bestFit="1" customWidth="1"/>
    <col min="1154" max="1155" width="8.59765625" bestFit="1" customWidth="1"/>
    <col min="1156" max="1156" width="9.3984375" bestFit="1" customWidth="1"/>
    <col min="1157" max="1157" width="11" bestFit="1" customWidth="1"/>
    <col min="1158" max="1158" width="8.73046875" bestFit="1" customWidth="1"/>
    <col min="1159" max="1159" width="7" bestFit="1" customWidth="1"/>
    <col min="1160" max="1161" width="12.1328125" bestFit="1" customWidth="1"/>
    <col min="1162" max="1162" width="13.265625" bestFit="1" customWidth="1"/>
    <col min="1163" max="1163" width="12.59765625" bestFit="1" customWidth="1"/>
    <col min="1164" max="1164" width="8.59765625" bestFit="1" customWidth="1"/>
    <col min="1165" max="1165" width="10.265625" bestFit="1" customWidth="1"/>
    <col min="1166" max="1166" width="9.1328125" bestFit="1" customWidth="1"/>
    <col min="1167" max="1167" width="8.1328125" bestFit="1" customWidth="1"/>
    <col min="1168" max="1168" width="11.59765625" bestFit="1" customWidth="1"/>
    <col min="1169" max="1169" width="13.3984375" bestFit="1" customWidth="1"/>
    <col min="1170" max="1170" width="9" bestFit="1" customWidth="1"/>
    <col min="1171" max="1171" width="9.59765625" bestFit="1" customWidth="1"/>
    <col min="1172" max="1172" width="8" bestFit="1" customWidth="1"/>
    <col min="1173" max="1173" width="5.1328125" bestFit="1" customWidth="1"/>
    <col min="1174" max="1174" width="10.3984375" bestFit="1" customWidth="1"/>
    <col min="1175" max="1175" width="9.86328125" bestFit="1" customWidth="1"/>
    <col min="1176" max="1176" width="9.1328125" bestFit="1" customWidth="1"/>
    <col min="1178" max="1178" width="12.3984375" bestFit="1" customWidth="1"/>
    <col min="1179" max="1179" width="6.86328125" bestFit="1" customWidth="1"/>
    <col min="1181" max="1181" width="13" bestFit="1" customWidth="1"/>
    <col min="1182" max="1182" width="7.265625" bestFit="1" customWidth="1"/>
    <col min="1183" max="1183" width="8.3984375" bestFit="1" customWidth="1"/>
    <col min="1184" max="1184" width="9.265625" bestFit="1" customWidth="1"/>
    <col min="1185" max="1185" width="10.86328125" bestFit="1" customWidth="1"/>
    <col min="1186" max="1186" width="7" bestFit="1" customWidth="1"/>
    <col min="1187" max="1187" width="10.265625" bestFit="1" customWidth="1"/>
    <col min="1188" max="1188" width="7.86328125" bestFit="1" customWidth="1"/>
    <col min="1189" max="1189" width="10.1328125" bestFit="1" customWidth="1"/>
    <col min="1190" max="1190" width="7.1328125" bestFit="1" customWidth="1"/>
    <col min="1191" max="1191" width="7.59765625" bestFit="1" customWidth="1"/>
    <col min="1192" max="1192" width="6.265625" bestFit="1" customWidth="1"/>
    <col min="1193" max="1193" width="6.3984375" bestFit="1" customWidth="1"/>
    <col min="1194" max="1194" width="8.265625" bestFit="1" customWidth="1"/>
    <col min="1195" max="1195" width="7.3984375" bestFit="1" customWidth="1"/>
    <col min="1196" max="1196" width="8.1328125" bestFit="1" customWidth="1"/>
    <col min="1197" max="1197" width="13.59765625" bestFit="1" customWidth="1"/>
    <col min="1198" max="1198" width="8.265625" bestFit="1" customWidth="1"/>
    <col min="1199" max="1199" width="12.1328125" bestFit="1" customWidth="1"/>
    <col min="1200" max="1200" width="13.59765625" bestFit="1" customWidth="1"/>
    <col min="1201" max="1201" width="12.265625" bestFit="1" customWidth="1"/>
    <col min="1202" max="1202" width="10.1328125" bestFit="1" customWidth="1"/>
    <col min="1203" max="1203" width="11.265625" bestFit="1" customWidth="1"/>
    <col min="1204" max="1204" width="7.86328125" bestFit="1" customWidth="1"/>
    <col min="1205" max="1205" width="13" bestFit="1" customWidth="1"/>
    <col min="1206" max="1206" width="8.73046875" bestFit="1" customWidth="1"/>
    <col min="1207" max="1207" width="13.265625" bestFit="1" customWidth="1"/>
    <col min="1208" max="1208" width="9.73046875" bestFit="1" customWidth="1"/>
    <col min="1209" max="1209" width="6.73046875" bestFit="1" customWidth="1"/>
    <col min="1210" max="1210" width="7.1328125" bestFit="1" customWidth="1"/>
    <col min="1211" max="1212" width="7.59765625" bestFit="1" customWidth="1"/>
    <col min="1213" max="1213" width="6.1328125" bestFit="1" customWidth="1"/>
    <col min="1214" max="1214" width="8" bestFit="1" customWidth="1"/>
    <col min="1215" max="1215" width="5.86328125" bestFit="1" customWidth="1"/>
    <col min="1216" max="1216" width="6.73046875" bestFit="1" customWidth="1"/>
    <col min="1217" max="1217" width="10.59765625" bestFit="1" customWidth="1"/>
    <col min="1218" max="1218" width="9.59765625" bestFit="1" customWidth="1"/>
    <col min="1219" max="1219" width="10" bestFit="1" customWidth="1"/>
    <col min="1220" max="1220" width="8.86328125" bestFit="1" customWidth="1"/>
    <col min="1221" max="1221" width="12.73046875" bestFit="1" customWidth="1"/>
    <col min="1222" max="1222" width="14.1328125" bestFit="1" customWidth="1"/>
    <col min="1223" max="1223" width="13.59765625" bestFit="1" customWidth="1"/>
    <col min="1224" max="1224" width="11.265625" bestFit="1" customWidth="1"/>
    <col min="1225" max="1225" width="9.1328125" bestFit="1" customWidth="1"/>
    <col min="1226" max="1226" width="9.265625" bestFit="1" customWidth="1"/>
    <col min="1227" max="1227" width="9.86328125" bestFit="1" customWidth="1"/>
    <col min="1228" max="1228" width="15" bestFit="1" customWidth="1"/>
    <col min="1229" max="1229" width="15.1328125" bestFit="1" customWidth="1"/>
    <col min="1230" max="1230" width="9.3984375" bestFit="1" customWidth="1"/>
    <col min="1231" max="1231" width="19.59765625" bestFit="1" customWidth="1"/>
    <col min="1232" max="1232" width="8.73046875" bestFit="1" customWidth="1"/>
    <col min="1233" max="1233" width="9.1328125" bestFit="1" customWidth="1"/>
    <col min="1234" max="1234" width="16.59765625" bestFit="1" customWidth="1"/>
    <col min="1235" max="1235" width="14.3984375" bestFit="1" customWidth="1"/>
    <col min="1236" max="1236" width="10" bestFit="1" customWidth="1"/>
    <col min="1237" max="1237" width="9.86328125" bestFit="1" customWidth="1"/>
    <col min="1238" max="1238" width="10" bestFit="1" customWidth="1"/>
    <col min="1239" max="1239" width="10.265625" bestFit="1" customWidth="1"/>
    <col min="1240" max="1240" width="6.3984375" bestFit="1" customWidth="1"/>
    <col min="1241" max="1241" width="9.59765625" bestFit="1" customWidth="1"/>
    <col min="1242" max="1242" width="16.265625" bestFit="1" customWidth="1"/>
    <col min="1243" max="1243" width="13.1328125" bestFit="1" customWidth="1"/>
    <col min="1244" max="1244" width="14.265625" bestFit="1" customWidth="1"/>
    <col min="1245" max="1245" width="11.1328125" bestFit="1" customWidth="1"/>
    <col min="1246" max="1246" width="5.59765625" bestFit="1" customWidth="1"/>
    <col min="1247" max="1247" width="7.86328125" bestFit="1" customWidth="1"/>
    <col min="1248" max="1248" width="14.265625" bestFit="1" customWidth="1"/>
    <col min="1249" max="1249" width="8.73046875" bestFit="1" customWidth="1"/>
    <col min="1250" max="1250" width="10.1328125" bestFit="1" customWidth="1"/>
    <col min="1251" max="1251" width="6.265625" bestFit="1" customWidth="1"/>
    <col min="1252" max="1252" width="5.59765625" bestFit="1" customWidth="1"/>
    <col min="1253" max="1254" width="7.3984375" bestFit="1" customWidth="1"/>
    <col min="1255" max="1255" width="15.59765625" bestFit="1" customWidth="1"/>
    <col min="1256" max="1256" width="8.59765625" bestFit="1" customWidth="1"/>
    <col min="1257" max="1258" width="8.3984375" bestFit="1" customWidth="1"/>
    <col min="1259" max="1259" width="9.3984375" bestFit="1" customWidth="1"/>
    <col min="1260" max="1260" width="6.73046875" bestFit="1" customWidth="1"/>
    <col min="1261" max="1261" width="8.73046875" bestFit="1" customWidth="1"/>
    <col min="1262" max="1262" width="12.265625" bestFit="1" customWidth="1"/>
    <col min="1263" max="1263" width="7.1328125" bestFit="1" customWidth="1"/>
    <col min="1264" max="1264" width="5.73046875" bestFit="1" customWidth="1"/>
    <col min="1265" max="1265" width="6.86328125" bestFit="1" customWidth="1"/>
    <col min="1266" max="1266" width="7.265625" bestFit="1" customWidth="1"/>
    <col min="1267" max="1267" width="7.3984375" bestFit="1" customWidth="1"/>
    <col min="1268" max="1268" width="6.73046875" bestFit="1" customWidth="1"/>
    <col min="1269" max="1269" width="11.265625" bestFit="1" customWidth="1"/>
    <col min="1270" max="1270" width="13" bestFit="1" customWidth="1"/>
    <col min="1271" max="1271" width="12.3984375" bestFit="1" customWidth="1"/>
    <col min="1272" max="1272" width="14.73046875" bestFit="1" customWidth="1"/>
    <col min="1273" max="1273" width="10.265625" bestFit="1" customWidth="1"/>
    <col min="1274" max="1274" width="9.59765625" bestFit="1" customWidth="1"/>
    <col min="1276" max="1276" width="10.265625" bestFit="1" customWidth="1"/>
    <col min="1277" max="1277" width="9" bestFit="1" customWidth="1"/>
    <col min="1278" max="1278" width="16.1328125" bestFit="1" customWidth="1"/>
    <col min="1279" max="1279" width="13" bestFit="1" customWidth="1"/>
    <col min="1280" max="1280" width="15" bestFit="1" customWidth="1"/>
    <col min="1281" max="1281" width="11.3984375" bestFit="1" customWidth="1"/>
    <col min="1282" max="1282" width="7.265625" bestFit="1" customWidth="1"/>
    <col min="1283" max="1283" width="8" bestFit="1" customWidth="1"/>
    <col min="1284" max="1284" width="14" bestFit="1" customWidth="1"/>
    <col min="1285" max="1285" width="10.265625" bestFit="1" customWidth="1"/>
    <col min="1286" max="1286" width="7.265625" bestFit="1" customWidth="1"/>
    <col min="1287" max="1287" width="7.73046875" bestFit="1" customWidth="1"/>
    <col min="1288" max="1288" width="11.265625" bestFit="1" customWidth="1"/>
    <col min="1289" max="1289" width="11.3984375" bestFit="1" customWidth="1"/>
    <col min="1290" max="1290" width="7.59765625" bestFit="1" customWidth="1"/>
    <col min="1291" max="1291" width="11.3984375" bestFit="1" customWidth="1"/>
    <col min="1292" max="1292" width="11.73046875" bestFit="1" customWidth="1"/>
    <col min="1293" max="1293" width="10.265625" bestFit="1" customWidth="1"/>
    <col min="1294" max="1294" width="9" bestFit="1" customWidth="1"/>
    <col min="1295" max="1295" width="6.3984375" bestFit="1" customWidth="1"/>
    <col min="1296" max="1296" width="10" bestFit="1" customWidth="1"/>
    <col min="1297" max="1297" width="10.73046875" bestFit="1" customWidth="1"/>
    <col min="1298" max="1298" width="6.1328125" bestFit="1" customWidth="1"/>
    <col min="1299" max="1299" width="11.265625" bestFit="1" customWidth="1"/>
    <col min="1300" max="1300" width="5.1328125" bestFit="1" customWidth="1"/>
    <col min="1301" max="1301" width="10.1328125" bestFit="1" customWidth="1"/>
    <col min="1302" max="1302" width="10.265625" bestFit="1" customWidth="1"/>
    <col min="1303" max="1303" width="8" bestFit="1" customWidth="1"/>
    <col min="1304" max="1304" width="11.265625" bestFit="1" customWidth="1"/>
    <col min="1305" max="1305" width="8.86328125" bestFit="1" customWidth="1"/>
    <col min="1306" max="1306" width="7.86328125" bestFit="1" customWidth="1"/>
    <col min="1307" max="1307" width="5.73046875" bestFit="1" customWidth="1"/>
    <col min="1308" max="1308" width="13" bestFit="1" customWidth="1"/>
    <col min="1309" max="1309" width="11.265625" bestFit="1" customWidth="1"/>
    <col min="1310" max="1310" width="9.3984375" bestFit="1" customWidth="1"/>
    <col min="1311" max="1311" width="7.86328125" bestFit="1" customWidth="1"/>
    <col min="1312" max="1312" width="8.59765625" bestFit="1" customWidth="1"/>
    <col min="1313" max="1313" width="10.86328125" bestFit="1" customWidth="1"/>
    <col min="1314" max="1314" width="8.86328125" bestFit="1" customWidth="1"/>
    <col min="1315" max="1315" width="8.265625" bestFit="1" customWidth="1"/>
    <col min="1316" max="1316" width="8.3984375" bestFit="1" customWidth="1"/>
    <col min="1317" max="1317" width="12.3984375" bestFit="1" customWidth="1"/>
    <col min="1318" max="1319" width="4.73046875" bestFit="1" customWidth="1"/>
    <col min="1320" max="1320" width="8.59765625" bestFit="1" customWidth="1"/>
    <col min="1321" max="1321" width="7.73046875" bestFit="1" customWidth="1"/>
    <col min="1322" max="1322" width="8.265625" bestFit="1" customWidth="1"/>
    <col min="1323" max="1323" width="9" bestFit="1" customWidth="1"/>
    <col min="1324" max="1324" width="12.86328125" bestFit="1" customWidth="1"/>
    <col min="1325" max="1325" width="7" bestFit="1" customWidth="1"/>
    <col min="1326" max="1326" width="7.265625" bestFit="1" customWidth="1"/>
    <col min="1327" max="1327" width="11.1328125" bestFit="1" customWidth="1"/>
    <col min="1328" max="1328" width="12.59765625" bestFit="1" customWidth="1"/>
    <col min="1329" max="1329" width="6" bestFit="1" customWidth="1"/>
    <col min="1330" max="1330" width="8.73046875" bestFit="1" customWidth="1"/>
    <col min="1331" max="1331" width="10" bestFit="1" customWidth="1"/>
    <col min="1332" max="1332" width="10.265625" bestFit="1" customWidth="1"/>
    <col min="1333" max="1333" width="9.59765625" bestFit="1" customWidth="1"/>
    <col min="1334" max="1334" width="8.265625" bestFit="1" customWidth="1"/>
    <col min="1335" max="1335" width="6.3984375" bestFit="1" customWidth="1"/>
    <col min="1336" max="1336" width="7.73046875" bestFit="1" customWidth="1"/>
    <col min="1337" max="1337" width="11.3984375" bestFit="1" customWidth="1"/>
    <col min="1338" max="1338" width="6" bestFit="1" customWidth="1"/>
    <col min="1339" max="1339" width="10.3984375" bestFit="1" customWidth="1"/>
    <col min="1340" max="1340" width="10.265625" bestFit="1" customWidth="1"/>
    <col min="1341" max="1341" width="8.3984375" bestFit="1" customWidth="1"/>
    <col min="1342" max="1342" width="15.86328125" bestFit="1" customWidth="1"/>
    <col min="1343" max="1343" width="6.1328125" bestFit="1" customWidth="1"/>
    <col min="1344" max="1344" width="6.86328125" bestFit="1" customWidth="1"/>
    <col min="1345" max="1345" width="12" bestFit="1" customWidth="1"/>
    <col min="1346" max="1346" width="6.1328125" bestFit="1" customWidth="1"/>
    <col min="1347" max="1347" width="6.3984375" bestFit="1" customWidth="1"/>
    <col min="1348" max="1348" width="5" bestFit="1" customWidth="1"/>
    <col min="1349" max="1349" width="4.73046875" bestFit="1" customWidth="1"/>
    <col min="1350" max="1350" width="8" bestFit="1" customWidth="1"/>
    <col min="1351" max="1352" width="7.59765625" bestFit="1" customWidth="1"/>
    <col min="1353" max="1353" width="9.1328125" bestFit="1" customWidth="1"/>
    <col min="1354" max="1354" width="7.59765625" bestFit="1" customWidth="1"/>
    <col min="1355" max="1355" width="10.86328125" bestFit="1" customWidth="1"/>
    <col min="1356" max="1356" width="13.1328125" bestFit="1" customWidth="1"/>
    <col min="1357" max="1357" width="9.59765625" bestFit="1" customWidth="1"/>
    <col min="1358" max="1358" width="11" bestFit="1" customWidth="1"/>
    <col min="1359" max="1359" width="7.1328125" bestFit="1" customWidth="1"/>
    <col min="1360" max="1360" width="9.265625" bestFit="1" customWidth="1"/>
    <col min="1361" max="1361" width="13.59765625" bestFit="1" customWidth="1"/>
    <col min="1362" max="1362" width="4.73046875" bestFit="1" customWidth="1"/>
    <col min="1363" max="1363" width="9.86328125" bestFit="1" customWidth="1"/>
    <col min="1364" max="1364" width="9.1328125" bestFit="1" customWidth="1"/>
    <col min="1365" max="1365" width="8.3984375" bestFit="1" customWidth="1"/>
    <col min="1366" max="1366" width="8" bestFit="1" customWidth="1"/>
    <col min="1367" max="1367" width="7.265625" bestFit="1" customWidth="1"/>
    <col min="1368" max="1368" width="12" bestFit="1" customWidth="1"/>
    <col min="1369" max="1369" width="7" bestFit="1" customWidth="1"/>
    <col min="1370" max="1370" width="6.1328125" bestFit="1" customWidth="1"/>
    <col min="1371" max="1371" width="6.59765625" bestFit="1" customWidth="1"/>
    <col min="1372" max="1372" width="8.3984375" bestFit="1" customWidth="1"/>
    <col min="1373" max="1373" width="9.86328125" bestFit="1" customWidth="1"/>
    <col min="1374" max="1374" width="10" bestFit="1" customWidth="1"/>
    <col min="1375" max="1375" width="15.1328125" bestFit="1" customWidth="1"/>
    <col min="1376" max="1376" width="8.1328125" bestFit="1" customWidth="1"/>
    <col min="1377" max="1377" width="8.73046875" bestFit="1" customWidth="1"/>
    <col min="1378" max="1378" width="11.86328125" bestFit="1" customWidth="1"/>
    <col min="1379" max="1379" width="15.1328125" bestFit="1" customWidth="1"/>
    <col min="1380" max="1380" width="6.1328125" bestFit="1" customWidth="1"/>
    <col min="1381" max="1381" width="9.1328125" bestFit="1" customWidth="1"/>
    <col min="1382" max="1382" width="5.73046875" bestFit="1" customWidth="1"/>
    <col min="1383" max="1383" width="9.59765625" bestFit="1" customWidth="1"/>
    <col min="1384" max="1384" width="7.86328125" bestFit="1" customWidth="1"/>
    <col min="1385" max="1385" width="7.265625" bestFit="1" customWidth="1"/>
    <col min="1386" max="1386" width="12.59765625" bestFit="1" customWidth="1"/>
    <col min="1387" max="1387" width="5.86328125" bestFit="1" customWidth="1"/>
    <col min="1388" max="1388" width="7.265625" bestFit="1" customWidth="1"/>
    <col min="1389" max="1389" width="13.1328125" bestFit="1" customWidth="1"/>
    <col min="1390" max="1390" width="6.265625" bestFit="1" customWidth="1"/>
    <col min="1391" max="1391" width="11.1328125" bestFit="1" customWidth="1"/>
    <col min="1392" max="1392" width="6.3984375" bestFit="1" customWidth="1"/>
    <col min="1393" max="1393" width="9.73046875" bestFit="1" customWidth="1"/>
    <col min="1394" max="1394" width="13.59765625" bestFit="1" customWidth="1"/>
    <col min="1395" max="1395" width="8" bestFit="1" customWidth="1"/>
    <col min="1396" max="1396" width="12.86328125" bestFit="1" customWidth="1"/>
    <col min="1397" max="1397" width="7.3984375" bestFit="1" customWidth="1"/>
    <col min="1398" max="1398" width="8.59765625" bestFit="1" customWidth="1"/>
    <col min="1399" max="1399" width="6.1328125" bestFit="1" customWidth="1"/>
    <col min="1400" max="1400" width="5.1328125" bestFit="1" customWidth="1"/>
    <col min="1401" max="1401" width="5.3984375" bestFit="1" customWidth="1"/>
    <col min="1402" max="1402" width="11.59765625" bestFit="1" customWidth="1"/>
    <col min="1403" max="1403" width="9.265625" bestFit="1" customWidth="1"/>
    <col min="1404" max="1404" width="10.86328125" bestFit="1" customWidth="1"/>
    <col min="1405" max="1405" width="10.73046875" bestFit="1" customWidth="1"/>
    <col min="1406" max="1406" width="9.3984375" bestFit="1" customWidth="1"/>
    <col min="1407" max="1407" width="6.86328125" bestFit="1" customWidth="1"/>
    <col min="1408" max="1408" width="10.265625" bestFit="1" customWidth="1"/>
    <col min="1409" max="1409" width="6.265625" bestFit="1" customWidth="1"/>
    <col min="1410" max="1410" width="8" bestFit="1" customWidth="1"/>
    <col min="1411" max="1411" width="13.86328125" bestFit="1" customWidth="1"/>
    <col min="1412" max="1412" width="11.86328125" bestFit="1" customWidth="1"/>
    <col min="1413" max="1413" width="10.1328125" bestFit="1" customWidth="1"/>
    <col min="1414" max="1414" width="10" bestFit="1" customWidth="1"/>
    <col min="1415" max="1415" width="6.3984375" bestFit="1" customWidth="1"/>
    <col min="1416" max="1416" width="10.1328125" bestFit="1" customWidth="1"/>
    <col min="1417" max="1417" width="9.3984375" bestFit="1" customWidth="1"/>
    <col min="1418" max="1418" width="14.86328125" bestFit="1" customWidth="1"/>
    <col min="1419" max="1419" width="6.265625" bestFit="1" customWidth="1"/>
    <col min="1420" max="1420" width="5.59765625" bestFit="1" customWidth="1"/>
    <col min="1421" max="1421" width="8.3984375" bestFit="1" customWidth="1"/>
    <col min="1422" max="1422" width="8.86328125" bestFit="1" customWidth="1"/>
    <col min="1423" max="1423" width="9" bestFit="1" customWidth="1"/>
    <col min="1424" max="1424" width="4.73046875" bestFit="1" customWidth="1"/>
    <col min="1425" max="1425" width="8" bestFit="1" customWidth="1"/>
    <col min="1426" max="1426" width="6.1328125" bestFit="1" customWidth="1"/>
    <col min="1427" max="1427" width="11.3984375" bestFit="1" customWidth="1"/>
    <col min="1428" max="1428" width="5" bestFit="1" customWidth="1"/>
    <col min="1429" max="1429" width="8.86328125" bestFit="1" customWidth="1"/>
    <col min="1430" max="1430" width="9.73046875" bestFit="1" customWidth="1"/>
    <col min="1431" max="1431" width="4.86328125" bestFit="1" customWidth="1"/>
    <col min="1432" max="1432" width="5.73046875" bestFit="1" customWidth="1"/>
    <col min="1433" max="1433" width="7.73046875" bestFit="1" customWidth="1"/>
    <col min="1434" max="1434" width="5.73046875" bestFit="1" customWidth="1"/>
    <col min="1435" max="1435" width="7.86328125" bestFit="1" customWidth="1"/>
    <col min="1436" max="1436" width="8.86328125" bestFit="1" customWidth="1"/>
    <col min="1437" max="1437" width="10.59765625" bestFit="1" customWidth="1"/>
    <col min="1438" max="1438" width="7.265625" bestFit="1" customWidth="1"/>
    <col min="1439" max="1439" width="7" bestFit="1" customWidth="1"/>
    <col min="1440" max="1440" width="10.86328125" bestFit="1" customWidth="1"/>
    <col min="1441" max="1441" width="6.1328125" bestFit="1" customWidth="1"/>
    <col min="1442" max="1442" width="11.3984375" bestFit="1" customWidth="1"/>
    <col min="1443" max="1443" width="9.265625" bestFit="1" customWidth="1"/>
    <col min="1444" max="1444" width="9.73046875" bestFit="1" customWidth="1"/>
    <col min="1445" max="1445" width="7.59765625" bestFit="1" customWidth="1"/>
    <col min="1446" max="1446" width="14" bestFit="1" customWidth="1"/>
    <col min="1447" max="1447" width="12.265625" bestFit="1" customWidth="1"/>
    <col min="1448" max="1448" width="8.3984375" bestFit="1" customWidth="1"/>
    <col min="1450" max="1450" width="8.86328125" bestFit="1" customWidth="1"/>
    <col min="1451" max="1451" width="7.86328125" bestFit="1" customWidth="1"/>
    <col min="1452" max="1452" width="8.3984375" bestFit="1" customWidth="1"/>
    <col min="1453" max="1453" width="9.265625" bestFit="1" customWidth="1"/>
    <col min="1454" max="1454" width="9.1328125" bestFit="1" customWidth="1"/>
    <col min="1455" max="1455" width="7.1328125" bestFit="1" customWidth="1"/>
    <col min="1456" max="1456" width="13" bestFit="1" customWidth="1"/>
    <col min="1457" max="1457" width="8.86328125" bestFit="1" customWidth="1"/>
    <col min="1458" max="1458" width="10.73046875" bestFit="1" customWidth="1"/>
    <col min="1459" max="1459" width="10.265625" bestFit="1" customWidth="1"/>
    <col min="1460" max="1460" width="8.59765625" bestFit="1" customWidth="1"/>
    <col min="1461" max="1461" width="14.265625" bestFit="1" customWidth="1"/>
    <col min="1462" max="1462" width="8.3984375" bestFit="1" customWidth="1"/>
    <col min="1463" max="1463" width="6.73046875" bestFit="1" customWidth="1"/>
    <col min="1464" max="1464" width="7.59765625" bestFit="1" customWidth="1"/>
    <col min="1465" max="1465" width="6" bestFit="1" customWidth="1"/>
    <col min="1466" max="1466" width="8.1328125" bestFit="1" customWidth="1"/>
    <col min="1467" max="1467" width="14.3984375" bestFit="1" customWidth="1"/>
    <col min="1468" max="1468" width="11.86328125" bestFit="1" customWidth="1"/>
    <col min="1469" max="1469" width="17.1328125" bestFit="1" customWidth="1"/>
    <col min="1470" max="1470" width="10.73046875" bestFit="1" customWidth="1"/>
    <col min="1471" max="1471" width="7" bestFit="1" customWidth="1"/>
    <col min="1472" max="1472" width="9.86328125" bestFit="1" customWidth="1"/>
    <col min="1473" max="1473" width="10.86328125" bestFit="1" customWidth="1"/>
    <col min="1474" max="1474" width="9.73046875" bestFit="1" customWidth="1"/>
    <col min="1475" max="1475" width="6.73046875" bestFit="1" customWidth="1"/>
    <col min="1476" max="1476" width="8.1328125" bestFit="1" customWidth="1"/>
    <col min="1477" max="1477" width="8.3984375" bestFit="1" customWidth="1"/>
    <col min="1478" max="1478" width="12.59765625" bestFit="1" customWidth="1"/>
    <col min="1479" max="1479" width="7.1328125" bestFit="1" customWidth="1"/>
    <col min="1480" max="1480" width="10.265625" bestFit="1" customWidth="1"/>
    <col min="1481" max="1481" width="8" bestFit="1" customWidth="1"/>
    <col min="1482" max="1482" width="6.86328125" bestFit="1" customWidth="1"/>
    <col min="1483" max="1483" width="7.86328125" bestFit="1" customWidth="1"/>
    <col min="1484" max="1484" width="5.73046875" bestFit="1" customWidth="1"/>
    <col min="1485" max="1485" width="10.59765625" bestFit="1" customWidth="1"/>
    <col min="1486" max="1486" width="6.73046875" bestFit="1" customWidth="1"/>
    <col min="1487" max="1487" width="10.59765625" bestFit="1" customWidth="1"/>
    <col min="1488" max="1488" width="16" bestFit="1" customWidth="1"/>
    <col min="1489" max="1489" width="14.3984375" bestFit="1" customWidth="1"/>
    <col min="1490" max="1490" width="5.1328125" bestFit="1" customWidth="1"/>
    <col min="1491" max="1491" width="7.73046875" bestFit="1" customWidth="1"/>
    <col min="1492" max="1492" width="6.73046875" bestFit="1" customWidth="1"/>
    <col min="1493" max="1493" width="7.59765625" bestFit="1" customWidth="1"/>
    <col min="1494" max="1494" width="6.265625" bestFit="1" customWidth="1"/>
    <col min="1495" max="1495" width="5.59765625" bestFit="1" customWidth="1"/>
    <col min="1496" max="1496" width="8" bestFit="1" customWidth="1"/>
    <col min="1497" max="1497" width="6.86328125" bestFit="1" customWidth="1"/>
    <col min="1498" max="1498" width="11.59765625" bestFit="1" customWidth="1"/>
    <col min="1499" max="1499" width="6.73046875" bestFit="1" customWidth="1"/>
    <col min="1501" max="1501" width="8" bestFit="1" customWidth="1"/>
    <col min="1502" max="1502" width="13.265625" bestFit="1" customWidth="1"/>
    <col min="1503" max="1503" width="7.59765625" bestFit="1" customWidth="1"/>
    <col min="1504" max="1504" width="13" bestFit="1" customWidth="1"/>
    <col min="1505" max="1505" width="7.3984375" bestFit="1" customWidth="1"/>
    <col min="1506" max="1506" width="16.3984375" bestFit="1" customWidth="1"/>
    <col min="1507" max="1507" width="10.59765625" bestFit="1" customWidth="1"/>
    <col min="1508" max="1508" width="5.3984375" bestFit="1" customWidth="1"/>
    <col min="1509" max="1509" width="10.86328125" bestFit="1" customWidth="1"/>
    <col min="1510" max="1510" width="9" bestFit="1" customWidth="1"/>
    <col min="1511" max="1511" width="6.265625" bestFit="1" customWidth="1"/>
    <col min="1512" max="1512" width="9.265625" bestFit="1" customWidth="1"/>
    <col min="1513" max="1513" width="4.73046875" bestFit="1" customWidth="1"/>
    <col min="1514" max="1514" width="8.265625" bestFit="1" customWidth="1"/>
    <col min="1515" max="1515" width="9.73046875" bestFit="1" customWidth="1"/>
    <col min="1516" max="1516" width="4.73046875" bestFit="1" customWidth="1"/>
    <col min="1517" max="1517" width="7.86328125" bestFit="1" customWidth="1"/>
    <col min="1518" max="1518" width="8.86328125" bestFit="1" customWidth="1"/>
    <col min="1519" max="1519" width="9.1328125" bestFit="1" customWidth="1"/>
    <col min="1520" max="1520" width="10" bestFit="1" customWidth="1"/>
    <col min="1521" max="1521" width="10.1328125" bestFit="1" customWidth="1"/>
    <col min="1522" max="1522" width="11" bestFit="1" customWidth="1"/>
    <col min="1523" max="1523" width="10" bestFit="1" customWidth="1"/>
    <col min="1524" max="1524" width="12.1328125" bestFit="1" customWidth="1"/>
    <col min="1525" max="1525" width="9.3984375" bestFit="1" customWidth="1"/>
    <col min="1526" max="1526" width="11.59765625" bestFit="1" customWidth="1"/>
    <col min="1527" max="1527" width="13.265625" bestFit="1" customWidth="1"/>
    <col min="1528" max="1528" width="15.73046875" bestFit="1" customWidth="1"/>
    <col min="1529" max="1529" width="12" bestFit="1" customWidth="1"/>
    <col min="1530" max="1530" width="11.1328125" bestFit="1" customWidth="1"/>
    <col min="1531" max="1532" width="10.1328125" bestFit="1" customWidth="1"/>
    <col min="1533" max="1533" width="10.265625" bestFit="1" customWidth="1"/>
    <col min="1534" max="1534" width="10.3984375" bestFit="1" customWidth="1"/>
    <col min="1535" max="1535" width="9.1328125" bestFit="1" customWidth="1"/>
    <col min="1536" max="1536" width="14.59765625" bestFit="1" customWidth="1"/>
    <col min="1537" max="1537" width="10" bestFit="1" customWidth="1"/>
    <col min="1538" max="1538" width="13.86328125" bestFit="1" customWidth="1"/>
    <col min="1539" max="1539" width="14.59765625" bestFit="1" customWidth="1"/>
    <col min="1540" max="1540" width="11.73046875" bestFit="1" customWidth="1"/>
    <col min="1541" max="1541" width="12.86328125" bestFit="1" customWidth="1"/>
    <col min="1542" max="1542" width="5.59765625" bestFit="1" customWidth="1"/>
    <col min="1543" max="1543" width="6" bestFit="1" customWidth="1"/>
    <col min="1544" max="1544" width="6.265625" bestFit="1" customWidth="1"/>
    <col min="1545" max="1545" width="4.73046875" bestFit="1" customWidth="1"/>
    <col min="1546" max="1546" width="9.73046875" bestFit="1" customWidth="1"/>
    <col min="1547" max="1547" width="8.3984375" bestFit="1" customWidth="1"/>
    <col min="1548" max="1548" width="10.3984375" bestFit="1" customWidth="1"/>
    <col min="1549" max="1549" width="9" bestFit="1" customWidth="1"/>
    <col min="1550" max="1550" width="12.265625" bestFit="1" customWidth="1"/>
    <col min="1551" max="1551" width="17.1328125" bestFit="1" customWidth="1"/>
    <col min="1552" max="1552" width="8.73046875" bestFit="1" customWidth="1"/>
    <col min="1553" max="1553" width="12.3984375" bestFit="1" customWidth="1"/>
    <col min="1554" max="1554" width="11.59765625" bestFit="1" customWidth="1"/>
    <col min="1555" max="1555" width="10.86328125" bestFit="1" customWidth="1"/>
    <col min="1556" max="1556" width="10.1328125" bestFit="1" customWidth="1"/>
    <col min="1557" max="1557" width="8.59765625" bestFit="1" customWidth="1"/>
    <col min="1558" max="1558" width="6.86328125" bestFit="1" customWidth="1"/>
    <col min="1559" max="1559" width="12.1328125" bestFit="1" customWidth="1"/>
    <col min="1560" max="1560" width="9.73046875" bestFit="1" customWidth="1"/>
    <col min="1561" max="1561" width="15" bestFit="1" customWidth="1"/>
    <col min="1562" max="1562" width="10.86328125" bestFit="1" customWidth="1"/>
    <col min="1563" max="1563" width="4.73046875" bestFit="1" customWidth="1"/>
    <col min="1564" max="1565" width="7" bestFit="1" customWidth="1"/>
    <col min="1566" max="1566" width="7.1328125" bestFit="1" customWidth="1"/>
    <col min="1567" max="1567" width="7.86328125" bestFit="1" customWidth="1"/>
    <col min="1568" max="1568" width="13.73046875" bestFit="1" customWidth="1"/>
    <col min="1569" max="1569" width="8.265625" bestFit="1" customWidth="1"/>
    <col min="1570" max="1570" width="9" bestFit="1" customWidth="1"/>
    <col min="1571" max="1571" width="7.86328125" bestFit="1" customWidth="1"/>
    <col min="1572" max="1572" width="13.1328125" bestFit="1" customWidth="1"/>
    <col min="1573" max="1573" width="6" bestFit="1" customWidth="1"/>
    <col min="1574" max="1574" width="6.59765625" bestFit="1" customWidth="1"/>
    <col min="1575" max="1575" width="8.3984375" bestFit="1" customWidth="1"/>
    <col min="1576" max="1576" width="7.1328125" bestFit="1" customWidth="1"/>
    <col min="1577" max="1577" width="9.59765625" bestFit="1" customWidth="1"/>
    <col min="1578" max="1578" width="7.86328125" bestFit="1" customWidth="1"/>
    <col min="1579" max="1579" width="8.1328125" bestFit="1" customWidth="1"/>
    <col min="1580" max="1580" width="10" bestFit="1" customWidth="1"/>
    <col min="1581" max="1581" width="8.86328125" bestFit="1" customWidth="1"/>
    <col min="1582" max="1582" width="7" bestFit="1" customWidth="1"/>
    <col min="1583" max="1583" width="6.3984375" bestFit="1" customWidth="1"/>
    <col min="1584" max="1584" width="11.1328125" bestFit="1" customWidth="1"/>
    <col min="1585" max="1585" width="9.1328125" bestFit="1" customWidth="1"/>
    <col min="1586" max="1586" width="14.3984375" bestFit="1" customWidth="1"/>
    <col min="1587" max="1587" width="14.59765625" bestFit="1" customWidth="1"/>
    <col min="1588" max="1588" width="7.265625" bestFit="1" customWidth="1"/>
    <col min="1589" max="1589" width="9.59765625" bestFit="1" customWidth="1"/>
    <col min="1590" max="1590" width="11.1328125" bestFit="1" customWidth="1"/>
    <col min="1591" max="1591" width="9.3984375" bestFit="1" customWidth="1"/>
    <col min="1592" max="1592" width="6.1328125" bestFit="1" customWidth="1"/>
    <col min="1593" max="1593" width="5.265625" bestFit="1" customWidth="1"/>
    <col min="1594" max="1594" width="10.3984375" bestFit="1" customWidth="1"/>
    <col min="1595" max="1595" width="5.265625" bestFit="1" customWidth="1"/>
    <col min="1596" max="1596" width="6" bestFit="1" customWidth="1"/>
    <col min="1597" max="1597" width="6.73046875" bestFit="1" customWidth="1"/>
    <col min="1598" max="1598" width="6.1328125" bestFit="1" customWidth="1"/>
    <col min="1599" max="1599" width="6.86328125" bestFit="1" customWidth="1"/>
    <col min="1600" max="1600" width="4.73046875" bestFit="1" customWidth="1"/>
    <col min="1601" max="1601" width="8.265625" bestFit="1" customWidth="1"/>
    <col min="1602" max="1602" width="9.86328125" bestFit="1" customWidth="1"/>
    <col min="1603" max="1603" width="9.1328125" bestFit="1" customWidth="1"/>
    <col min="1604" max="1604" width="8.73046875" bestFit="1" customWidth="1"/>
    <col min="1605" max="1605" width="14" bestFit="1" customWidth="1"/>
    <col min="1606" max="1606" width="6.86328125" bestFit="1" customWidth="1"/>
    <col min="1607" max="1607" width="11.59765625" bestFit="1" customWidth="1"/>
    <col min="1608" max="1608" width="5" bestFit="1" customWidth="1"/>
    <col min="1609" max="1609" width="5.86328125" bestFit="1" customWidth="1"/>
    <col min="1610" max="1610" width="6.86328125" bestFit="1" customWidth="1"/>
    <col min="1611" max="1611" width="7.1328125" bestFit="1" customWidth="1"/>
    <col min="1612" max="1612" width="8.1328125" bestFit="1" customWidth="1"/>
    <col min="1613" max="1613" width="10.59765625" bestFit="1" customWidth="1"/>
    <col min="1614" max="1614" width="13" bestFit="1" customWidth="1"/>
    <col min="1615" max="1615" width="9.3984375" bestFit="1" customWidth="1"/>
    <col min="1616" max="1616" width="6.86328125" bestFit="1" customWidth="1"/>
    <col min="1617" max="1617" width="9" bestFit="1" customWidth="1"/>
    <col min="1618" max="1618" width="4.73046875" bestFit="1" customWidth="1"/>
    <col min="1619" max="1619" width="9.265625" bestFit="1" customWidth="1"/>
    <col min="1620" max="1620" width="9.86328125" bestFit="1" customWidth="1"/>
    <col min="1621" max="1621" width="9.59765625" bestFit="1" customWidth="1"/>
    <col min="1622" max="1622" width="7.59765625" bestFit="1" customWidth="1"/>
    <col min="1623" max="1623" width="9" bestFit="1" customWidth="1"/>
    <col min="1624" max="1624" width="14.265625" bestFit="1" customWidth="1"/>
    <col min="1625" max="1625" width="10.86328125" bestFit="1" customWidth="1"/>
    <col min="1626" max="1626" width="5.59765625" bestFit="1" customWidth="1"/>
    <col min="1627" max="1627" width="8.86328125" bestFit="1" customWidth="1"/>
    <col min="1628" max="1628" width="10.1328125" bestFit="1" customWidth="1"/>
    <col min="1629" max="1629" width="9.1328125" bestFit="1" customWidth="1"/>
    <col min="1630" max="1630" width="11.3984375" bestFit="1" customWidth="1"/>
    <col min="1631" max="1631" width="8" bestFit="1" customWidth="1"/>
    <col min="1632" max="1632" width="7" bestFit="1" customWidth="1"/>
    <col min="1633" max="1633" width="9.265625" bestFit="1" customWidth="1"/>
    <col min="1634" max="1634" width="14.59765625" bestFit="1" customWidth="1"/>
    <col min="1635" max="1635" width="9.265625" bestFit="1" customWidth="1"/>
    <col min="1636" max="1636" width="13.1328125" bestFit="1" customWidth="1"/>
    <col min="1637" max="1637" width="5.265625" bestFit="1" customWidth="1"/>
    <col min="1638" max="1638" width="7.59765625" bestFit="1" customWidth="1"/>
    <col min="1639" max="1639" width="11.1328125" bestFit="1" customWidth="1"/>
    <col min="1640" max="1640" width="11" bestFit="1" customWidth="1"/>
    <col min="1641" max="1641" width="12" bestFit="1" customWidth="1"/>
    <col min="1642" max="1642" width="11.265625" bestFit="1" customWidth="1"/>
    <col min="1643" max="1643" width="8" bestFit="1" customWidth="1"/>
    <col min="1644" max="1644" width="6.3984375" bestFit="1" customWidth="1"/>
    <col min="1645" max="1645" width="5.1328125" bestFit="1" customWidth="1"/>
    <col min="1646" max="1646" width="8" bestFit="1" customWidth="1"/>
    <col min="1647" max="1647" width="7.73046875" bestFit="1" customWidth="1"/>
    <col min="1648" max="1649" width="4.73046875" bestFit="1" customWidth="1"/>
    <col min="1650" max="1650" width="8.265625" bestFit="1" customWidth="1"/>
    <col min="1651" max="1651" width="8.86328125" bestFit="1" customWidth="1"/>
    <col min="1652" max="1652" width="5.3984375" bestFit="1" customWidth="1"/>
    <col min="1653" max="1653" width="8" bestFit="1" customWidth="1"/>
    <col min="1654" max="1654" width="9.1328125" bestFit="1" customWidth="1"/>
    <col min="1655" max="1655" width="14.59765625" bestFit="1" customWidth="1"/>
    <col min="1656" max="1656" width="9.1328125" bestFit="1" customWidth="1"/>
    <col min="1657" max="1657" width="10.86328125" bestFit="1" customWidth="1"/>
    <col min="1658" max="1658" width="8.265625" bestFit="1" customWidth="1"/>
    <col min="1659" max="1659" width="11" bestFit="1" customWidth="1"/>
    <col min="1660" max="1660" width="7.73046875" bestFit="1" customWidth="1"/>
    <col min="1661" max="1661" width="12.3984375" bestFit="1" customWidth="1"/>
    <col min="1662" max="1662" width="7.86328125" bestFit="1" customWidth="1"/>
    <col min="1663" max="1663" width="13.1328125" bestFit="1" customWidth="1"/>
    <col min="1664" max="1664" width="9.3984375" bestFit="1" customWidth="1"/>
    <col min="1665" max="1665" width="7.73046875" bestFit="1" customWidth="1"/>
    <col min="1666" max="1666" width="10.265625" bestFit="1" customWidth="1"/>
    <col min="1667" max="1667" width="8.265625" bestFit="1" customWidth="1"/>
    <col min="1668" max="1668" width="6.1328125" bestFit="1" customWidth="1"/>
    <col min="1669" max="1669" width="16.3984375" bestFit="1" customWidth="1"/>
    <col min="1670" max="1670" width="6.86328125" bestFit="1" customWidth="1"/>
    <col min="1671" max="1671" width="11.59765625" bestFit="1" customWidth="1"/>
    <col min="1672" max="1672" width="9.3984375" bestFit="1" customWidth="1"/>
    <col min="1673" max="1673" width="10.1328125" bestFit="1" customWidth="1"/>
    <col min="1674" max="1674" width="9.1328125" bestFit="1" customWidth="1"/>
    <col min="1675" max="1675" width="9.86328125" bestFit="1" customWidth="1"/>
    <col min="1676" max="1676" width="11" bestFit="1" customWidth="1"/>
    <col min="1677" max="1677" width="11.86328125" bestFit="1" customWidth="1"/>
    <col min="1678" max="1678" width="10.73046875" bestFit="1" customWidth="1"/>
    <col min="1679" max="1679" width="7.265625" bestFit="1" customWidth="1"/>
    <col min="1680" max="1680" width="7" bestFit="1" customWidth="1"/>
    <col min="1681" max="1681" width="9.73046875" bestFit="1" customWidth="1"/>
    <col min="1682" max="1682" width="10" bestFit="1" customWidth="1"/>
    <col min="1683" max="1683" width="7.3984375" bestFit="1" customWidth="1"/>
    <col min="1684" max="1684" width="11.265625" bestFit="1" customWidth="1"/>
    <col min="1685" max="1685" width="12.73046875" bestFit="1" customWidth="1"/>
    <col min="1686" max="1686" width="10.265625" bestFit="1" customWidth="1"/>
    <col min="1687" max="1687" width="11.86328125" bestFit="1" customWidth="1"/>
    <col min="1688" max="1688" width="10.1328125" bestFit="1" customWidth="1"/>
    <col min="1689" max="1689" width="15.3984375" bestFit="1" customWidth="1"/>
    <col min="1690" max="1690" width="9.3984375" bestFit="1" customWidth="1"/>
    <col min="1691" max="1691" width="14.73046875" bestFit="1" customWidth="1"/>
    <col min="1692" max="1692" width="9.1328125" bestFit="1" customWidth="1"/>
    <col min="1693" max="1693" width="10.59765625" bestFit="1" customWidth="1"/>
    <col min="1694" max="1694" width="11.59765625" bestFit="1" customWidth="1"/>
    <col min="1695" max="1695" width="11" bestFit="1" customWidth="1"/>
    <col min="1696" max="1696" width="8.59765625" bestFit="1" customWidth="1"/>
    <col min="1697" max="1697" width="8.86328125" bestFit="1" customWidth="1"/>
    <col min="1698" max="1698" width="15.1328125" bestFit="1" customWidth="1"/>
    <col min="1699" max="1699" width="9.73046875" bestFit="1" customWidth="1"/>
    <col min="1700" max="1700" width="7" bestFit="1" customWidth="1"/>
    <col min="1701" max="1701" width="8" bestFit="1" customWidth="1"/>
    <col min="1702" max="1702" width="11.265625" bestFit="1" customWidth="1"/>
    <col min="1703" max="1703" width="10" bestFit="1" customWidth="1"/>
    <col min="1704" max="1704" width="9.59765625" bestFit="1" customWidth="1"/>
    <col min="1705" max="1705" width="7.59765625" bestFit="1" customWidth="1"/>
    <col min="1706" max="1706" width="5.59765625" bestFit="1" customWidth="1"/>
    <col min="1707" max="1707" width="7.1328125" bestFit="1" customWidth="1"/>
    <col min="1708" max="1708" width="11" bestFit="1" customWidth="1"/>
    <col min="1709" max="1709" width="11.86328125" bestFit="1" customWidth="1"/>
    <col min="1710" max="1710" width="7" bestFit="1" customWidth="1"/>
    <col min="1711" max="1711" width="8.1328125" bestFit="1" customWidth="1"/>
    <col min="1712" max="1712" width="12" bestFit="1" customWidth="1"/>
    <col min="1713" max="1713" width="7.73046875" bestFit="1" customWidth="1"/>
    <col min="1714" max="1714" width="10" bestFit="1" customWidth="1"/>
    <col min="1715" max="1715" width="7.59765625" bestFit="1" customWidth="1"/>
    <col min="1716" max="1716" width="11.86328125" bestFit="1" customWidth="1"/>
    <col min="1717" max="1717" width="9" bestFit="1" customWidth="1"/>
    <col min="1719" max="1719" width="8.265625" bestFit="1" customWidth="1"/>
    <col min="1720" max="1720" width="6.86328125" bestFit="1" customWidth="1"/>
    <col min="1721" max="1721" width="7.265625" bestFit="1" customWidth="1"/>
    <col min="1722" max="1722" width="6.3984375" bestFit="1" customWidth="1"/>
    <col min="1723" max="1723" width="6.59765625" bestFit="1" customWidth="1"/>
    <col min="1724" max="1724" width="8" bestFit="1" customWidth="1"/>
    <col min="1725" max="1725" width="13.59765625" bestFit="1" customWidth="1"/>
    <col min="1726" max="1726" width="11.59765625" bestFit="1" customWidth="1"/>
    <col min="1727" max="1727" width="8.86328125" bestFit="1" customWidth="1"/>
    <col min="1728" max="1728" width="16" bestFit="1" customWidth="1"/>
    <col min="1729" max="1729" width="14.86328125" bestFit="1" customWidth="1"/>
    <col min="1730" max="1730" width="9" bestFit="1" customWidth="1"/>
    <col min="1731" max="1731" width="5.3984375" bestFit="1" customWidth="1"/>
    <col min="1732" max="1732" width="13" bestFit="1" customWidth="1"/>
    <col min="1733" max="1733" width="14.59765625" bestFit="1" customWidth="1"/>
    <col min="1734" max="1734" width="7.3984375" bestFit="1" customWidth="1"/>
    <col min="1735" max="1735" width="7" bestFit="1" customWidth="1"/>
    <col min="1736" max="1736" width="8.86328125" bestFit="1" customWidth="1"/>
    <col min="1737" max="1737" width="12.1328125" bestFit="1" customWidth="1"/>
    <col min="1738" max="1738" width="8" bestFit="1" customWidth="1"/>
    <col min="1739" max="1739" width="9.86328125" bestFit="1" customWidth="1"/>
    <col min="1740" max="1740" width="16.1328125" bestFit="1" customWidth="1"/>
    <col min="1741" max="1741" width="18.73046875" bestFit="1" customWidth="1"/>
    <col min="1742" max="1742" width="6.73046875" bestFit="1" customWidth="1"/>
    <col min="1743" max="1743" width="12" bestFit="1" customWidth="1"/>
    <col min="1744" max="1744" width="11.265625" bestFit="1" customWidth="1"/>
    <col min="1745" max="1745" width="12.86328125" bestFit="1" customWidth="1"/>
    <col min="1746" max="1746" width="8.59765625" bestFit="1" customWidth="1"/>
    <col min="1747" max="1747" width="9.3984375" bestFit="1" customWidth="1"/>
    <col min="1748" max="1748" width="8.265625" bestFit="1" customWidth="1"/>
    <col min="1749" max="1749" width="12" bestFit="1" customWidth="1"/>
    <col min="1750" max="1750" width="12.59765625" bestFit="1" customWidth="1"/>
    <col min="1751" max="1751" width="8.3984375" bestFit="1" customWidth="1"/>
    <col min="1752" max="1752" width="12.265625" bestFit="1" customWidth="1"/>
    <col min="1753" max="1753" width="13.1328125" bestFit="1" customWidth="1"/>
    <col min="1754" max="1754" width="7.73046875" bestFit="1" customWidth="1"/>
    <col min="1755" max="1755" width="13" bestFit="1" customWidth="1"/>
    <col min="1756" max="1756" width="12.265625" bestFit="1" customWidth="1"/>
    <col min="1757" max="1758" width="8.265625" bestFit="1" customWidth="1"/>
    <col min="1759" max="1759" width="6.73046875" bestFit="1" customWidth="1"/>
    <col min="1760" max="1760" width="10.1328125" bestFit="1" customWidth="1"/>
    <col min="1761" max="1761" width="7.1328125" bestFit="1" customWidth="1"/>
    <col min="1762" max="1762" width="8.1328125" bestFit="1" customWidth="1"/>
    <col min="1763" max="1763" width="13.3984375" bestFit="1" customWidth="1"/>
    <col min="1764" max="1764" width="7.73046875" bestFit="1" customWidth="1"/>
    <col min="1765" max="1765" width="13.1328125" bestFit="1" customWidth="1"/>
    <col min="1766" max="1766" width="13" bestFit="1" customWidth="1"/>
    <col min="1767" max="1767" width="8.86328125" bestFit="1" customWidth="1"/>
    <col min="1768" max="1768" width="7" bestFit="1" customWidth="1"/>
    <col min="1769" max="1769" width="7.86328125" bestFit="1" customWidth="1"/>
    <col min="1770" max="1770" width="8.265625" bestFit="1" customWidth="1"/>
    <col min="1771" max="1771" width="6.86328125" bestFit="1" customWidth="1"/>
    <col min="1772" max="1772" width="7.86328125" bestFit="1" customWidth="1"/>
    <col min="1773" max="1773" width="11.73046875" bestFit="1" customWidth="1"/>
    <col min="1774" max="1774" width="7.1328125" bestFit="1" customWidth="1"/>
    <col min="1775" max="1775" width="7.265625" bestFit="1" customWidth="1"/>
    <col min="1776" max="1776" width="9.73046875" bestFit="1" customWidth="1"/>
    <col min="1777" max="1777" width="16.73046875" bestFit="1" customWidth="1"/>
    <col min="1778" max="1778" width="11.59765625" bestFit="1" customWidth="1"/>
    <col min="1779" max="1779" width="10.3984375" bestFit="1" customWidth="1"/>
    <col min="1780" max="1780" width="12.3984375" bestFit="1" customWidth="1"/>
    <col min="1781" max="1781" width="7" bestFit="1" customWidth="1"/>
    <col min="1782" max="1782" width="8.86328125" bestFit="1" customWidth="1"/>
    <col min="1783" max="1783" width="6.73046875" bestFit="1" customWidth="1"/>
    <col min="1784" max="1784" width="7" bestFit="1" customWidth="1"/>
    <col min="1785" max="1785" width="17.73046875" bestFit="1" customWidth="1"/>
    <col min="1786" max="1786" width="12.265625" bestFit="1" customWidth="1"/>
    <col min="1787" max="1787" width="11.73046875" bestFit="1" customWidth="1"/>
    <col min="1788" max="1788" width="7.86328125" bestFit="1" customWidth="1"/>
    <col min="1789" max="1789" width="8.59765625" bestFit="1" customWidth="1"/>
    <col min="1790" max="1790" width="8.3984375" bestFit="1" customWidth="1"/>
    <col min="1791" max="1791" width="6" bestFit="1" customWidth="1"/>
    <col min="1792" max="1792" width="8" bestFit="1" customWidth="1"/>
    <col min="1793" max="1793" width="11.86328125" bestFit="1" customWidth="1"/>
    <col min="1794" max="1794" width="6.73046875" bestFit="1" customWidth="1"/>
    <col min="1795" max="1795" width="11.3984375" bestFit="1" customWidth="1"/>
    <col min="1796" max="1796" width="10.3984375" bestFit="1" customWidth="1"/>
    <col min="1797" max="1797" width="6.73046875" bestFit="1" customWidth="1"/>
    <col min="1798" max="1798" width="9.73046875" bestFit="1" customWidth="1"/>
    <col min="1799" max="1799" width="7.86328125" bestFit="1" customWidth="1"/>
    <col min="1800" max="1800" width="8" bestFit="1" customWidth="1"/>
    <col min="1801" max="1801" width="6.3984375" bestFit="1" customWidth="1"/>
    <col min="1802" max="1802" width="9.59765625" bestFit="1" customWidth="1"/>
    <col min="1803" max="1803" width="6.3984375" bestFit="1" customWidth="1"/>
    <col min="1804" max="1804" width="8" bestFit="1" customWidth="1"/>
    <col min="1805" max="1805" width="6.3984375" bestFit="1" customWidth="1"/>
    <col min="1806" max="1806" width="6" bestFit="1" customWidth="1"/>
    <col min="1807" max="1807" width="6.73046875" bestFit="1" customWidth="1"/>
    <col min="1808" max="1808" width="12" bestFit="1" customWidth="1"/>
    <col min="1809" max="1809" width="8.73046875" bestFit="1" customWidth="1"/>
    <col min="1810" max="1810" width="10.1328125" bestFit="1" customWidth="1"/>
    <col min="1811" max="1811" width="8" bestFit="1" customWidth="1"/>
    <col min="1812" max="1812" width="13.1328125" bestFit="1" customWidth="1"/>
    <col min="1813" max="1813" width="11.265625" bestFit="1" customWidth="1"/>
    <col min="1814" max="1814" width="12.3984375" bestFit="1" customWidth="1"/>
    <col min="1815" max="1815" width="7.59765625" bestFit="1" customWidth="1"/>
    <col min="1816" max="1816" width="5.1328125" bestFit="1" customWidth="1"/>
    <col min="1817" max="1817" width="10" bestFit="1" customWidth="1"/>
    <col min="1818" max="1818" width="7.86328125" bestFit="1" customWidth="1"/>
    <col min="1819" max="1819" width="8.59765625" bestFit="1" customWidth="1"/>
    <col min="1820" max="1820" width="7.3984375" bestFit="1" customWidth="1"/>
    <col min="1821" max="1821" width="10.265625" bestFit="1" customWidth="1"/>
    <col min="1822" max="1822" width="4.73046875" bestFit="1" customWidth="1"/>
    <col min="1823" max="1823" width="9.73046875" bestFit="1" customWidth="1"/>
    <col min="1824" max="1824" width="11.1328125" bestFit="1" customWidth="1"/>
    <col min="1825" max="1825" width="11.59765625" bestFit="1" customWidth="1"/>
    <col min="1826" max="1826" width="8.86328125" bestFit="1" customWidth="1"/>
    <col min="1827" max="1827" width="10.73046875" bestFit="1" customWidth="1"/>
    <col min="1828" max="1828" width="7.86328125" bestFit="1" customWidth="1"/>
    <col min="1829" max="1829" width="5.86328125" bestFit="1" customWidth="1"/>
    <col min="1830" max="1830" width="11" bestFit="1" customWidth="1"/>
    <col min="1831" max="1831" width="6.86328125" bestFit="1" customWidth="1"/>
    <col min="1832" max="1832" width="8.86328125" bestFit="1" customWidth="1"/>
    <col min="1833" max="1833" width="8" bestFit="1" customWidth="1"/>
    <col min="1834" max="1834" width="10.73046875" bestFit="1" customWidth="1"/>
    <col min="1835" max="1835" width="14" bestFit="1" customWidth="1"/>
    <col min="1837" max="1837" width="10.3984375" bestFit="1" customWidth="1"/>
    <col min="1838" max="1838" width="10.73046875" bestFit="1" customWidth="1"/>
    <col min="1839" max="1839" width="16" bestFit="1" customWidth="1"/>
    <col min="1840" max="1840" width="11.3984375" bestFit="1" customWidth="1"/>
    <col min="1841" max="1841" width="12.265625" bestFit="1" customWidth="1"/>
    <col min="1842" max="1842" width="8.73046875" bestFit="1" customWidth="1"/>
    <col min="1843" max="1843" width="7" bestFit="1" customWidth="1"/>
    <col min="1844" max="1844" width="7.265625" bestFit="1" customWidth="1"/>
    <col min="1845" max="1845" width="7.3984375" bestFit="1" customWidth="1"/>
    <col min="1846" max="1846" width="10.73046875" bestFit="1" customWidth="1"/>
    <col min="1847" max="1847" width="9.86328125" bestFit="1" customWidth="1"/>
    <col min="1848" max="1848" width="13.1328125" bestFit="1" customWidth="1"/>
    <col min="1849" max="1849" width="11.59765625" bestFit="1" customWidth="1"/>
    <col min="1850" max="1850" width="12.59765625" bestFit="1" customWidth="1"/>
    <col min="1851" max="1851" width="6.1328125" bestFit="1" customWidth="1"/>
    <col min="1852" max="1852" width="9.86328125" bestFit="1" customWidth="1"/>
    <col min="1853" max="1853" width="16.1328125" bestFit="1" customWidth="1"/>
    <col min="1854" max="1854" width="13.73046875" bestFit="1" customWidth="1"/>
    <col min="1855" max="1855" width="9.86328125" bestFit="1" customWidth="1"/>
    <col min="1856" max="1856" width="8" bestFit="1" customWidth="1"/>
    <col min="1857" max="1857" width="8.1328125" bestFit="1" customWidth="1"/>
    <col min="1858" max="1858" width="15.1328125" bestFit="1" customWidth="1"/>
    <col min="1859" max="1859" width="9.1328125" bestFit="1" customWidth="1"/>
    <col min="1861" max="1861" width="10.265625" bestFit="1" customWidth="1"/>
    <col min="1862" max="1862" width="11.3984375" bestFit="1" customWidth="1"/>
    <col min="1863" max="1863" width="10.3984375" bestFit="1" customWidth="1"/>
    <col min="1864" max="1864" width="15.73046875" bestFit="1" customWidth="1"/>
    <col min="1865" max="1865" width="20.3984375" bestFit="1" customWidth="1"/>
    <col min="1866" max="1866" width="9.73046875" bestFit="1" customWidth="1"/>
    <col min="1867" max="1867" width="9.3984375" bestFit="1" customWidth="1"/>
    <col min="1868" max="1868" width="8.73046875" bestFit="1" customWidth="1"/>
    <col min="1869" max="1869" width="13.3984375" bestFit="1" customWidth="1"/>
    <col min="1870" max="1870" width="8.3984375" bestFit="1" customWidth="1"/>
    <col min="1871" max="1871" width="6.265625" bestFit="1" customWidth="1"/>
    <col min="1872" max="1872" width="10.3984375" bestFit="1" customWidth="1"/>
    <col min="1873" max="1873" width="7" bestFit="1" customWidth="1"/>
    <col min="1874" max="1874" width="9" bestFit="1" customWidth="1"/>
    <col min="1875" max="1875" width="10.265625" bestFit="1" customWidth="1"/>
    <col min="1876" max="1876" width="8.1328125" bestFit="1" customWidth="1"/>
    <col min="1877" max="1877" width="12.1328125" bestFit="1" customWidth="1"/>
    <col min="1878" max="1878" width="7.59765625" bestFit="1" customWidth="1"/>
    <col min="1879" max="1879" width="8.86328125" bestFit="1" customWidth="1"/>
    <col min="1880" max="1880" width="11.73046875" bestFit="1" customWidth="1"/>
    <col min="1881" max="1881" width="12.3984375" bestFit="1" customWidth="1"/>
    <col min="1882" max="1882" width="15.59765625" bestFit="1" customWidth="1"/>
    <col min="1883" max="1883" width="10.265625" bestFit="1" customWidth="1"/>
    <col min="1884" max="1884" width="12.1328125" bestFit="1" customWidth="1"/>
    <col min="1885" max="1885" width="11.73046875" bestFit="1" customWidth="1"/>
    <col min="1886" max="1886" width="12.59765625" bestFit="1" customWidth="1"/>
    <col min="1887" max="1887" width="11.3984375" bestFit="1" customWidth="1"/>
    <col min="1888" max="1888" width="13" bestFit="1" customWidth="1"/>
    <col min="1889" max="1889" width="10.59765625" bestFit="1" customWidth="1"/>
    <col min="1890" max="1890" width="11.73046875" bestFit="1" customWidth="1"/>
    <col min="1891" max="1891" width="14.1328125" bestFit="1" customWidth="1"/>
    <col min="1892" max="1892" width="10.86328125" bestFit="1" customWidth="1"/>
    <col min="1893" max="1893" width="10.265625" bestFit="1" customWidth="1"/>
    <col min="1894" max="1894" width="15.3984375" bestFit="1" customWidth="1"/>
    <col min="1895" max="1895" width="12.86328125" bestFit="1" customWidth="1"/>
    <col min="1896" max="1896" width="16.1328125" bestFit="1" customWidth="1"/>
    <col min="1897" max="1897" width="11.73046875" bestFit="1" customWidth="1"/>
    <col min="1898" max="1898" width="12.73046875" bestFit="1" customWidth="1"/>
    <col min="1899" max="1899" width="13.1328125" bestFit="1" customWidth="1"/>
    <col min="1900" max="1900" width="11.59765625" bestFit="1" customWidth="1"/>
    <col min="1901" max="1901" width="17" bestFit="1" customWidth="1"/>
    <col min="1902" max="1902" width="13.1328125" bestFit="1" customWidth="1"/>
    <col min="1903" max="1904" width="10.265625" bestFit="1" customWidth="1"/>
    <col min="1905" max="1905" width="12" bestFit="1" customWidth="1"/>
    <col min="1906" max="1906" width="13.265625" bestFit="1" customWidth="1"/>
    <col min="1907" max="1907" width="13.73046875" bestFit="1" customWidth="1"/>
    <col min="1908" max="1908" width="11.3984375" bestFit="1" customWidth="1"/>
    <col min="1909" max="1909" width="13.59765625" bestFit="1" customWidth="1"/>
    <col min="1910" max="1910" width="13.265625" bestFit="1" customWidth="1"/>
    <col min="1911" max="1911" width="13.1328125" bestFit="1" customWidth="1"/>
    <col min="1912" max="1912" width="14.3984375" bestFit="1" customWidth="1"/>
    <col min="1913" max="1913" width="11.59765625" bestFit="1" customWidth="1"/>
    <col min="1914" max="1914" width="12.73046875" bestFit="1" customWidth="1"/>
    <col min="1915" max="1915" width="12.59765625" bestFit="1" customWidth="1"/>
    <col min="1916" max="1916" width="12.265625" bestFit="1" customWidth="1"/>
    <col min="1917" max="1917" width="12.1328125" bestFit="1" customWidth="1"/>
    <col min="1918" max="1918" width="13.73046875" bestFit="1" customWidth="1"/>
    <col min="1919" max="1919" width="13.86328125" bestFit="1" customWidth="1"/>
    <col min="1920" max="1920" width="15" bestFit="1" customWidth="1"/>
    <col min="1921" max="1921" width="12.265625" bestFit="1" customWidth="1"/>
    <col min="1922" max="1922" width="12.1328125" bestFit="1" customWidth="1"/>
    <col min="1923" max="1924" width="11.73046875" bestFit="1" customWidth="1"/>
    <col min="1925" max="1925" width="18" bestFit="1" customWidth="1"/>
    <col min="1926" max="1926" width="13.1328125" bestFit="1" customWidth="1"/>
    <col min="1927" max="1927" width="14.3984375" bestFit="1" customWidth="1"/>
    <col min="1928" max="1928" width="12.1328125" bestFit="1" customWidth="1"/>
    <col min="1929" max="1929" width="13" bestFit="1" customWidth="1"/>
    <col min="1930" max="1930" width="13.265625" bestFit="1" customWidth="1"/>
    <col min="1931" max="1931" width="8.73046875" bestFit="1" customWidth="1"/>
    <col min="1932" max="1932" width="7.59765625" bestFit="1" customWidth="1"/>
    <col min="1933" max="1933" width="6.59765625" bestFit="1" customWidth="1"/>
    <col min="1934" max="1934" width="8.265625" bestFit="1" customWidth="1"/>
    <col min="1935" max="1935" width="8" bestFit="1" customWidth="1"/>
    <col min="1936" max="1936" width="8.86328125" bestFit="1" customWidth="1"/>
    <col min="1937" max="1937" width="10" bestFit="1" customWidth="1"/>
    <col min="1938" max="1938" width="15.3984375" bestFit="1" customWidth="1"/>
    <col min="1939" max="1939" width="11.3984375" bestFit="1" customWidth="1"/>
    <col min="1940" max="1940" width="8.3984375" bestFit="1" customWidth="1"/>
    <col min="1941" max="1941" width="10.86328125" bestFit="1" customWidth="1"/>
    <col min="1942" max="1942" width="9.73046875" bestFit="1" customWidth="1"/>
    <col min="1943" max="1943" width="6.265625" bestFit="1" customWidth="1"/>
    <col min="1944" max="1944" width="8.86328125" bestFit="1" customWidth="1"/>
    <col min="1945" max="1945" width="9.3984375" bestFit="1" customWidth="1"/>
    <col min="1946" max="1946" width="13.265625" bestFit="1" customWidth="1"/>
    <col min="1947" max="1947" width="14.73046875" bestFit="1" customWidth="1"/>
    <col min="1948" max="1948" width="11.59765625" bestFit="1" customWidth="1"/>
    <col min="1949" max="1949" width="10.86328125" bestFit="1" customWidth="1"/>
    <col min="1950" max="1950" width="9.86328125" bestFit="1" customWidth="1"/>
    <col min="1951" max="1951" width="13.1328125" bestFit="1" customWidth="1"/>
    <col min="1952" max="1952" width="11.1328125" bestFit="1" customWidth="1"/>
    <col min="1953" max="1953" width="8" bestFit="1" customWidth="1"/>
    <col min="1954" max="1954" width="12.59765625" bestFit="1" customWidth="1"/>
    <col min="1955" max="1955" width="9.1328125" bestFit="1" customWidth="1"/>
    <col min="1956" max="1956" width="12.73046875" bestFit="1" customWidth="1"/>
    <col min="1957" max="1957" width="10.1328125" bestFit="1" customWidth="1"/>
    <col min="1958" max="1958" width="10" bestFit="1" customWidth="1"/>
    <col min="1959" max="1959" width="8.86328125" bestFit="1" customWidth="1"/>
    <col min="1960" max="1960" width="10.3984375" bestFit="1" customWidth="1"/>
    <col min="1961" max="1961" width="8" bestFit="1" customWidth="1"/>
    <col min="1962" max="1962" width="12.59765625" bestFit="1" customWidth="1"/>
    <col min="1963" max="1963" width="6.86328125" bestFit="1" customWidth="1"/>
    <col min="1964" max="1964" width="5.1328125" bestFit="1" customWidth="1"/>
    <col min="1965" max="1965" width="9.1328125" bestFit="1" customWidth="1"/>
    <col min="1966" max="1966" width="8.3984375" bestFit="1" customWidth="1"/>
    <col min="1967" max="1967" width="5.1328125" bestFit="1" customWidth="1"/>
    <col min="1968" max="1968" width="7.86328125" bestFit="1" customWidth="1"/>
    <col min="1969" max="1969" width="9.1328125" bestFit="1" customWidth="1"/>
    <col min="1970" max="1970" width="5.86328125" bestFit="1" customWidth="1"/>
    <col min="1971" max="1971" width="8.59765625" bestFit="1" customWidth="1"/>
    <col min="1972" max="1972" width="7.73046875" bestFit="1" customWidth="1"/>
    <col min="1973" max="1973" width="11.1328125" bestFit="1" customWidth="1"/>
    <col min="1974" max="1974" width="10.1328125" bestFit="1" customWidth="1"/>
    <col min="1975" max="1975" width="9.59765625" bestFit="1" customWidth="1"/>
    <col min="1976" max="1976" width="5.59765625" bestFit="1" customWidth="1"/>
    <col min="1977" max="1977" width="10" bestFit="1" customWidth="1"/>
    <col min="1978" max="1978" width="6.86328125" bestFit="1" customWidth="1"/>
    <col min="1979" max="1979" width="9" bestFit="1" customWidth="1"/>
    <col min="1980" max="1980" width="7.265625" bestFit="1" customWidth="1"/>
    <col min="1981" max="1981" width="6.86328125" bestFit="1" customWidth="1"/>
    <col min="1982" max="1982" width="8.265625" bestFit="1" customWidth="1"/>
    <col min="1983" max="1983" width="7.3984375" bestFit="1" customWidth="1"/>
    <col min="1984" max="1984" width="7.86328125" bestFit="1" customWidth="1"/>
    <col min="1985" max="1985" width="8.265625" bestFit="1" customWidth="1"/>
    <col min="1986" max="1986" width="7.73046875" bestFit="1" customWidth="1"/>
    <col min="1987" max="1987" width="9" bestFit="1" customWidth="1"/>
    <col min="1988" max="1988" width="13.1328125" bestFit="1" customWidth="1"/>
    <col min="1989" max="1989" width="9.3984375" bestFit="1" customWidth="1"/>
    <col min="1990" max="1990" width="11.86328125" bestFit="1" customWidth="1"/>
    <col min="1991" max="1991" width="17.1328125" bestFit="1" customWidth="1"/>
    <col min="1992" max="1992" width="10.3984375" bestFit="1" customWidth="1"/>
    <col min="1993" max="1994" width="6.73046875" bestFit="1" customWidth="1"/>
    <col min="1995" max="1995" width="11.265625" bestFit="1" customWidth="1"/>
    <col min="1996" max="1996" width="11" bestFit="1" customWidth="1"/>
    <col min="1997" max="1997" width="6" bestFit="1" customWidth="1"/>
    <col min="1998" max="1998" width="7.3984375" bestFit="1" customWidth="1"/>
    <col min="1999" max="1999" width="11.265625" bestFit="1" customWidth="1"/>
    <col min="2000" max="2000" width="8.1328125" bestFit="1" customWidth="1"/>
    <col min="2001" max="2001" width="8" bestFit="1" customWidth="1"/>
    <col min="2002" max="2002" width="8.73046875" bestFit="1" customWidth="1"/>
    <col min="2003" max="2003" width="17.86328125" bestFit="1" customWidth="1"/>
    <col min="2004" max="2004" width="9.73046875" bestFit="1" customWidth="1"/>
    <col min="2005" max="2005" width="11.86328125" bestFit="1" customWidth="1"/>
    <col min="2006" max="2006" width="15.73046875" bestFit="1" customWidth="1"/>
    <col min="2007" max="2008" width="17.1328125" bestFit="1" customWidth="1"/>
    <col min="2009" max="2009" width="7.265625" bestFit="1" customWidth="1"/>
    <col min="2010" max="2010" width="7.3984375" bestFit="1" customWidth="1"/>
    <col min="2011" max="2011" width="7.73046875" bestFit="1" customWidth="1"/>
    <col min="2012" max="2012" width="11.3984375" bestFit="1" customWidth="1"/>
    <col min="2013" max="2013" width="5.3984375" bestFit="1" customWidth="1"/>
    <col min="2014" max="2014" width="7.1328125" bestFit="1" customWidth="1"/>
    <col min="2015" max="2015" width="9.3984375" bestFit="1" customWidth="1"/>
    <col min="2016" max="2016" width="7" bestFit="1" customWidth="1"/>
    <col min="2017" max="2017" width="10.86328125" bestFit="1" customWidth="1"/>
    <col min="2018" max="2018" width="9.265625" bestFit="1" customWidth="1"/>
    <col min="2019" max="2019" width="6.73046875" bestFit="1" customWidth="1"/>
    <col min="2020" max="2020" width="10.59765625" bestFit="1" customWidth="1"/>
    <col min="2021" max="2021" width="14.1328125" bestFit="1" customWidth="1"/>
    <col min="2022" max="2023" width="12" bestFit="1" customWidth="1"/>
    <col min="2024" max="2024" width="10.86328125" bestFit="1" customWidth="1"/>
    <col min="2025" max="2025" width="5.265625" bestFit="1" customWidth="1"/>
    <col min="2026" max="2026" width="6.3984375" bestFit="1" customWidth="1"/>
    <col min="2027" max="2027" width="7.265625" bestFit="1" customWidth="1"/>
    <col min="2028" max="2028" width="11.3984375" bestFit="1" customWidth="1"/>
    <col min="2029" max="2030" width="6.86328125" bestFit="1" customWidth="1"/>
    <col min="2031" max="2031" width="8.3984375" bestFit="1" customWidth="1"/>
    <col min="2032" max="2032" width="9.1328125" bestFit="1" customWidth="1"/>
    <col min="2033" max="2033" width="12.265625" bestFit="1" customWidth="1"/>
    <col min="2034" max="2034" width="11.3984375" bestFit="1" customWidth="1"/>
    <col min="2035" max="2035" width="9.73046875" bestFit="1" customWidth="1"/>
    <col min="2036" max="2036" width="8.1328125" bestFit="1" customWidth="1"/>
    <col min="2037" max="2037" width="9" bestFit="1" customWidth="1"/>
    <col min="2038" max="2039" width="8" bestFit="1" customWidth="1"/>
    <col min="2040" max="2040" width="9.3984375" bestFit="1" customWidth="1"/>
    <col min="2041" max="2041" width="9.73046875" bestFit="1" customWidth="1"/>
    <col min="2042" max="2042" width="12.86328125" bestFit="1" customWidth="1"/>
    <col min="2043" max="2043" width="7" bestFit="1" customWidth="1"/>
    <col min="2044" max="2044" width="12.1328125" bestFit="1" customWidth="1"/>
    <col min="2045" max="2045" width="10.59765625" bestFit="1" customWidth="1"/>
    <col min="2046" max="2046" width="8" bestFit="1" customWidth="1"/>
    <col min="2047" max="2047" width="6" bestFit="1" customWidth="1"/>
    <col min="2048" max="2048" width="9" bestFit="1" customWidth="1"/>
    <col min="2049" max="2049" width="8.73046875" bestFit="1" customWidth="1"/>
    <col min="2050" max="2050" width="4.73046875" bestFit="1" customWidth="1"/>
    <col min="2051" max="2051" width="11.3984375" bestFit="1" customWidth="1"/>
    <col min="2052" max="2052" width="8.86328125" bestFit="1" customWidth="1"/>
    <col min="2053" max="2053" width="6.73046875" bestFit="1" customWidth="1"/>
    <col min="2054" max="2054" width="12" bestFit="1" customWidth="1"/>
    <col min="2055" max="2055" width="5.3984375" bestFit="1" customWidth="1"/>
    <col min="2056" max="2056" width="10.73046875" bestFit="1" customWidth="1"/>
    <col min="2057" max="2057" width="5.59765625" bestFit="1" customWidth="1"/>
    <col min="2058" max="2058" width="8.59765625" bestFit="1" customWidth="1"/>
    <col min="2059" max="2059" width="10.265625" bestFit="1" customWidth="1"/>
    <col min="2060" max="2060" width="10.73046875" bestFit="1" customWidth="1"/>
    <col min="2061" max="2061" width="7.86328125" bestFit="1" customWidth="1"/>
    <col min="2062" max="2062" width="11.59765625" bestFit="1" customWidth="1"/>
    <col min="2063" max="2063" width="13.1328125" bestFit="1" customWidth="1"/>
    <col min="2064" max="2064" width="9.59765625" bestFit="1" customWidth="1"/>
    <col min="2065" max="2065" width="14.86328125" bestFit="1" customWidth="1"/>
    <col min="2066" max="2066" width="6.59765625" bestFit="1" customWidth="1"/>
    <col min="2067" max="2067" width="6.3984375" bestFit="1" customWidth="1"/>
    <col min="2068" max="2068" width="10.1328125" bestFit="1" customWidth="1"/>
    <col min="2069" max="2069" width="9.3984375" bestFit="1" customWidth="1"/>
    <col min="2070" max="2070" width="14.73046875" bestFit="1" customWidth="1"/>
    <col min="2071" max="2071" width="9.265625" bestFit="1" customWidth="1"/>
    <col min="2072" max="2072" width="7.1328125" bestFit="1" customWidth="1"/>
    <col min="2073" max="2073" width="10.73046875" bestFit="1" customWidth="1"/>
    <col min="2074" max="2074" width="6.86328125" bestFit="1" customWidth="1"/>
    <col min="2075" max="2075" width="12.59765625" bestFit="1" customWidth="1"/>
    <col min="2076" max="2076" width="14.86328125" bestFit="1" customWidth="1"/>
    <col min="2077" max="2077" width="12.73046875" bestFit="1" customWidth="1"/>
    <col min="2078" max="2078" width="15" bestFit="1" customWidth="1"/>
    <col min="2079" max="2079" width="10" bestFit="1" customWidth="1"/>
    <col min="2080" max="2080" width="10.73046875" bestFit="1" customWidth="1"/>
    <col min="2081" max="2081" width="15.3984375" bestFit="1" customWidth="1"/>
    <col min="2082" max="2082" width="15.73046875" bestFit="1" customWidth="1"/>
    <col min="2083" max="2083" width="14.86328125" bestFit="1" customWidth="1"/>
    <col min="2084" max="2084" width="9" bestFit="1" customWidth="1"/>
    <col min="2085" max="2085" width="14.265625" bestFit="1" customWidth="1"/>
    <col min="2086" max="2086" width="15" bestFit="1" customWidth="1"/>
    <col min="2087" max="2087" width="10.1328125" bestFit="1" customWidth="1"/>
    <col min="2088" max="2088" width="6" bestFit="1" customWidth="1"/>
    <col min="2089" max="2089" width="10" bestFit="1" customWidth="1"/>
    <col min="2090" max="2090" width="10.73046875" bestFit="1" customWidth="1"/>
    <col min="2091" max="2091" width="13.3984375" bestFit="1" customWidth="1"/>
    <col min="2092" max="2092" width="6" bestFit="1" customWidth="1"/>
    <col min="2093" max="2093" width="7.73046875" bestFit="1" customWidth="1"/>
    <col min="2094" max="2094" width="8.1328125" bestFit="1" customWidth="1"/>
    <col min="2095" max="2095" width="9" bestFit="1" customWidth="1"/>
    <col min="2096" max="2096" width="9.73046875" bestFit="1" customWidth="1"/>
    <col min="2097" max="2097" width="15" bestFit="1" customWidth="1"/>
    <col min="2098" max="2098" width="7.265625" bestFit="1" customWidth="1"/>
    <col min="2099" max="2099" width="9.265625" bestFit="1" customWidth="1"/>
    <col min="2100" max="2100" width="11" bestFit="1" customWidth="1"/>
    <col min="2101" max="2101" width="9.59765625" bestFit="1" customWidth="1"/>
    <col min="2102" max="2103" width="8.73046875" bestFit="1" customWidth="1"/>
    <col min="2104" max="2104" width="8.265625" bestFit="1" customWidth="1"/>
    <col min="2105" max="2105" width="6.3984375" bestFit="1" customWidth="1"/>
    <col min="2106" max="2106" width="7.265625" bestFit="1" customWidth="1"/>
    <col min="2107" max="2107" width="5" bestFit="1" customWidth="1"/>
    <col min="2108" max="2108" width="9.59765625" bestFit="1" customWidth="1"/>
    <col min="2109" max="2109" width="6.73046875" bestFit="1" customWidth="1"/>
    <col min="2110" max="2110" width="10.59765625" bestFit="1" customWidth="1"/>
    <col min="2111" max="2111" width="5.59765625" bestFit="1" customWidth="1"/>
    <col min="2112" max="2112" width="7.1328125" bestFit="1" customWidth="1"/>
    <col min="2113" max="2113" width="8" bestFit="1" customWidth="1"/>
    <col min="2114" max="2114" width="15.73046875" bestFit="1" customWidth="1"/>
    <col min="2115" max="2115" width="7.86328125" bestFit="1" customWidth="1"/>
    <col min="2116" max="2116" width="11.73046875" bestFit="1" customWidth="1"/>
    <col min="2117" max="2117" width="13.1328125" bestFit="1" customWidth="1"/>
    <col min="2118" max="2118" width="7.265625" bestFit="1" customWidth="1"/>
    <col min="2119" max="2119" width="12.1328125" bestFit="1" customWidth="1"/>
    <col min="2120" max="2120" width="11.1328125" bestFit="1" customWidth="1"/>
    <col min="2121" max="2121" width="6.1328125" bestFit="1" customWidth="1"/>
    <col min="2122" max="2122" width="11.3984375" bestFit="1" customWidth="1"/>
    <col min="2123" max="2123" width="13" bestFit="1" customWidth="1"/>
    <col min="2124" max="2124" width="6" bestFit="1" customWidth="1"/>
    <col min="2125" max="2125" width="9.59765625" bestFit="1" customWidth="1"/>
    <col min="2126" max="2126" width="5.73046875" bestFit="1" customWidth="1"/>
    <col min="2127" max="2127" width="11.1328125" bestFit="1" customWidth="1"/>
    <col min="2128" max="2128" width="5.265625" bestFit="1" customWidth="1"/>
    <col min="2129" max="2129" width="6.265625" bestFit="1" customWidth="1"/>
    <col min="2130" max="2130" width="6.1328125" bestFit="1" customWidth="1"/>
    <col min="2131" max="2131" width="7.59765625" bestFit="1" customWidth="1"/>
    <col min="2132" max="2132" width="6.73046875" bestFit="1" customWidth="1"/>
    <col min="2133" max="2133" width="12" bestFit="1" customWidth="1"/>
    <col min="2134" max="2134" width="7.1328125" bestFit="1" customWidth="1"/>
    <col min="2135" max="2135" width="6.1328125" bestFit="1" customWidth="1"/>
    <col min="2136" max="2136" width="5.86328125" bestFit="1" customWidth="1"/>
    <col min="2137" max="2137" width="5.265625" bestFit="1" customWidth="1"/>
    <col min="2138" max="2138" width="9.59765625" bestFit="1" customWidth="1"/>
    <col min="2139" max="2139" width="12" bestFit="1" customWidth="1"/>
    <col min="2140" max="2140" width="7.59765625" bestFit="1" customWidth="1"/>
    <col min="2141" max="2141" width="8.73046875" bestFit="1" customWidth="1"/>
    <col min="2142" max="2142" width="9.265625" bestFit="1" customWidth="1"/>
    <col min="2143" max="2143" width="14.59765625" bestFit="1" customWidth="1"/>
    <col min="2144" max="2144" width="14.86328125" bestFit="1" customWidth="1"/>
    <col min="2145" max="2145" width="6.73046875" bestFit="1" customWidth="1"/>
    <col min="2146" max="2146" width="8" bestFit="1" customWidth="1"/>
    <col min="2147" max="2147" width="9.59765625" bestFit="1" customWidth="1"/>
    <col min="2148" max="2148" width="7.59765625" bestFit="1" customWidth="1"/>
    <col min="2149" max="2149" width="13" bestFit="1" customWidth="1"/>
    <col min="2150" max="2150" width="9" bestFit="1" customWidth="1"/>
    <col min="2151" max="2151" width="12" bestFit="1" customWidth="1"/>
    <col min="2152" max="2152" width="7.73046875" bestFit="1" customWidth="1"/>
    <col min="2153" max="2153" width="7.59765625" bestFit="1" customWidth="1"/>
    <col min="2154" max="2154" width="6.86328125" bestFit="1" customWidth="1"/>
    <col min="2155" max="2155" width="10.86328125" bestFit="1" customWidth="1"/>
    <col min="2156" max="2156" width="10.265625" bestFit="1" customWidth="1"/>
    <col min="2157" max="2157" width="15.73046875" bestFit="1" customWidth="1"/>
    <col min="2158" max="2158" width="7.265625" bestFit="1" customWidth="1"/>
    <col min="2159" max="2159" width="11" bestFit="1" customWidth="1"/>
    <col min="2160" max="2160" width="12.3984375" bestFit="1" customWidth="1"/>
    <col min="2161" max="2161" width="5.3984375" bestFit="1" customWidth="1"/>
    <col min="2162" max="2162" width="8.59765625" bestFit="1" customWidth="1"/>
    <col min="2163" max="2163" width="13.59765625" bestFit="1" customWidth="1"/>
    <col min="2164" max="2164" width="6.265625" bestFit="1" customWidth="1"/>
    <col min="2165" max="2165" width="9.86328125" bestFit="1" customWidth="1"/>
    <col min="2166" max="2166" width="9.59765625" bestFit="1" customWidth="1"/>
    <col min="2167" max="2167" width="10.73046875" bestFit="1" customWidth="1"/>
    <col min="2169" max="2169" width="13" bestFit="1" customWidth="1"/>
    <col min="2170" max="2170" width="8.1328125" bestFit="1" customWidth="1"/>
    <col min="2171" max="2171" width="9.86328125" bestFit="1" customWidth="1"/>
    <col min="2172" max="2172" width="8.86328125" bestFit="1" customWidth="1"/>
    <col min="2173" max="2173" width="11.1328125" bestFit="1" customWidth="1"/>
    <col min="2174" max="2174" width="11.86328125" bestFit="1" customWidth="1"/>
    <col min="2175" max="2175" width="8.59765625" bestFit="1" customWidth="1"/>
    <col min="2176" max="2176" width="7.59765625" bestFit="1" customWidth="1"/>
    <col min="2177" max="2177" width="10.73046875" bestFit="1" customWidth="1"/>
    <col min="2178" max="2178" width="12" bestFit="1" customWidth="1"/>
    <col min="2179" max="2179" width="13.1328125" bestFit="1" customWidth="1"/>
    <col min="2180" max="2180" width="13.265625" bestFit="1" customWidth="1"/>
    <col min="2181" max="2181" width="6" bestFit="1" customWidth="1"/>
    <col min="2182" max="2182" width="7" bestFit="1" customWidth="1"/>
    <col min="2183" max="2183" width="5.3984375" bestFit="1" customWidth="1"/>
    <col min="2184" max="2184" width="10.1328125" bestFit="1" customWidth="1"/>
    <col min="2185" max="2185" width="8.73046875" bestFit="1" customWidth="1"/>
    <col min="2186" max="2186" width="9" bestFit="1" customWidth="1"/>
    <col min="2187" max="2187" width="11.73046875" bestFit="1" customWidth="1"/>
    <col min="2188" max="2188" width="8.3984375" bestFit="1" customWidth="1"/>
    <col min="2189" max="2189" width="8" bestFit="1" customWidth="1"/>
    <col min="2190" max="2191" width="9.59765625" bestFit="1" customWidth="1"/>
    <col min="2192" max="2192" width="12.86328125" bestFit="1" customWidth="1"/>
    <col min="2193" max="2193" width="8.86328125" bestFit="1" customWidth="1"/>
    <col min="2194" max="2194" width="10.59765625" bestFit="1" customWidth="1"/>
    <col min="2195" max="2195" width="9" bestFit="1" customWidth="1"/>
    <col min="2196" max="2196" width="10.3984375" bestFit="1" customWidth="1"/>
    <col min="2197" max="2197" width="10.86328125" bestFit="1" customWidth="1"/>
    <col min="2198" max="2198" width="4.73046875" bestFit="1" customWidth="1"/>
    <col min="2199" max="2199" width="5.1328125" bestFit="1" customWidth="1"/>
    <col min="2200" max="2200" width="11.86328125" bestFit="1" customWidth="1"/>
    <col min="2201" max="2201" width="6.3984375" bestFit="1" customWidth="1"/>
    <col min="2202" max="2202" width="6.59765625" bestFit="1" customWidth="1"/>
    <col min="2203" max="2203" width="5.86328125" bestFit="1" customWidth="1"/>
    <col min="2204" max="2204" width="8.73046875" bestFit="1" customWidth="1"/>
    <col min="2205" max="2205" width="9.59765625" bestFit="1" customWidth="1"/>
    <col min="2206" max="2206" width="8.265625" bestFit="1" customWidth="1"/>
    <col min="2207" max="2207" width="12.73046875" bestFit="1" customWidth="1"/>
    <col min="2208" max="2208" width="11" bestFit="1" customWidth="1"/>
    <col min="2209" max="2209" width="7.265625" bestFit="1" customWidth="1"/>
    <col min="2210" max="2210" width="10.3984375" bestFit="1" customWidth="1"/>
    <col min="2211" max="2211" width="14.265625" bestFit="1" customWidth="1"/>
    <col min="2212" max="2212" width="15.73046875" bestFit="1" customWidth="1"/>
    <col min="2213" max="2213" width="8" bestFit="1" customWidth="1"/>
    <col min="2214" max="2214" width="9.3984375" bestFit="1" customWidth="1"/>
    <col min="2215" max="2215" width="8.73046875" bestFit="1" customWidth="1"/>
    <col min="2216" max="2216" width="6.86328125" bestFit="1" customWidth="1"/>
    <col min="2217" max="2217" width="8.3984375" bestFit="1" customWidth="1"/>
    <col min="2218" max="2218" width="12.1328125" bestFit="1" customWidth="1"/>
    <col min="2219" max="2219" width="13.73046875" bestFit="1" customWidth="1"/>
    <col min="2220" max="2220" width="14" bestFit="1" customWidth="1"/>
    <col min="2221" max="2221" width="10.59765625" bestFit="1" customWidth="1"/>
    <col min="2222" max="2222" width="9.73046875" bestFit="1" customWidth="1"/>
    <col min="2223" max="2223" width="12.1328125" bestFit="1" customWidth="1"/>
    <col min="2224" max="2224" width="8.3984375" bestFit="1" customWidth="1"/>
    <col min="2225" max="2225" width="11" bestFit="1" customWidth="1"/>
    <col min="2226" max="2226" width="13.73046875" bestFit="1" customWidth="1"/>
    <col min="2227" max="2227" width="13.3984375" bestFit="1" customWidth="1"/>
    <col min="2228" max="2228" width="11.3984375" bestFit="1" customWidth="1"/>
    <col min="2229" max="2229" width="7.73046875" bestFit="1" customWidth="1"/>
    <col min="2230" max="2230" width="13" bestFit="1" customWidth="1"/>
    <col min="2231" max="2231" width="12.265625" bestFit="1" customWidth="1"/>
    <col min="2232" max="2232" width="6.86328125" bestFit="1" customWidth="1"/>
    <col min="2233" max="2233" width="11" bestFit="1" customWidth="1"/>
    <col min="2234" max="2234" width="10.3984375" bestFit="1" customWidth="1"/>
    <col min="2235" max="2235" width="11.86328125" bestFit="1" customWidth="1"/>
    <col min="2236" max="2236" width="12.265625" bestFit="1" customWidth="1"/>
    <col min="2237" max="2237" width="7" bestFit="1" customWidth="1"/>
    <col min="2238" max="2238" width="10.86328125" bestFit="1" customWidth="1"/>
    <col min="2239" max="2239" width="6" bestFit="1" customWidth="1"/>
    <col min="2240" max="2240" width="6.3984375" bestFit="1" customWidth="1"/>
    <col min="2241" max="2241" width="12.59765625" bestFit="1" customWidth="1"/>
    <col min="2242" max="2242" width="7" bestFit="1" customWidth="1"/>
    <col min="2243" max="2243" width="12.3984375" bestFit="1" customWidth="1"/>
    <col min="2244" max="2244" width="12.265625" bestFit="1" customWidth="1"/>
    <col min="2245" max="2245" width="11.73046875" bestFit="1" customWidth="1"/>
    <col min="2246" max="2246" width="9.59765625" bestFit="1" customWidth="1"/>
    <col min="2247" max="2247" width="10" bestFit="1" customWidth="1"/>
    <col min="2248" max="2248" width="11" bestFit="1" customWidth="1"/>
    <col min="2249" max="2249" width="8.59765625" bestFit="1" customWidth="1"/>
    <col min="2250" max="2250" width="7.1328125" bestFit="1" customWidth="1"/>
    <col min="2251" max="2251" width="6.59765625" bestFit="1" customWidth="1"/>
    <col min="2252" max="2252" width="11.265625" bestFit="1" customWidth="1"/>
    <col min="2253" max="2253" width="7.1328125" bestFit="1" customWidth="1"/>
    <col min="2254" max="2254" width="10.3984375" bestFit="1" customWidth="1"/>
    <col min="2255" max="2255" width="11.3984375" bestFit="1" customWidth="1"/>
    <col min="2256" max="2256" width="9.265625" bestFit="1" customWidth="1"/>
    <col min="2257" max="2257" width="8.86328125" bestFit="1" customWidth="1"/>
    <col min="2258" max="2258" width="9.3984375" bestFit="1" customWidth="1"/>
    <col min="2259" max="2259" width="10" bestFit="1" customWidth="1"/>
    <col min="2260" max="2260" width="10.86328125" bestFit="1" customWidth="1"/>
    <col min="2261" max="2261" width="6.1328125" bestFit="1" customWidth="1"/>
    <col min="2262" max="2262" width="7.86328125" bestFit="1" customWidth="1"/>
    <col min="2263" max="2263" width="7.59765625" bestFit="1" customWidth="1"/>
    <col min="2264" max="2264" width="9.59765625" bestFit="1" customWidth="1"/>
    <col min="2265" max="2265" width="7.73046875" bestFit="1" customWidth="1"/>
    <col min="2266" max="2266" width="12.265625" bestFit="1" customWidth="1"/>
    <col min="2267" max="2267" width="8.73046875" bestFit="1" customWidth="1"/>
    <col min="2268" max="2268" width="11.1328125" bestFit="1" customWidth="1"/>
    <col min="2269" max="2269" width="16.59765625" bestFit="1" customWidth="1"/>
    <col min="2270" max="2270" width="7.1328125" bestFit="1" customWidth="1"/>
    <col min="2271" max="2271" width="13.86328125" bestFit="1" customWidth="1"/>
    <col min="2272" max="2273" width="8.265625" bestFit="1" customWidth="1"/>
    <col min="2274" max="2274" width="7" bestFit="1" customWidth="1"/>
    <col min="2275" max="2275" width="12.1328125" bestFit="1" customWidth="1"/>
    <col min="2276" max="2276" width="7.73046875" bestFit="1" customWidth="1"/>
    <col min="2277" max="2277" width="5.86328125" bestFit="1" customWidth="1"/>
    <col min="2278" max="2278" width="7.86328125" bestFit="1" customWidth="1"/>
    <col min="2279" max="2279" width="8.59765625" bestFit="1" customWidth="1"/>
    <col min="2280" max="2280" width="9.1328125" bestFit="1" customWidth="1"/>
    <col min="2281" max="2281" width="10.86328125" bestFit="1" customWidth="1"/>
    <col min="2282" max="2282" width="10" bestFit="1" customWidth="1"/>
    <col min="2283" max="2283" width="9.1328125" bestFit="1" customWidth="1"/>
    <col min="2284" max="2284" width="10" bestFit="1" customWidth="1"/>
    <col min="2285" max="2285" width="7.1328125" bestFit="1" customWidth="1"/>
    <col min="2286" max="2286" width="11.1328125" bestFit="1" customWidth="1"/>
    <col min="2287" max="2287" width="8" bestFit="1" customWidth="1"/>
    <col min="2288" max="2288" width="8.3984375" bestFit="1" customWidth="1"/>
    <col min="2289" max="2289" width="7.3984375" bestFit="1" customWidth="1"/>
    <col min="2290" max="2290" width="6.265625" bestFit="1" customWidth="1"/>
    <col min="2291" max="2291" width="4.73046875" bestFit="1" customWidth="1"/>
    <col min="2292" max="2292" width="8.3984375" bestFit="1" customWidth="1"/>
    <col min="2293" max="2293" width="8" bestFit="1" customWidth="1"/>
    <col min="2294" max="2294" width="8.86328125" bestFit="1" customWidth="1"/>
    <col min="2295" max="2295" width="12.73046875" bestFit="1" customWidth="1"/>
    <col min="2296" max="2296" width="13.59765625" bestFit="1" customWidth="1"/>
    <col min="2297" max="2297" width="9" bestFit="1" customWidth="1"/>
    <col min="2298" max="2298" width="12.86328125" bestFit="1" customWidth="1"/>
    <col min="2299" max="2300" width="14.1328125" bestFit="1" customWidth="1"/>
    <col min="2301" max="2301" width="14.265625" bestFit="1" customWidth="1"/>
    <col min="2302" max="2302" width="12.1328125" bestFit="1" customWidth="1"/>
    <col min="2303" max="2303" width="10" bestFit="1" customWidth="1"/>
    <col min="2304" max="2304" width="9" bestFit="1" customWidth="1"/>
    <col min="2305" max="2305" width="12.86328125" bestFit="1" customWidth="1"/>
    <col min="2306" max="2306" width="14.1328125" bestFit="1" customWidth="1"/>
    <col min="2307" max="2307" width="10.73046875" bestFit="1" customWidth="1"/>
    <col min="2308" max="2308" width="9.1328125" bestFit="1" customWidth="1"/>
    <col min="2309" max="2309" width="9" bestFit="1" customWidth="1"/>
    <col min="2310" max="2310" width="8.1328125" bestFit="1" customWidth="1"/>
    <col min="2311" max="2311" width="8" bestFit="1" customWidth="1"/>
    <col min="2312" max="2312" width="15.3984375" bestFit="1" customWidth="1"/>
    <col min="2313" max="2313" width="8.3984375" bestFit="1" customWidth="1"/>
    <col min="2314" max="2314" width="8.86328125" bestFit="1" customWidth="1"/>
    <col min="2315" max="2315" width="31.265625" bestFit="1" customWidth="1"/>
    <col min="2316" max="2316" width="31.1328125" bestFit="1" customWidth="1"/>
    <col min="2317" max="2317" width="31.3984375" bestFit="1" customWidth="1"/>
    <col min="2318" max="2318" width="31.1328125" bestFit="1" customWidth="1"/>
    <col min="2319" max="2319" width="8.86328125" bestFit="1" customWidth="1"/>
    <col min="2320" max="2320" width="8.1328125" bestFit="1" customWidth="1"/>
    <col min="2321" max="2321" width="8.59765625" bestFit="1" customWidth="1"/>
    <col min="2322" max="2322" width="9" bestFit="1" customWidth="1"/>
    <col min="2323" max="2323" width="7" bestFit="1" customWidth="1"/>
    <col min="2324" max="2324" width="10.265625" bestFit="1" customWidth="1"/>
    <col min="2325" max="2325" width="6.86328125" bestFit="1" customWidth="1"/>
    <col min="2326" max="2326" width="9.3984375" bestFit="1" customWidth="1"/>
    <col min="2327" max="2327" width="17" bestFit="1" customWidth="1"/>
    <col min="2328" max="2328" width="7.1328125" bestFit="1" customWidth="1"/>
    <col min="2329" max="2329" width="7.73046875" bestFit="1" customWidth="1"/>
    <col min="2330" max="2330" width="9.265625" bestFit="1" customWidth="1"/>
    <col min="2331" max="2331" width="8.265625" bestFit="1" customWidth="1"/>
    <col min="2332" max="2332" width="9.3984375" bestFit="1" customWidth="1"/>
    <col min="2333" max="2333" width="7.86328125" bestFit="1" customWidth="1"/>
    <col min="2334" max="2334" width="12.3984375" bestFit="1" customWidth="1"/>
    <col min="2335" max="2335" width="12.59765625" bestFit="1" customWidth="1"/>
    <col min="2336" max="2336" width="8.1328125" bestFit="1" customWidth="1"/>
    <col min="2337" max="2337" width="9.1328125" bestFit="1" customWidth="1"/>
    <col min="2338" max="2338" width="9.265625" bestFit="1" customWidth="1"/>
    <col min="2339" max="2339" width="10.73046875" bestFit="1" customWidth="1"/>
    <col min="2340" max="2340" width="9.59765625" bestFit="1" customWidth="1"/>
    <col min="2341" max="2341" width="9.73046875" bestFit="1" customWidth="1"/>
    <col min="2342" max="2342" width="7.1328125" bestFit="1" customWidth="1"/>
    <col min="2343" max="2343" width="7.59765625" bestFit="1" customWidth="1"/>
    <col min="2344" max="2344" width="7.73046875" bestFit="1" customWidth="1"/>
    <col min="2345" max="2345" width="12.59765625" bestFit="1" customWidth="1"/>
    <col min="2346" max="2346" width="7.265625" bestFit="1" customWidth="1"/>
    <col min="2347" max="2347" width="4.86328125" bestFit="1" customWidth="1"/>
    <col min="2348" max="2348" width="5" bestFit="1" customWidth="1"/>
    <col min="2349" max="2349" width="12.59765625" bestFit="1" customWidth="1"/>
    <col min="2350" max="2350" width="10.59765625" bestFit="1" customWidth="1"/>
    <col min="2351" max="2351" width="9" bestFit="1" customWidth="1"/>
    <col min="2352" max="2352" width="9.73046875" bestFit="1" customWidth="1"/>
    <col min="2353" max="2353" width="13" bestFit="1" customWidth="1"/>
    <col min="2354" max="2354" width="9.73046875" bestFit="1" customWidth="1"/>
    <col min="2355" max="2355" width="5.59765625" bestFit="1" customWidth="1"/>
    <col min="2356" max="2356" width="8.265625" bestFit="1" customWidth="1"/>
    <col min="2357" max="2357" width="4.73046875" bestFit="1" customWidth="1"/>
    <col min="2358" max="2358" width="8" bestFit="1" customWidth="1"/>
    <col min="2359" max="2359" width="11.1328125" bestFit="1" customWidth="1"/>
    <col min="2360" max="2360" width="10" bestFit="1" customWidth="1"/>
    <col min="2361" max="2361" width="10.73046875" bestFit="1" customWidth="1"/>
    <col min="2362" max="2362" width="9.1328125" bestFit="1" customWidth="1"/>
    <col min="2363" max="2363" width="4.73046875" bestFit="1" customWidth="1"/>
    <col min="2364" max="2364" width="11.86328125" bestFit="1" customWidth="1"/>
    <col min="2365" max="2365" width="12.86328125" bestFit="1" customWidth="1"/>
    <col min="2366" max="2366" width="7.1328125" bestFit="1" customWidth="1"/>
    <col min="2367" max="2367" width="8.86328125" bestFit="1" customWidth="1"/>
    <col min="2368" max="2368" width="8.1328125" bestFit="1" customWidth="1"/>
    <col min="2369" max="2369" width="11.265625" bestFit="1" customWidth="1"/>
    <col min="2370" max="2370" width="9" bestFit="1" customWidth="1"/>
    <col min="2371" max="2371" width="12.86328125" bestFit="1" customWidth="1"/>
    <col min="2372" max="2372" width="6.86328125" bestFit="1" customWidth="1"/>
    <col min="2373" max="2373" width="14.265625" bestFit="1" customWidth="1"/>
    <col min="2374" max="2374" width="11.3984375" bestFit="1" customWidth="1"/>
    <col min="2375" max="2375" width="10.73046875" bestFit="1" customWidth="1"/>
    <col min="2376" max="2376" width="10.3984375" bestFit="1" customWidth="1"/>
    <col min="2377" max="2377" width="7.3984375" bestFit="1" customWidth="1"/>
    <col min="2378" max="2378" width="7.73046875" bestFit="1" customWidth="1"/>
    <col min="2379" max="2379" width="8.1328125" bestFit="1" customWidth="1"/>
    <col min="2380" max="2380" width="12.86328125" bestFit="1" customWidth="1"/>
    <col min="2381" max="2381" width="16.73046875" bestFit="1" customWidth="1"/>
    <col min="2382" max="2382" width="8.265625" bestFit="1" customWidth="1"/>
    <col min="2383" max="2383" width="8" bestFit="1" customWidth="1"/>
    <col min="2384" max="2384" width="14.86328125" bestFit="1" customWidth="1"/>
    <col min="2385" max="2385" width="8.86328125" bestFit="1" customWidth="1"/>
    <col min="2386" max="2386" width="10.73046875" bestFit="1" customWidth="1"/>
    <col min="2387" max="2387" width="7.73046875" bestFit="1" customWidth="1"/>
    <col min="2388" max="2388" width="8.3984375" bestFit="1" customWidth="1"/>
    <col min="2389" max="2389" width="9.1328125" bestFit="1" customWidth="1"/>
    <col min="2390" max="2390" width="7" bestFit="1" customWidth="1"/>
    <col min="2391" max="2391" width="8.86328125" bestFit="1" customWidth="1"/>
    <col min="2392" max="2392" width="8" bestFit="1" customWidth="1"/>
    <col min="2393" max="2393" width="6.3984375" bestFit="1" customWidth="1"/>
    <col min="2394" max="2394" width="7.3984375" bestFit="1" customWidth="1"/>
    <col min="2395" max="2395" width="8.59765625" bestFit="1" customWidth="1"/>
    <col min="2396" max="2396" width="9.86328125" bestFit="1" customWidth="1"/>
    <col min="2397" max="2397" width="7" bestFit="1" customWidth="1"/>
    <col min="2398" max="2398" width="11.59765625" bestFit="1" customWidth="1"/>
    <col min="2399" max="2399" width="8.265625" bestFit="1" customWidth="1"/>
    <col min="2400" max="2400" width="5.1328125" bestFit="1" customWidth="1"/>
    <col min="2401" max="2401" width="6.59765625" bestFit="1" customWidth="1"/>
    <col min="2402" max="2402" width="14.73046875" bestFit="1" customWidth="1"/>
    <col min="2403" max="2403" width="9.73046875" bestFit="1" customWidth="1"/>
    <col min="2404" max="2404" width="9.265625" bestFit="1" customWidth="1"/>
    <col min="2405" max="2405" width="6" bestFit="1" customWidth="1"/>
    <col min="2406" max="2406" width="9.86328125" bestFit="1" customWidth="1"/>
    <col min="2407" max="2407" width="8" bestFit="1" customWidth="1"/>
    <col min="2408" max="2408" width="13.265625" bestFit="1" customWidth="1"/>
    <col min="2409" max="2409" width="10.73046875" bestFit="1" customWidth="1"/>
    <col min="2410" max="2411" width="11.265625" bestFit="1" customWidth="1"/>
    <col min="2412" max="2412" width="8.86328125" bestFit="1" customWidth="1"/>
    <col min="2413" max="2413" width="8.1328125" bestFit="1" customWidth="1"/>
    <col min="2414" max="2414" width="11.59765625" bestFit="1" customWidth="1"/>
    <col min="2415" max="2415" width="9.73046875" bestFit="1" customWidth="1"/>
    <col min="2416" max="2416" width="10.1328125" bestFit="1" customWidth="1"/>
    <col min="2417" max="2417" width="7.59765625" bestFit="1" customWidth="1"/>
    <col min="2418" max="2418" width="6.59765625" bestFit="1" customWidth="1"/>
    <col min="2419" max="2419" width="12.86328125" bestFit="1" customWidth="1"/>
    <col min="2420" max="2420" width="10.265625" bestFit="1" customWidth="1"/>
    <col min="2421" max="2421" width="14.1328125" bestFit="1" customWidth="1"/>
    <col min="2422" max="2423" width="15.59765625" bestFit="1" customWidth="1"/>
    <col min="2424" max="2424" width="10.1328125" bestFit="1" customWidth="1"/>
    <col min="2426" max="2426" width="6.73046875" bestFit="1" customWidth="1"/>
    <col min="2427" max="2427" width="5.59765625" bestFit="1" customWidth="1"/>
    <col min="2428" max="2428" width="10.265625" bestFit="1" customWidth="1"/>
    <col min="2429" max="2429" width="7.73046875" bestFit="1" customWidth="1"/>
    <col min="2430" max="2430" width="13.73046875" bestFit="1" customWidth="1"/>
    <col min="2431" max="2431" width="6.73046875" bestFit="1" customWidth="1"/>
    <col min="2432" max="2432" width="11.59765625" bestFit="1" customWidth="1"/>
    <col min="2433" max="2433" width="16.86328125" bestFit="1" customWidth="1"/>
    <col min="2434" max="2434" width="5.1328125" bestFit="1" customWidth="1"/>
    <col min="2435" max="2435" width="11" bestFit="1" customWidth="1"/>
    <col min="2436" max="2436" width="7" bestFit="1" customWidth="1"/>
    <col min="2437" max="2437" width="4.73046875" bestFit="1" customWidth="1"/>
    <col min="2438" max="2438" width="9.73046875" bestFit="1" customWidth="1"/>
    <col min="2439" max="2439" width="8" bestFit="1" customWidth="1"/>
    <col min="2440" max="2440" width="11.59765625" bestFit="1" customWidth="1"/>
    <col min="2441" max="2441" width="10.86328125" bestFit="1" customWidth="1"/>
    <col min="2442" max="2442" width="11.3984375" bestFit="1" customWidth="1"/>
    <col min="2443" max="2443" width="6.265625" bestFit="1" customWidth="1"/>
    <col min="2444" max="2444" width="12.86328125" bestFit="1" customWidth="1"/>
    <col min="2445" max="2445" width="11.1328125" bestFit="1" customWidth="1"/>
    <col min="2446" max="2447" width="11" bestFit="1" customWidth="1"/>
    <col min="2448" max="2448" width="10.265625" bestFit="1" customWidth="1"/>
    <col min="2449" max="2449" width="6.86328125" bestFit="1" customWidth="1"/>
    <col min="2450" max="2450" width="8.86328125" bestFit="1" customWidth="1"/>
    <col min="2451" max="2451" width="12.86328125" bestFit="1" customWidth="1"/>
    <col min="2452" max="2452" width="9.265625" bestFit="1" customWidth="1"/>
    <col min="2453" max="2453" width="7.86328125" bestFit="1" customWidth="1"/>
    <col min="2454" max="2454" width="11.73046875" bestFit="1" customWidth="1"/>
    <col min="2455" max="2455" width="12.86328125" bestFit="1" customWidth="1"/>
    <col min="2456" max="2456" width="13.73046875" bestFit="1" customWidth="1"/>
    <col min="2457" max="2457" width="15.1328125" bestFit="1" customWidth="1"/>
    <col min="2458" max="2458" width="12.265625" bestFit="1" customWidth="1"/>
    <col min="2459" max="2459" width="15.86328125" bestFit="1" customWidth="1"/>
    <col min="2460" max="2460" width="11" bestFit="1" customWidth="1"/>
    <col min="2461" max="2461" width="10.1328125" bestFit="1" customWidth="1"/>
    <col min="2462" max="2462" width="9.59765625" bestFit="1" customWidth="1"/>
    <col min="2463" max="2463" width="13.1328125" bestFit="1" customWidth="1"/>
    <col min="2464" max="2464" width="15" bestFit="1" customWidth="1"/>
    <col min="2465" max="2465" width="11.3984375" bestFit="1" customWidth="1"/>
    <col min="2466" max="2466" width="5.86328125" bestFit="1" customWidth="1"/>
    <col min="2467" max="2467" width="7.1328125" bestFit="1" customWidth="1"/>
    <col min="2468" max="2468" width="10" bestFit="1" customWidth="1"/>
    <col min="2469" max="2469" width="10.3984375" bestFit="1" customWidth="1"/>
    <col min="2470" max="2470" width="9" bestFit="1" customWidth="1"/>
    <col min="2471" max="2471" width="9.86328125" bestFit="1" customWidth="1"/>
    <col min="2472" max="2472" width="10.86328125" bestFit="1" customWidth="1"/>
    <col min="2473" max="2473" width="9.3984375" bestFit="1" customWidth="1"/>
    <col min="2474" max="2474" width="10.3984375" bestFit="1" customWidth="1"/>
    <col min="2475" max="2475" width="10.1328125" bestFit="1" customWidth="1"/>
    <col min="2476" max="2476" width="11.265625" bestFit="1" customWidth="1"/>
    <col min="2477" max="2477" width="9.1328125" bestFit="1" customWidth="1"/>
    <col min="2478" max="2478" width="14.59765625" bestFit="1" customWidth="1"/>
    <col min="2479" max="2479" width="8.265625" bestFit="1" customWidth="1"/>
    <col min="2480" max="2480" width="12.265625" bestFit="1" customWidth="1"/>
    <col min="2481" max="2481" width="10" bestFit="1" customWidth="1"/>
    <col min="2482" max="2482" width="15.3984375" bestFit="1" customWidth="1"/>
    <col min="2483" max="2483" width="8.86328125" bestFit="1" customWidth="1"/>
    <col min="2484" max="2484" width="12.59765625" bestFit="1" customWidth="1"/>
    <col min="2485" max="2485" width="14" bestFit="1" customWidth="1"/>
    <col min="2486" max="2486" width="6.265625" bestFit="1" customWidth="1"/>
    <col min="2487" max="2487" width="10.59765625" bestFit="1" customWidth="1"/>
    <col min="2488" max="2488" width="8.3984375" bestFit="1" customWidth="1"/>
    <col min="2489" max="2489" width="8.265625" bestFit="1" customWidth="1"/>
    <col min="2490" max="2490" width="13.59765625" bestFit="1" customWidth="1"/>
    <col min="2491" max="2491" width="7.86328125" bestFit="1" customWidth="1"/>
    <col min="2492" max="2492" width="6.86328125" bestFit="1" customWidth="1"/>
    <col min="2493" max="2493" width="10.59765625" bestFit="1" customWidth="1"/>
    <col min="2494" max="2494" width="17.86328125" bestFit="1" customWidth="1"/>
    <col min="2495" max="2495" width="21.1328125" bestFit="1" customWidth="1"/>
    <col min="2496" max="2496" width="12" bestFit="1" customWidth="1"/>
    <col min="2497" max="2497" width="11.3984375" bestFit="1" customWidth="1"/>
    <col min="2498" max="2498" width="10.1328125" bestFit="1" customWidth="1"/>
    <col min="2499" max="2499" width="12.3984375" bestFit="1" customWidth="1"/>
    <col min="2500" max="2500" width="15.3984375" bestFit="1" customWidth="1"/>
    <col min="2501" max="2501" width="11.3984375" bestFit="1" customWidth="1"/>
    <col min="2502" max="2502" width="8.59765625" bestFit="1" customWidth="1"/>
    <col min="2503" max="2503" width="13.86328125" bestFit="1" customWidth="1"/>
    <col min="2504" max="2504" width="6.73046875" bestFit="1" customWidth="1"/>
    <col min="2505" max="2505" width="13.1328125" bestFit="1" customWidth="1"/>
    <col min="2506" max="2506" width="6.59765625" bestFit="1" customWidth="1"/>
    <col min="2507" max="2507" width="6.73046875" bestFit="1" customWidth="1"/>
    <col min="2508" max="2508" width="11.265625" bestFit="1" customWidth="1"/>
    <col min="2509" max="2509" width="10.73046875" bestFit="1" customWidth="1"/>
    <col min="2510" max="2510" width="7.1328125" bestFit="1" customWidth="1"/>
    <col min="2511" max="2511" width="9.1328125" bestFit="1" customWidth="1"/>
    <col min="2512" max="2512" width="6.3984375" bestFit="1" customWidth="1"/>
    <col min="2513" max="2513" width="8.59765625" bestFit="1" customWidth="1"/>
    <col min="2514" max="2514" width="11.86328125" bestFit="1" customWidth="1"/>
    <col min="2515" max="2515" width="10.3984375" bestFit="1" customWidth="1"/>
    <col min="2516" max="2516" width="9.3984375" bestFit="1" customWidth="1"/>
    <col min="2517" max="2517" width="10.3984375" bestFit="1" customWidth="1"/>
    <col min="2518" max="2518" width="8.86328125" bestFit="1" customWidth="1"/>
    <col min="2519" max="2519" width="9.73046875" bestFit="1" customWidth="1"/>
    <col min="2520" max="2520" width="13.86328125" bestFit="1" customWidth="1"/>
    <col min="2521" max="2521" width="10" bestFit="1" customWidth="1"/>
    <col min="2522" max="2522" width="6.73046875" bestFit="1" customWidth="1"/>
    <col min="2523" max="2523" width="8" bestFit="1" customWidth="1"/>
    <col min="2524" max="2524" width="10.73046875" bestFit="1" customWidth="1"/>
    <col min="2525" max="2525" width="9.59765625" bestFit="1" customWidth="1"/>
    <col min="2526" max="2526" width="10.1328125" bestFit="1" customWidth="1"/>
    <col min="2527" max="2527" width="9.1328125" bestFit="1" customWidth="1"/>
    <col min="2528" max="2528" width="11.86328125" bestFit="1" customWidth="1"/>
    <col min="2529" max="2529" width="10.1328125" bestFit="1" customWidth="1"/>
    <col min="2530" max="2530" width="13" bestFit="1" customWidth="1"/>
    <col min="2531" max="2531" width="10.1328125" bestFit="1" customWidth="1"/>
    <col min="2532" max="2532" width="8" bestFit="1" customWidth="1"/>
    <col min="2533" max="2533" width="11.73046875" bestFit="1" customWidth="1"/>
    <col min="2534" max="2534" width="10" bestFit="1" customWidth="1"/>
    <col min="2535" max="2535" width="16.73046875" bestFit="1" customWidth="1"/>
    <col min="2536" max="2536" width="9.1328125" bestFit="1" customWidth="1"/>
    <col min="2537" max="2537" width="8.3984375" bestFit="1" customWidth="1"/>
    <col min="2538" max="2538" width="9.1328125" bestFit="1" customWidth="1"/>
    <col min="2539" max="2539" width="8" bestFit="1" customWidth="1"/>
    <col min="2540" max="2540" width="8.265625" bestFit="1" customWidth="1"/>
    <col min="2541" max="2541" width="13.3984375" bestFit="1" customWidth="1"/>
    <col min="2542" max="2542" width="13.1328125" bestFit="1" customWidth="1"/>
    <col min="2543" max="2543" width="5" bestFit="1" customWidth="1"/>
    <col min="2544" max="2544" width="12" bestFit="1" customWidth="1"/>
    <col min="2545" max="2545" width="7" bestFit="1" customWidth="1"/>
    <col min="2546" max="2546" width="7.59765625" bestFit="1" customWidth="1"/>
    <col min="2547" max="2547" width="11.86328125" bestFit="1" customWidth="1"/>
    <col min="2548" max="2548" width="13.59765625" bestFit="1" customWidth="1"/>
    <col min="2549" max="2549" width="9.59765625" bestFit="1" customWidth="1"/>
    <col min="2550" max="2550" width="10.59765625" bestFit="1" customWidth="1"/>
    <col min="2551" max="2551" width="8.1328125" bestFit="1" customWidth="1"/>
    <col min="2552" max="2552" width="13.3984375" bestFit="1" customWidth="1"/>
    <col min="2553" max="2553" width="13" bestFit="1" customWidth="1"/>
    <col min="2554" max="2554" width="9.265625" bestFit="1" customWidth="1"/>
    <col min="2555" max="2555" width="9.86328125" bestFit="1" customWidth="1"/>
    <col min="2556" max="2557" width="15.1328125" bestFit="1" customWidth="1"/>
    <col min="2558" max="2558" width="9.73046875" bestFit="1" customWidth="1"/>
    <col min="2559" max="2559" width="15.59765625" bestFit="1" customWidth="1"/>
    <col min="2560" max="2560" width="6.1328125" bestFit="1" customWidth="1"/>
    <col min="2561" max="2561" width="12.3984375" bestFit="1" customWidth="1"/>
    <col min="2562" max="2562" width="8.59765625" bestFit="1" customWidth="1"/>
    <col min="2563" max="2563" width="8.1328125" bestFit="1" customWidth="1"/>
    <col min="2564" max="2564" width="13" bestFit="1" customWidth="1"/>
    <col min="2565" max="2565" width="10.3984375" bestFit="1" customWidth="1"/>
    <col min="2566" max="2566" width="10.73046875" bestFit="1" customWidth="1"/>
    <col min="2567" max="2567" width="10.3984375" bestFit="1" customWidth="1"/>
    <col min="2568" max="2568" width="8.86328125" bestFit="1" customWidth="1"/>
    <col min="2569" max="2569" width="9.86328125" bestFit="1" customWidth="1"/>
    <col min="2570" max="2570" width="14.59765625" bestFit="1" customWidth="1"/>
    <col min="2571" max="2571" width="10.73046875" bestFit="1" customWidth="1"/>
    <col min="2572" max="2572" width="9.265625" bestFit="1" customWidth="1"/>
    <col min="2573" max="2573" width="9" bestFit="1" customWidth="1"/>
    <col min="2574" max="2574" width="6.1328125" bestFit="1" customWidth="1"/>
    <col min="2575" max="2575" width="12" bestFit="1" customWidth="1"/>
    <col min="2576" max="2576" width="5.59765625" bestFit="1" customWidth="1"/>
    <col min="2577" max="2577" width="5.3984375" bestFit="1" customWidth="1"/>
    <col min="2578" max="2578" width="7.73046875" bestFit="1" customWidth="1"/>
    <col min="2579" max="2579" width="6.1328125" bestFit="1" customWidth="1"/>
    <col min="2580" max="2580" width="11.86328125" bestFit="1" customWidth="1"/>
    <col min="2581" max="2581" width="10.86328125" bestFit="1" customWidth="1"/>
    <col min="2582" max="2582" width="5.86328125" bestFit="1" customWidth="1"/>
    <col min="2583" max="2583" width="7.73046875" bestFit="1" customWidth="1"/>
    <col min="2584" max="2584" width="9.86328125" bestFit="1" customWidth="1"/>
    <col min="2585" max="2585" width="9.73046875" bestFit="1" customWidth="1"/>
    <col min="2586" max="2586" width="13.59765625" bestFit="1" customWidth="1"/>
    <col min="2587" max="2587" width="15" bestFit="1" customWidth="1"/>
    <col min="2588" max="2588" width="15.1328125" bestFit="1" customWidth="1"/>
    <col min="2589" max="2589" width="8.1328125" bestFit="1" customWidth="1"/>
    <col min="2590" max="2590" width="12.1328125" bestFit="1" customWidth="1"/>
    <col min="2591" max="2591" width="13.73046875" bestFit="1" customWidth="1"/>
    <col min="2592" max="2592" width="11.86328125" bestFit="1" customWidth="1"/>
    <col min="2593" max="2593" width="8.3984375" bestFit="1" customWidth="1"/>
    <col min="2594" max="2594" width="10.1328125" bestFit="1" customWidth="1"/>
    <col min="2595" max="2595" width="8" bestFit="1" customWidth="1"/>
    <col min="2596" max="2596" width="8.73046875" bestFit="1" customWidth="1"/>
    <col min="2597" max="2597" width="14" bestFit="1" customWidth="1"/>
    <col min="2598" max="2598" width="9.3984375" bestFit="1" customWidth="1"/>
    <col min="2599" max="2599" width="8" bestFit="1" customWidth="1"/>
    <col min="2600" max="2600" width="13.59765625" bestFit="1" customWidth="1"/>
    <col min="2601" max="2601" width="5" bestFit="1" customWidth="1"/>
    <col min="2602" max="2602" width="9.265625" bestFit="1" customWidth="1"/>
    <col min="2603" max="2603" width="10.265625" bestFit="1" customWidth="1"/>
    <col min="2604" max="2604" width="10" bestFit="1" customWidth="1"/>
    <col min="2605" max="2606" width="8.265625" bestFit="1" customWidth="1"/>
    <col min="2607" max="2607" width="7.73046875" bestFit="1" customWidth="1"/>
    <col min="2608" max="2608" width="8.86328125" bestFit="1" customWidth="1"/>
    <col min="2609" max="2609" width="5.86328125" bestFit="1" customWidth="1"/>
    <col min="2610" max="2610" width="9.1328125" bestFit="1" customWidth="1"/>
    <col min="2611" max="2611" width="6.3984375" bestFit="1" customWidth="1"/>
    <col min="2612" max="2612" width="7.3984375" bestFit="1" customWidth="1"/>
    <col min="2613" max="2613" width="6.3984375" bestFit="1" customWidth="1"/>
    <col min="2614" max="2614" width="10.265625" bestFit="1" customWidth="1"/>
    <col min="2615" max="2615" width="9.59765625" bestFit="1" customWidth="1"/>
    <col min="2616" max="2616" width="8.1328125" bestFit="1" customWidth="1"/>
    <col min="2617" max="2617" width="9.59765625" bestFit="1" customWidth="1"/>
    <col min="2618" max="2618" width="10.86328125" bestFit="1" customWidth="1"/>
    <col min="2619" max="2619" width="11.86328125" bestFit="1" customWidth="1"/>
    <col min="2620" max="2620" width="11.1328125" bestFit="1" customWidth="1"/>
    <col min="2621" max="2621" width="8.3984375" bestFit="1" customWidth="1"/>
    <col min="2622" max="2622" width="9.1328125" bestFit="1" customWidth="1"/>
    <col min="2623" max="2623" width="7" bestFit="1" customWidth="1"/>
    <col min="2624" max="2624" width="6.265625" bestFit="1" customWidth="1"/>
    <col min="2625" max="2625" width="11.73046875" bestFit="1" customWidth="1"/>
    <col min="2626" max="2626" width="6.265625" bestFit="1" customWidth="1"/>
    <col min="2627" max="2627" width="6" bestFit="1" customWidth="1"/>
    <col min="2628" max="2628" width="9.73046875" bestFit="1" customWidth="1"/>
    <col min="2629" max="2629" width="7.3984375" bestFit="1" customWidth="1"/>
    <col min="2630" max="2630" width="8" bestFit="1" customWidth="1"/>
    <col min="2631" max="2631" width="13.3984375" bestFit="1" customWidth="1"/>
    <col min="2632" max="2632" width="9.1328125" bestFit="1" customWidth="1"/>
    <col min="2633" max="2633" width="9.59765625" bestFit="1" customWidth="1"/>
    <col min="2634" max="2634" width="11.3984375" bestFit="1" customWidth="1"/>
    <col min="2635" max="2635" width="8.86328125" bestFit="1" customWidth="1"/>
    <col min="2636" max="2636" width="7" bestFit="1" customWidth="1"/>
    <col min="2637" max="2637" width="11.1328125" bestFit="1" customWidth="1"/>
    <col min="2638" max="2638" width="16" bestFit="1" customWidth="1"/>
    <col min="2639" max="2639" width="8" bestFit="1" customWidth="1"/>
    <col min="2640" max="2640" width="13.59765625" bestFit="1" customWidth="1"/>
    <col min="2641" max="2641" width="6.59765625" bestFit="1" customWidth="1"/>
    <col min="2642" max="2642" width="13.265625" bestFit="1" customWidth="1"/>
    <col min="2643" max="2643" width="11.86328125" bestFit="1" customWidth="1"/>
    <col min="2644" max="2644" width="17.3984375" bestFit="1" customWidth="1"/>
    <col min="2645" max="2645" width="6.265625" bestFit="1" customWidth="1"/>
    <col min="2646" max="2646" width="10.3984375" bestFit="1" customWidth="1"/>
    <col min="2647" max="2647" width="8.73046875" bestFit="1" customWidth="1"/>
    <col min="2648" max="2648" width="6.265625" bestFit="1" customWidth="1"/>
    <col min="2649" max="2649" width="9.3984375" bestFit="1" customWidth="1"/>
    <col min="2651" max="2651" width="12.1328125" bestFit="1" customWidth="1"/>
    <col min="2652" max="2652" width="16" bestFit="1" customWidth="1"/>
    <col min="2653" max="2653" width="7.1328125" bestFit="1" customWidth="1"/>
    <col min="2654" max="2654" width="11.73046875" bestFit="1" customWidth="1"/>
    <col min="2655" max="2655" width="5.59765625" bestFit="1" customWidth="1"/>
    <col min="2656" max="2656" width="6.73046875" bestFit="1" customWidth="1"/>
    <col min="2657" max="2657" width="8.59765625" bestFit="1" customWidth="1"/>
    <col min="2658" max="2658" width="8.1328125" bestFit="1" customWidth="1"/>
    <col min="2659" max="2659" width="10.3984375" bestFit="1" customWidth="1"/>
    <col min="2660" max="2660" width="8.73046875" bestFit="1" customWidth="1"/>
    <col min="2661" max="2661" width="15.3984375" bestFit="1" customWidth="1"/>
    <col min="2662" max="2662" width="8.73046875" bestFit="1" customWidth="1"/>
    <col min="2663" max="2663" width="9.59765625" bestFit="1" customWidth="1"/>
    <col min="2664" max="2664" width="10.86328125" bestFit="1" customWidth="1"/>
    <col min="2665" max="2665" width="11.3984375" bestFit="1" customWidth="1"/>
    <col min="2666" max="2666" width="8.265625" bestFit="1" customWidth="1"/>
    <col min="2667" max="2667" width="9.265625" bestFit="1" customWidth="1"/>
    <col min="2668" max="2668" width="6.86328125" bestFit="1" customWidth="1"/>
    <col min="2669" max="2669" width="9.265625" bestFit="1" customWidth="1"/>
    <col min="2670" max="2670" width="8.265625" bestFit="1" customWidth="1"/>
    <col min="2671" max="2671" width="9" bestFit="1" customWidth="1"/>
    <col min="2672" max="2672" width="14.265625" bestFit="1" customWidth="1"/>
    <col min="2673" max="2673" width="13" bestFit="1" customWidth="1"/>
    <col min="2674" max="2674" width="11.86328125" bestFit="1" customWidth="1"/>
    <col min="2675" max="2675" width="9.1328125" bestFit="1" customWidth="1"/>
    <col min="2676" max="2677" width="8" bestFit="1" customWidth="1"/>
    <col min="2678" max="2678" width="12.73046875" bestFit="1" customWidth="1"/>
    <col min="2679" max="2679" width="9.3984375" bestFit="1" customWidth="1"/>
    <col min="2680" max="2680" width="5.3984375" bestFit="1" customWidth="1"/>
    <col min="2681" max="2681" width="10.1328125" bestFit="1" customWidth="1"/>
    <col min="2682" max="2682" width="7.73046875" bestFit="1" customWidth="1"/>
    <col min="2683" max="2683" width="12.3984375" bestFit="1" customWidth="1"/>
    <col min="2684" max="2684" width="8" bestFit="1" customWidth="1"/>
    <col min="2685" max="2685" width="8.59765625" bestFit="1" customWidth="1"/>
    <col min="2686" max="2686" width="6.1328125" bestFit="1" customWidth="1"/>
    <col min="2687" max="2687" width="6.265625" bestFit="1" customWidth="1"/>
    <col min="2688" max="2688" width="11.1328125" bestFit="1" customWidth="1"/>
    <col min="2689" max="2689" width="7" bestFit="1" customWidth="1"/>
    <col min="2690" max="2690" width="11.265625" bestFit="1" customWidth="1"/>
    <col min="2691" max="2691" width="6.265625" bestFit="1" customWidth="1"/>
    <col min="2692" max="2692" width="9" bestFit="1" customWidth="1"/>
    <col min="2693" max="2693" width="5.86328125" bestFit="1" customWidth="1"/>
    <col min="2694" max="2694" width="8.265625" bestFit="1" customWidth="1"/>
    <col min="2695" max="2695" width="8.86328125" bestFit="1" customWidth="1"/>
    <col min="2696" max="2696" width="13.59765625" bestFit="1" customWidth="1"/>
    <col min="2697" max="2697" width="7.73046875" bestFit="1" customWidth="1"/>
    <col min="2698" max="2698" width="11" bestFit="1" customWidth="1"/>
    <col min="2699" max="2699" width="7.86328125" bestFit="1" customWidth="1"/>
    <col min="2700" max="2700" width="8" bestFit="1" customWidth="1"/>
    <col min="2701" max="2701" width="8.59765625" bestFit="1" customWidth="1"/>
    <col min="2702" max="2702" width="7.265625" bestFit="1" customWidth="1"/>
    <col min="2703" max="2703" width="8.59765625" bestFit="1" customWidth="1"/>
    <col min="2704" max="2704" width="10.265625" bestFit="1" customWidth="1"/>
    <col min="2705" max="2705" width="5.3984375" bestFit="1" customWidth="1"/>
    <col min="2706" max="2706" width="10.59765625" bestFit="1" customWidth="1"/>
    <col min="2707" max="2707" width="8" bestFit="1" customWidth="1"/>
    <col min="2708" max="2708" width="6.265625" bestFit="1" customWidth="1"/>
    <col min="2709" max="2709" width="11" bestFit="1" customWidth="1"/>
    <col min="2710" max="2710" width="8.3984375" bestFit="1" customWidth="1"/>
    <col min="2711" max="2711" width="8.59765625" bestFit="1" customWidth="1"/>
    <col min="2712" max="2712" width="10" bestFit="1" customWidth="1"/>
    <col min="2713" max="2713" width="7.3984375" bestFit="1" customWidth="1"/>
    <col min="2714" max="2714" width="6.1328125" bestFit="1" customWidth="1"/>
    <col min="2715" max="2715" width="11" bestFit="1" customWidth="1"/>
    <col min="2716" max="2716" width="8" bestFit="1" customWidth="1"/>
    <col min="2717" max="2717" width="7.86328125" bestFit="1" customWidth="1"/>
    <col min="2718" max="2718" width="9.73046875" bestFit="1" customWidth="1"/>
    <col min="2719" max="2719" width="9.265625" bestFit="1" customWidth="1"/>
    <col min="2720" max="2720" width="7.3984375" bestFit="1" customWidth="1"/>
    <col min="2721" max="2721" width="6.1328125" bestFit="1" customWidth="1"/>
    <col min="2722" max="2722" width="9.73046875" bestFit="1" customWidth="1"/>
    <col min="2723" max="2723" width="15" bestFit="1" customWidth="1"/>
    <col min="2724" max="2724" width="9" bestFit="1" customWidth="1"/>
    <col min="2725" max="2725" width="7.265625" bestFit="1" customWidth="1"/>
    <col min="2726" max="2726" width="12.86328125" bestFit="1" customWidth="1"/>
    <col min="2727" max="2727" width="7.86328125" bestFit="1" customWidth="1"/>
    <col min="2728" max="2728" width="11.59765625" bestFit="1" customWidth="1"/>
    <col min="2729" max="2729" width="13.1328125" bestFit="1" customWidth="1"/>
    <col min="2730" max="2730" width="8.1328125" bestFit="1" customWidth="1"/>
    <col min="2731" max="2731" width="8.3984375" bestFit="1" customWidth="1"/>
    <col min="2732" max="2732" width="12.1328125" bestFit="1" customWidth="1"/>
    <col min="2733" max="2733" width="13.73046875" bestFit="1" customWidth="1"/>
    <col min="2734" max="2734" width="9.73046875" bestFit="1" customWidth="1"/>
    <col min="2735" max="2735" width="7.59765625" bestFit="1" customWidth="1"/>
    <col min="2736" max="2736" width="7.265625" bestFit="1" customWidth="1"/>
    <col min="2737" max="2737" width="14.1328125" bestFit="1" customWidth="1"/>
    <col min="2738" max="2738" width="7.73046875" bestFit="1" customWidth="1"/>
    <col min="2739" max="2739" width="8.73046875" bestFit="1" customWidth="1"/>
    <col min="2740" max="2740" width="12.3984375" bestFit="1" customWidth="1"/>
    <col min="2741" max="2741" width="6" bestFit="1" customWidth="1"/>
    <col min="2742" max="2742" width="10.73046875" bestFit="1" customWidth="1"/>
    <col min="2743" max="2743" width="4.86328125" bestFit="1" customWidth="1"/>
    <col min="2744" max="2744" width="8.86328125" bestFit="1" customWidth="1"/>
    <col min="2745" max="2745" width="6.59765625" bestFit="1" customWidth="1"/>
    <col min="2746" max="2746" width="7.3984375" bestFit="1" customWidth="1"/>
    <col min="2747" max="2747" width="6.73046875" bestFit="1" customWidth="1"/>
    <col min="2748" max="2748" width="10.265625" bestFit="1" customWidth="1"/>
    <col min="2749" max="2749" width="9.265625" bestFit="1" customWidth="1"/>
    <col min="2750" max="2750" width="6" bestFit="1" customWidth="1"/>
    <col min="2751" max="2751" width="5.73046875" bestFit="1" customWidth="1"/>
    <col min="2752" max="2752" width="9.59765625" bestFit="1" customWidth="1"/>
    <col min="2753" max="2753" width="12" bestFit="1" customWidth="1"/>
    <col min="2754" max="2754" width="5.265625" bestFit="1" customWidth="1"/>
    <col min="2755" max="2755" width="5.3984375" bestFit="1" customWidth="1"/>
    <col min="2756" max="2756" width="5.73046875" bestFit="1" customWidth="1"/>
    <col min="2757" max="2757" width="6.73046875" bestFit="1" customWidth="1"/>
    <col min="2758" max="2758" width="5" bestFit="1" customWidth="1"/>
    <col min="2759" max="2759" width="6.1328125" bestFit="1" customWidth="1"/>
    <col min="2760" max="2760" width="11.3984375" bestFit="1" customWidth="1"/>
    <col min="2761" max="2761" width="6.73046875" bestFit="1" customWidth="1"/>
    <col min="2762" max="2762" width="12" bestFit="1" customWidth="1"/>
    <col min="2764" max="2764" width="14.3984375" bestFit="1" customWidth="1"/>
    <col min="2765" max="2765" width="9.59765625" bestFit="1" customWidth="1"/>
    <col min="2766" max="2766" width="13.3984375" bestFit="1" customWidth="1"/>
    <col min="2767" max="2767" width="5.86328125" bestFit="1" customWidth="1"/>
    <col min="2768" max="2768" width="12" bestFit="1" customWidth="1"/>
    <col min="2769" max="2769" width="5.3984375" bestFit="1" customWidth="1"/>
    <col min="2770" max="2770" width="8.3984375" bestFit="1" customWidth="1"/>
    <col min="2771" max="2771" width="6.1328125" bestFit="1" customWidth="1"/>
    <col min="2772" max="2772" width="10" bestFit="1" customWidth="1"/>
    <col min="2773" max="2773" width="6.59765625" bestFit="1" customWidth="1"/>
    <col min="2774" max="2774" width="6.73046875" bestFit="1" customWidth="1"/>
    <col min="2775" max="2775" width="9.3984375" bestFit="1" customWidth="1"/>
    <col min="2776" max="2776" width="11.265625" bestFit="1" customWidth="1"/>
    <col min="2777" max="2777" width="18" bestFit="1" customWidth="1"/>
    <col min="2778" max="2778" width="16.3984375" bestFit="1" customWidth="1"/>
    <col min="2779" max="2779" width="9.73046875" bestFit="1" customWidth="1"/>
    <col min="2780" max="2780" width="11.3984375" bestFit="1" customWidth="1"/>
    <col min="2781" max="2781" width="16.1328125" bestFit="1" customWidth="1"/>
    <col min="2782" max="2782" width="9" bestFit="1" customWidth="1"/>
    <col min="2783" max="2783" width="6.3984375" bestFit="1" customWidth="1"/>
    <col min="2784" max="2784" width="12.59765625" bestFit="1" customWidth="1"/>
    <col min="2785" max="2785" width="5.59765625" bestFit="1" customWidth="1"/>
    <col min="2786" max="2786" width="7.86328125" bestFit="1" customWidth="1"/>
    <col min="2787" max="2787" width="5.59765625" bestFit="1" customWidth="1"/>
    <col min="2788" max="2788" width="7.3984375" bestFit="1" customWidth="1"/>
    <col min="2789" max="2789" width="9.1328125" bestFit="1" customWidth="1"/>
    <col min="2790" max="2790" width="8" bestFit="1" customWidth="1"/>
    <col min="2791" max="2791" width="13.265625" bestFit="1" customWidth="1"/>
    <col min="2792" max="2792" width="6.86328125" bestFit="1" customWidth="1"/>
    <col min="2793" max="2793" width="6.3984375" bestFit="1" customWidth="1"/>
    <col min="2794" max="2794" width="11.73046875" bestFit="1" customWidth="1"/>
    <col min="2795" max="2795" width="12.265625" bestFit="1" customWidth="1"/>
    <col min="2796" max="2796" width="8.86328125" bestFit="1" customWidth="1"/>
    <col min="2797" max="2797" width="7" bestFit="1" customWidth="1"/>
    <col min="2798" max="2798" width="10.59765625" bestFit="1" customWidth="1"/>
    <col min="2799" max="2799" width="7.73046875" bestFit="1" customWidth="1"/>
    <col min="2800" max="2800" width="13" bestFit="1" customWidth="1"/>
    <col min="2801" max="2801" width="6.59765625" bestFit="1" customWidth="1"/>
    <col min="2802" max="2802" width="5.73046875" bestFit="1" customWidth="1"/>
    <col min="2803" max="2803" width="9.59765625" bestFit="1" customWidth="1"/>
    <col min="2804" max="2804" width="6.73046875" bestFit="1" customWidth="1"/>
    <col min="2805" max="2805" width="8.3984375" bestFit="1" customWidth="1"/>
    <col min="2806" max="2806" width="11.86328125" bestFit="1" customWidth="1"/>
    <col min="2807" max="2807" width="10.3984375" bestFit="1" customWidth="1"/>
    <col min="2808" max="2808" width="7.59765625" bestFit="1" customWidth="1"/>
    <col min="2809" max="2809" width="4.73046875" bestFit="1" customWidth="1"/>
    <col min="2810" max="2810" width="8" bestFit="1" customWidth="1"/>
    <col min="2811" max="2811" width="7.86328125" bestFit="1" customWidth="1"/>
    <col min="2812" max="2813" width="7.3984375" bestFit="1" customWidth="1"/>
    <col min="2814" max="2814" width="7.73046875" bestFit="1" customWidth="1"/>
    <col min="2815" max="2815" width="11.59765625" bestFit="1" customWidth="1"/>
    <col min="2816" max="2816" width="9.86328125" bestFit="1" customWidth="1"/>
    <col min="2817" max="2817" width="15" bestFit="1" customWidth="1"/>
    <col min="2818" max="2818" width="15.1328125" bestFit="1" customWidth="1"/>
    <col min="2819" max="2819" width="7" bestFit="1" customWidth="1"/>
    <col min="2820" max="2820" width="10.59765625" bestFit="1" customWidth="1"/>
    <col min="2821" max="2821" width="11.86328125" bestFit="1" customWidth="1"/>
    <col min="2822" max="2822" width="7.86328125" bestFit="1" customWidth="1"/>
    <col min="2823" max="2823" width="11.73046875" bestFit="1" customWidth="1"/>
    <col min="2824" max="2824" width="6.265625" bestFit="1" customWidth="1"/>
    <col min="2825" max="2825" width="8.86328125" bestFit="1" customWidth="1"/>
    <col min="2826" max="2826" width="9.59765625" bestFit="1" customWidth="1"/>
    <col min="2827" max="2827" width="6.3984375" bestFit="1" customWidth="1"/>
    <col min="2828" max="2828" width="7.1328125" bestFit="1" customWidth="1"/>
    <col min="2829" max="2829" width="5.86328125" bestFit="1" customWidth="1"/>
    <col min="2830" max="2830" width="8" bestFit="1" customWidth="1"/>
    <col min="2831" max="2831" width="6.265625" bestFit="1" customWidth="1"/>
    <col min="2832" max="2832" width="7.3984375" bestFit="1" customWidth="1"/>
    <col min="2833" max="2833" width="15.1328125" bestFit="1" customWidth="1"/>
    <col min="2834" max="2834" width="8.3984375" bestFit="1" customWidth="1"/>
    <col min="2835" max="2835" width="11" bestFit="1" customWidth="1"/>
    <col min="2836" max="2836" width="10.86328125" bestFit="1" customWidth="1"/>
    <col min="2837" max="2838" width="12.265625" bestFit="1" customWidth="1"/>
    <col min="2839" max="2839" width="10.59765625" bestFit="1" customWidth="1"/>
    <col min="2840" max="2840" width="8.59765625" bestFit="1" customWidth="1"/>
    <col min="2841" max="2841" width="9.1328125" bestFit="1" customWidth="1"/>
    <col min="2842" max="2843" width="11" bestFit="1" customWidth="1"/>
    <col min="2844" max="2844" width="10.1328125" bestFit="1" customWidth="1"/>
    <col min="2845" max="2845" width="17.59765625" bestFit="1" customWidth="1"/>
    <col min="2846" max="2846" width="15.59765625" bestFit="1" customWidth="1"/>
    <col min="2847" max="2847" width="6.86328125" bestFit="1" customWidth="1"/>
    <col min="2848" max="2848" width="9.1328125" bestFit="1" customWidth="1"/>
    <col min="2849" max="2849" width="7.73046875" bestFit="1" customWidth="1"/>
    <col min="2850" max="2850" width="8.265625" bestFit="1" customWidth="1"/>
    <col min="2851" max="2851" width="13.59765625" bestFit="1" customWidth="1"/>
    <col min="2852" max="2852" width="8" bestFit="1" customWidth="1"/>
    <col min="2853" max="2853" width="14" bestFit="1" customWidth="1"/>
    <col min="2854" max="2854" width="11" bestFit="1" customWidth="1"/>
    <col min="2855" max="2855" width="9.73046875" bestFit="1" customWidth="1"/>
    <col min="2856" max="2857" width="7" bestFit="1" customWidth="1"/>
    <col min="2858" max="2858" width="7.3984375" bestFit="1" customWidth="1"/>
    <col min="2859" max="2859" width="9.3984375" bestFit="1" customWidth="1"/>
    <col min="2860" max="2860" width="6.1328125" bestFit="1" customWidth="1"/>
    <col min="2861" max="2861" width="7.86328125" bestFit="1" customWidth="1"/>
    <col min="2862" max="2862" width="10.73046875" bestFit="1" customWidth="1"/>
    <col min="2863" max="2863" width="13" bestFit="1" customWidth="1"/>
    <col min="2864" max="2864" width="8.1328125" bestFit="1" customWidth="1"/>
    <col min="2865" max="2865" width="13.3984375" bestFit="1" customWidth="1"/>
    <col min="2866" max="2866" width="12.86328125" bestFit="1" customWidth="1"/>
    <col min="2867" max="2867" width="6.59765625" bestFit="1" customWidth="1"/>
    <col min="2868" max="2868" width="10.3984375" bestFit="1" customWidth="1"/>
    <col min="2869" max="2869" width="15.73046875" bestFit="1" customWidth="1"/>
    <col min="2870" max="2870" width="11.3984375" bestFit="1" customWidth="1"/>
    <col min="2871" max="2871" width="9.265625" bestFit="1" customWidth="1"/>
    <col min="2872" max="2872" width="11.86328125" bestFit="1" customWidth="1"/>
    <col min="2873" max="2873" width="10.3984375" bestFit="1" customWidth="1"/>
    <col min="2874" max="2874" width="11.265625" bestFit="1" customWidth="1"/>
    <col min="2875" max="2875" width="7.265625" bestFit="1" customWidth="1"/>
    <col min="2876" max="2876" width="12" bestFit="1" customWidth="1"/>
    <col min="2877" max="2877" width="7.59765625" bestFit="1" customWidth="1"/>
    <col min="2878" max="2879" width="7.86328125" bestFit="1" customWidth="1"/>
    <col min="2880" max="2880" width="8.59765625" bestFit="1" customWidth="1"/>
    <col min="2881" max="2881" width="13.265625" bestFit="1" customWidth="1"/>
    <col min="2882" max="2882" width="10" bestFit="1" customWidth="1"/>
    <col min="2883" max="2883" width="9.1328125" bestFit="1" customWidth="1"/>
    <col min="2884" max="2884" width="13.1328125" bestFit="1" customWidth="1"/>
    <col min="2885" max="2885" width="12.1328125" bestFit="1" customWidth="1"/>
    <col min="2886" max="2886" width="10.1328125" bestFit="1" customWidth="1"/>
    <col min="2887" max="2887" width="8.265625" bestFit="1" customWidth="1"/>
    <col min="2888" max="2888" width="9.86328125" bestFit="1" customWidth="1"/>
    <col min="2889" max="2889" width="8.3984375" bestFit="1" customWidth="1"/>
    <col min="2890" max="2890" width="13.73046875" bestFit="1" customWidth="1"/>
    <col min="2891" max="2891" width="13" bestFit="1" customWidth="1"/>
    <col min="2892" max="2892" width="10.73046875" bestFit="1" customWidth="1"/>
    <col min="2893" max="2893" width="11.265625" bestFit="1" customWidth="1"/>
    <col min="2894" max="2894" width="9.59765625" bestFit="1" customWidth="1"/>
    <col min="2895" max="2895" width="10.3984375" bestFit="1" customWidth="1"/>
    <col min="2896" max="2896" width="9.265625" bestFit="1" customWidth="1"/>
    <col min="2897" max="2897" width="10.1328125" bestFit="1" customWidth="1"/>
    <col min="2898" max="2898" width="16.73046875" bestFit="1" customWidth="1"/>
    <col min="2899" max="2899" width="7.1328125" bestFit="1" customWidth="1"/>
    <col min="2900" max="2900" width="11.73046875" bestFit="1" customWidth="1"/>
    <col min="2901" max="2901" width="15.73046875" bestFit="1" customWidth="1"/>
    <col min="2902" max="2902" width="7.86328125" bestFit="1" customWidth="1"/>
    <col min="2903" max="2903" width="12.59765625" bestFit="1" customWidth="1"/>
    <col min="2904" max="2904" width="11.1328125" bestFit="1" customWidth="1"/>
    <col min="2905" max="2905" width="18.59765625" bestFit="1" customWidth="1"/>
    <col min="2906" max="2906" width="12.265625" bestFit="1" customWidth="1"/>
    <col min="2907" max="2907" width="11.73046875" bestFit="1" customWidth="1"/>
    <col min="2908" max="2908" width="7.59765625" bestFit="1" customWidth="1"/>
    <col min="2909" max="2909" width="7.265625" bestFit="1" customWidth="1"/>
    <col min="2910" max="2910" width="6" bestFit="1" customWidth="1"/>
    <col min="2911" max="2911" width="8.59765625" bestFit="1" customWidth="1"/>
    <col min="2912" max="2912" width="14.3984375" bestFit="1" customWidth="1"/>
    <col min="2913" max="2913" width="9.3984375" bestFit="1" customWidth="1"/>
    <col min="2914" max="2914" width="7.1328125" bestFit="1" customWidth="1"/>
    <col min="2915" max="2915" width="10.3984375" bestFit="1" customWidth="1"/>
    <col min="2916" max="2916" width="16.265625" bestFit="1" customWidth="1"/>
    <col min="2917" max="2917" width="11.1328125" bestFit="1" customWidth="1"/>
    <col min="2918" max="2918" width="10.1328125" bestFit="1" customWidth="1"/>
    <col min="2919" max="2919" width="13.1328125" bestFit="1" customWidth="1"/>
    <col min="2920" max="2920" width="8" bestFit="1" customWidth="1"/>
    <col min="2921" max="2921" width="7.1328125" bestFit="1" customWidth="1"/>
    <col min="2922" max="2922" width="8.265625" bestFit="1" customWidth="1"/>
    <col min="2923" max="2923" width="13.73046875" bestFit="1" customWidth="1"/>
    <col min="2924" max="2924" width="8.86328125" bestFit="1" customWidth="1"/>
    <col min="2925" max="2925" width="8.1328125" bestFit="1" customWidth="1"/>
    <col min="2926" max="2926" width="12" bestFit="1" customWidth="1"/>
    <col min="2927" max="2927" width="10" bestFit="1" customWidth="1"/>
    <col min="2928" max="2928" width="13.265625" bestFit="1" customWidth="1"/>
    <col min="2929" max="2929" width="14.59765625" bestFit="1" customWidth="1"/>
    <col min="2930" max="2930" width="13.265625" bestFit="1" customWidth="1"/>
    <col min="2931" max="2931" width="8.73046875" bestFit="1" customWidth="1"/>
    <col min="2932" max="2932" width="7" bestFit="1" customWidth="1"/>
    <col min="2933" max="2933" width="13" bestFit="1" customWidth="1"/>
    <col min="2934" max="2934" width="9.1328125" bestFit="1" customWidth="1"/>
    <col min="2935" max="2935" width="13.265625" bestFit="1" customWidth="1"/>
    <col min="2936" max="2936" width="10.1328125" bestFit="1" customWidth="1"/>
    <col min="2937" max="2937" width="10.59765625" bestFit="1" customWidth="1"/>
    <col min="2938" max="2938" width="11.59765625" bestFit="1" customWidth="1"/>
    <col min="2939" max="2939" width="8.73046875" bestFit="1" customWidth="1"/>
    <col min="2940" max="2940" width="6.59765625" bestFit="1" customWidth="1"/>
    <col min="2941" max="2941" width="9.59765625" bestFit="1" customWidth="1"/>
    <col min="2942" max="2942" width="15.73046875" bestFit="1" customWidth="1"/>
    <col min="2943" max="2943" width="8.59765625" bestFit="1" customWidth="1"/>
    <col min="2944" max="2944" width="8.265625" bestFit="1" customWidth="1"/>
    <col min="2945" max="2945" width="9" bestFit="1" customWidth="1"/>
    <col min="2946" max="2946" width="10.59765625" bestFit="1" customWidth="1"/>
    <col min="2947" max="2947" width="9.59765625" bestFit="1" customWidth="1"/>
    <col min="2948" max="2948" width="7.86328125" bestFit="1" customWidth="1"/>
    <col min="2949" max="2949" width="8.86328125" bestFit="1" customWidth="1"/>
    <col min="2950" max="2950" width="12.59765625" bestFit="1" customWidth="1"/>
    <col min="2951" max="2951" width="14.1328125" bestFit="1" customWidth="1"/>
    <col min="2952" max="2952" width="6.265625" bestFit="1" customWidth="1"/>
    <col min="2953" max="2953" width="7.86328125" bestFit="1" customWidth="1"/>
    <col min="2954" max="2954" width="5.3984375" bestFit="1" customWidth="1"/>
    <col min="2955" max="2955" width="13.59765625" bestFit="1" customWidth="1"/>
    <col min="2956" max="2956" width="9.1328125" bestFit="1" customWidth="1"/>
    <col min="2957" max="2957" width="6" bestFit="1" customWidth="1"/>
    <col min="2958" max="2958" width="8.265625" bestFit="1" customWidth="1"/>
    <col min="2959" max="2959" width="8.59765625" bestFit="1" customWidth="1"/>
    <col min="2960" max="2960" width="7.3984375" bestFit="1" customWidth="1"/>
    <col min="2961" max="2961" width="12.73046875" bestFit="1" customWidth="1"/>
    <col min="2962" max="2962" width="11" bestFit="1" customWidth="1"/>
    <col min="2963" max="2963" width="14.59765625" bestFit="1" customWidth="1"/>
    <col min="2964" max="2964" width="12" bestFit="1" customWidth="1"/>
    <col min="2965" max="2965" width="17.265625" bestFit="1" customWidth="1"/>
    <col min="2966" max="2966" width="11.73046875" bestFit="1" customWidth="1"/>
    <col min="2967" max="2967" width="11.3984375" bestFit="1" customWidth="1"/>
    <col min="2968" max="2968" width="9.73046875" bestFit="1" customWidth="1"/>
    <col min="2969" max="2969" width="7" bestFit="1" customWidth="1"/>
    <col min="2970" max="2970" width="12.1328125" bestFit="1" customWidth="1"/>
    <col min="2971" max="2971" width="10.1328125" bestFit="1" customWidth="1"/>
    <col min="2972" max="2972" width="17.59765625" bestFit="1" customWidth="1"/>
    <col min="2973" max="2973" width="17" bestFit="1" customWidth="1"/>
    <col min="2974" max="2974" width="10" bestFit="1" customWidth="1"/>
    <col min="2975" max="2975" width="15.3984375" bestFit="1" customWidth="1"/>
    <col min="2976" max="2976" width="11" bestFit="1" customWidth="1"/>
    <col min="2977" max="2977" width="7.59765625" bestFit="1" customWidth="1"/>
    <col min="2978" max="2978" width="11.59765625" bestFit="1" customWidth="1"/>
    <col min="2979" max="2979" width="7.3984375" bestFit="1" customWidth="1"/>
    <col min="2980" max="2980" width="8.265625" bestFit="1" customWidth="1"/>
    <col min="2981" max="2981" width="8.1328125" bestFit="1" customWidth="1"/>
    <col min="2982" max="2982" width="11.265625" bestFit="1" customWidth="1"/>
    <col min="2983" max="2983" width="7" bestFit="1" customWidth="1"/>
    <col min="2984" max="2984" width="9.86328125" bestFit="1" customWidth="1"/>
    <col min="2985" max="2985" width="7.86328125" bestFit="1" customWidth="1"/>
    <col min="2986" max="2986" width="11.73046875" bestFit="1" customWidth="1"/>
    <col min="2987" max="2987" width="6.86328125" bestFit="1" customWidth="1"/>
    <col min="2988" max="2988" width="12" bestFit="1" customWidth="1"/>
    <col min="2989" max="2989" width="6.86328125" bestFit="1" customWidth="1"/>
    <col min="2990" max="2990" width="8.73046875" bestFit="1" customWidth="1"/>
    <col min="2991" max="2991" width="7" bestFit="1" customWidth="1"/>
    <col min="2992" max="2992" width="8.59765625" bestFit="1" customWidth="1"/>
    <col min="2993" max="2993" width="15.86328125" bestFit="1" customWidth="1"/>
    <col min="2994" max="2994" width="13.265625" bestFit="1" customWidth="1"/>
    <col min="2995" max="2995" width="6.86328125" bestFit="1" customWidth="1"/>
    <col min="2996" max="2996" width="13" bestFit="1" customWidth="1"/>
    <col min="2997" max="2997" width="10.73046875" bestFit="1" customWidth="1"/>
    <col min="2998" max="2998" width="9.59765625" bestFit="1" customWidth="1"/>
    <col min="2999" max="2999" width="6.3984375" bestFit="1" customWidth="1"/>
    <col min="3000" max="3000" width="10.3984375" bestFit="1" customWidth="1"/>
    <col min="3001" max="3001" width="8.73046875" bestFit="1" customWidth="1"/>
    <col min="3002" max="3003" width="11.86328125" bestFit="1" customWidth="1"/>
    <col min="3004" max="3004" width="9.59765625" bestFit="1" customWidth="1"/>
    <col min="3005" max="3005" width="11.265625" bestFit="1" customWidth="1"/>
    <col min="3006" max="3006" width="7" bestFit="1" customWidth="1"/>
    <col min="3007" max="3007" width="11" bestFit="1" customWidth="1"/>
    <col min="3008" max="3008" width="8.86328125" bestFit="1" customWidth="1"/>
    <col min="3009" max="3009" width="14" bestFit="1" customWidth="1"/>
    <col min="3010" max="3010" width="9.265625" bestFit="1" customWidth="1"/>
    <col min="3012" max="3012" width="9.1328125" bestFit="1" customWidth="1"/>
    <col min="3013" max="3013" width="10.73046875" bestFit="1" customWidth="1"/>
    <col min="3014" max="3014" width="9.59765625" bestFit="1" customWidth="1"/>
    <col min="3015" max="3015" width="11.1328125" bestFit="1" customWidth="1"/>
    <col min="3016" max="3016" width="9" bestFit="1" customWidth="1"/>
    <col min="3017" max="3017" width="14.3984375" bestFit="1" customWidth="1"/>
    <col min="3018" max="3018" width="14.265625" bestFit="1" customWidth="1"/>
    <col min="3019" max="3019" width="10" bestFit="1" customWidth="1"/>
    <col min="3020" max="3020" width="19.59765625" bestFit="1" customWidth="1"/>
    <col min="3021" max="3021" width="14.73046875" bestFit="1" customWidth="1"/>
    <col min="3022" max="3022" width="9" bestFit="1" customWidth="1"/>
    <col min="3023" max="3023" width="9.86328125" bestFit="1" customWidth="1"/>
    <col min="3024" max="3024" width="9" bestFit="1" customWidth="1"/>
    <col min="3025" max="3025" width="10.1328125" bestFit="1" customWidth="1"/>
    <col min="3026" max="3026" width="12.3984375" bestFit="1" customWidth="1"/>
    <col min="3027" max="3027" width="11.3984375" bestFit="1" customWidth="1"/>
    <col min="3028" max="3028" width="10.59765625" bestFit="1" customWidth="1"/>
    <col min="3029" max="3029" width="9.1328125" bestFit="1" customWidth="1"/>
    <col min="3030" max="3030" width="12.265625" bestFit="1" customWidth="1"/>
    <col min="3031" max="3031" width="13.1328125" bestFit="1" customWidth="1"/>
    <col min="3032" max="3032" width="8.265625" bestFit="1" customWidth="1"/>
    <col min="3033" max="3033" width="11.86328125" bestFit="1" customWidth="1"/>
    <col min="3034" max="3034" width="8.86328125" bestFit="1" customWidth="1"/>
    <col min="3035" max="3036" width="14.1328125" bestFit="1" customWidth="1"/>
    <col min="3037" max="3037" width="9.59765625" bestFit="1" customWidth="1"/>
    <col min="3038" max="3038" width="11.59765625" bestFit="1" customWidth="1"/>
    <col min="3039" max="3039" width="8.265625" bestFit="1" customWidth="1"/>
    <col min="3040" max="3040" width="12.265625" bestFit="1" customWidth="1"/>
    <col min="3041" max="3041" width="9.86328125" bestFit="1" customWidth="1"/>
    <col min="3042" max="3042" width="8.86328125" bestFit="1" customWidth="1"/>
    <col min="3043" max="3043" width="6.59765625" bestFit="1" customWidth="1"/>
    <col min="3044" max="3045" width="8.73046875" bestFit="1" customWidth="1"/>
    <col min="3046" max="3046" width="12.73046875" bestFit="1" customWidth="1"/>
    <col min="3047" max="3047" width="16.59765625" bestFit="1" customWidth="1"/>
    <col min="3048" max="3048" width="17.3984375" bestFit="1" customWidth="1"/>
    <col min="3049" max="3049" width="8.73046875" bestFit="1" customWidth="1"/>
    <col min="3050" max="3050" width="10.1328125" bestFit="1" customWidth="1"/>
    <col min="3051" max="3051" width="6.86328125" bestFit="1" customWidth="1"/>
    <col min="3052" max="3052" width="8" bestFit="1" customWidth="1"/>
    <col min="3053" max="3053" width="10.73046875" bestFit="1" customWidth="1"/>
    <col min="3054" max="3054" width="16" bestFit="1" customWidth="1"/>
    <col min="3055" max="3055" width="9.265625" bestFit="1" customWidth="1"/>
    <col min="3056" max="3056" width="14.59765625" bestFit="1" customWidth="1"/>
    <col min="3057" max="3057" width="9" bestFit="1" customWidth="1"/>
    <col min="3058" max="3058" width="9.3984375" bestFit="1" customWidth="1"/>
    <col min="3059" max="3059" width="13.1328125" bestFit="1" customWidth="1"/>
    <col min="3060" max="3060" width="6.3984375" bestFit="1" customWidth="1"/>
    <col min="3061" max="3061" width="10.265625" bestFit="1" customWidth="1"/>
    <col min="3062" max="3062" width="7.265625" bestFit="1" customWidth="1"/>
    <col min="3063" max="3064" width="11" bestFit="1" customWidth="1"/>
    <col min="3065" max="3065" width="12.59765625" bestFit="1" customWidth="1"/>
    <col min="3066" max="3066" width="4.86328125" bestFit="1" customWidth="1"/>
    <col min="3067" max="3067" width="11.1328125" bestFit="1" customWidth="1"/>
    <col min="3068" max="3068" width="8.73046875" bestFit="1" customWidth="1"/>
    <col min="3069" max="3069" width="7.3984375" bestFit="1" customWidth="1"/>
    <col min="3070" max="3070" width="12.73046875" bestFit="1" customWidth="1"/>
    <col min="3071" max="3071" width="5.73046875" bestFit="1" customWidth="1"/>
    <col min="3072" max="3072" width="7.265625" bestFit="1" customWidth="1"/>
    <col min="3073" max="3073" width="8.3984375" bestFit="1" customWidth="1"/>
    <col min="3074" max="3074" width="8.1328125" bestFit="1" customWidth="1"/>
    <col min="3075" max="3075" width="5.3984375" bestFit="1" customWidth="1"/>
    <col min="3076" max="3076" width="7" bestFit="1" customWidth="1"/>
    <col min="3077" max="3077" width="5.86328125" bestFit="1" customWidth="1"/>
    <col min="3078" max="3078" width="7" bestFit="1" customWidth="1"/>
    <col min="3079" max="3079" width="10.86328125" bestFit="1" customWidth="1"/>
    <col min="3080" max="3080" width="7.265625" bestFit="1" customWidth="1"/>
    <col min="3081" max="3081" width="8.3984375" bestFit="1" customWidth="1"/>
    <col min="3082" max="3082" width="9.3984375" bestFit="1" customWidth="1"/>
    <col min="3083" max="3083" width="6.86328125" bestFit="1" customWidth="1"/>
    <col min="3084" max="3084" width="5" bestFit="1" customWidth="1"/>
    <col min="3085" max="3085" width="7.73046875" bestFit="1" customWidth="1"/>
    <col min="3086" max="3086" width="9.1328125" bestFit="1" customWidth="1"/>
    <col min="3087" max="3087" width="12.265625" bestFit="1" customWidth="1"/>
    <col min="3088" max="3088" width="8.73046875" bestFit="1" customWidth="1"/>
    <col min="3089" max="3089" width="8" bestFit="1" customWidth="1"/>
    <col min="3090" max="3090" width="13.265625" bestFit="1" customWidth="1"/>
    <col min="3091" max="3091" width="6.59765625" bestFit="1" customWidth="1"/>
    <col min="3092" max="3092" width="9.1328125" bestFit="1" customWidth="1"/>
    <col min="3093" max="3093" width="8.265625" bestFit="1" customWidth="1"/>
    <col min="3094" max="3094" width="13" bestFit="1" customWidth="1"/>
    <col min="3095" max="3095" width="9.1328125" bestFit="1" customWidth="1"/>
    <col min="3096" max="3096" width="10.3984375" bestFit="1" customWidth="1"/>
    <col min="3097" max="3097" width="15.73046875" bestFit="1" customWidth="1"/>
    <col min="3098" max="3098" width="10.3984375" bestFit="1" customWidth="1"/>
    <col min="3099" max="3099" width="8" bestFit="1" customWidth="1"/>
    <col min="3100" max="3100" width="7.59765625" bestFit="1" customWidth="1"/>
    <col min="3101" max="3101" width="11" bestFit="1" customWidth="1"/>
    <col min="3102" max="3102" width="4.73046875" bestFit="1" customWidth="1"/>
    <col min="3103" max="3103" width="8.265625" bestFit="1" customWidth="1"/>
    <col min="3104" max="3104" width="4.86328125" bestFit="1" customWidth="1"/>
    <col min="3105" max="3105" width="7" bestFit="1" customWidth="1"/>
    <col min="3106" max="3106" width="4.73046875" bestFit="1" customWidth="1"/>
    <col min="3107" max="3107" width="8" bestFit="1" customWidth="1"/>
    <col min="3108" max="3108" width="5.86328125" bestFit="1" customWidth="1"/>
    <col min="3109" max="3109" width="9.73046875" bestFit="1" customWidth="1"/>
    <col min="3110" max="3110" width="13.59765625" bestFit="1" customWidth="1"/>
    <col min="3111" max="3111" width="6.73046875" bestFit="1" customWidth="1"/>
    <col min="3112" max="3112" width="6" bestFit="1" customWidth="1"/>
    <col min="3113" max="3113" width="11.1328125" bestFit="1" customWidth="1"/>
    <col min="3114" max="3115" width="9.59765625" bestFit="1" customWidth="1"/>
    <col min="3116" max="3116" width="8.3984375" bestFit="1" customWidth="1"/>
    <col min="3117" max="3117" width="7.265625" bestFit="1" customWidth="1"/>
    <col min="3118" max="3118" width="7.59765625" bestFit="1" customWidth="1"/>
    <col min="3119" max="3119" width="6.3984375" bestFit="1" customWidth="1"/>
    <col min="3120" max="3120" width="7.3984375" bestFit="1" customWidth="1"/>
    <col min="3121" max="3121" width="6.86328125" bestFit="1" customWidth="1"/>
    <col min="3122" max="3122" width="9.1328125" bestFit="1" customWidth="1"/>
  </cols>
  <sheetData>
    <row r="1" spans="1:3122" x14ac:dyDescent="0.45">
      <c r="A1" t="s">
        <v>6562</v>
      </c>
      <c r="B1" t="s">
        <v>6563</v>
      </c>
      <c r="C1" t="s">
        <v>6564</v>
      </c>
      <c r="D1" t="s">
        <v>6565</v>
      </c>
      <c r="E1" t="s">
        <v>6566</v>
      </c>
      <c r="F1" t="s">
        <v>6567</v>
      </c>
      <c r="G1" t="s">
        <v>6568</v>
      </c>
      <c r="H1" t="s">
        <v>6569</v>
      </c>
      <c r="I1" t="s">
        <v>6570</v>
      </c>
      <c r="J1" t="s">
        <v>6571</v>
      </c>
      <c r="K1" t="s">
        <v>6572</v>
      </c>
      <c r="L1" t="s">
        <v>6573</v>
      </c>
      <c r="M1" t="s">
        <v>6574</v>
      </c>
      <c r="N1" t="s">
        <v>6575</v>
      </c>
      <c r="O1" t="s">
        <v>6576</v>
      </c>
      <c r="P1" t="s">
        <v>6577</v>
      </c>
      <c r="Q1" t="s">
        <v>6578</v>
      </c>
      <c r="R1" t="s">
        <v>6579</v>
      </c>
      <c r="S1" t="s">
        <v>6580</v>
      </c>
      <c r="T1" t="s">
        <v>6581</v>
      </c>
      <c r="U1" t="s">
        <v>6582</v>
      </c>
      <c r="V1" t="s">
        <v>6583</v>
      </c>
      <c r="W1" t="s">
        <v>6584</v>
      </c>
      <c r="X1" t="s">
        <v>6585</v>
      </c>
      <c r="Y1" t="s">
        <v>6586</v>
      </c>
      <c r="Z1" t="s">
        <v>6587</v>
      </c>
      <c r="AA1" t="s">
        <v>6588</v>
      </c>
      <c r="AB1" t="s">
        <v>6589</v>
      </c>
      <c r="AC1" t="s">
        <v>6590</v>
      </c>
      <c r="AD1" t="s">
        <v>6591</v>
      </c>
      <c r="AE1" t="s">
        <v>6592</v>
      </c>
      <c r="AF1" t="s">
        <v>6593</v>
      </c>
      <c r="AG1" t="s">
        <v>6594</v>
      </c>
      <c r="AH1" t="s">
        <v>6595</v>
      </c>
      <c r="AI1" t="s">
        <v>6596</v>
      </c>
      <c r="AJ1" t="s">
        <v>6597</v>
      </c>
      <c r="AK1" t="s">
        <v>6598</v>
      </c>
      <c r="AL1" t="s">
        <v>6599</v>
      </c>
      <c r="AM1" t="s">
        <v>6600</v>
      </c>
      <c r="AN1" t="s">
        <v>6601</v>
      </c>
      <c r="AO1" t="s">
        <v>6602</v>
      </c>
      <c r="AP1" t="s">
        <v>6603</v>
      </c>
      <c r="AQ1" t="s">
        <v>6604</v>
      </c>
      <c r="AR1" t="s">
        <v>6605</v>
      </c>
      <c r="AS1" t="s">
        <v>6606</v>
      </c>
      <c r="AT1" t="s">
        <v>6607</v>
      </c>
      <c r="AU1" t="s">
        <v>6608</v>
      </c>
      <c r="AV1" t="s">
        <v>6609</v>
      </c>
      <c r="AW1" t="s">
        <v>6610</v>
      </c>
      <c r="AX1" t="s">
        <v>6611</v>
      </c>
      <c r="AY1" t="s">
        <v>6612</v>
      </c>
      <c r="AZ1" t="s">
        <v>6613</v>
      </c>
      <c r="BA1" t="s">
        <v>6614</v>
      </c>
      <c r="BB1" t="s">
        <v>6615</v>
      </c>
      <c r="BC1" t="s">
        <v>6616</v>
      </c>
      <c r="BD1" t="s">
        <v>6617</v>
      </c>
      <c r="BE1" t="s">
        <v>6618</v>
      </c>
      <c r="BF1" t="s">
        <v>6619</v>
      </c>
      <c r="BG1" t="s">
        <v>6620</v>
      </c>
      <c r="BH1" t="s">
        <v>6621</v>
      </c>
      <c r="BI1" t="s">
        <v>6622</v>
      </c>
      <c r="BJ1" t="s">
        <v>6623</v>
      </c>
      <c r="BK1" t="s">
        <v>6624</v>
      </c>
      <c r="BL1" t="s">
        <v>6625</v>
      </c>
      <c r="BM1" t="s">
        <v>6626</v>
      </c>
      <c r="BN1" t="s">
        <v>6627</v>
      </c>
      <c r="BO1" t="s">
        <v>6628</v>
      </c>
      <c r="BP1" t="s">
        <v>6629</v>
      </c>
      <c r="BQ1" t="s">
        <v>6630</v>
      </c>
      <c r="BR1" t="s">
        <v>6631</v>
      </c>
      <c r="BS1" t="s">
        <v>6632</v>
      </c>
      <c r="BT1" t="s">
        <v>6633</v>
      </c>
      <c r="BU1" t="s">
        <v>6634</v>
      </c>
      <c r="BV1" t="s">
        <v>6635</v>
      </c>
      <c r="BW1" t="s">
        <v>6636</v>
      </c>
      <c r="BX1" t="s">
        <v>6637</v>
      </c>
      <c r="BY1" t="s">
        <v>6638</v>
      </c>
      <c r="BZ1" t="s">
        <v>6639</v>
      </c>
      <c r="CA1" t="s">
        <v>6640</v>
      </c>
      <c r="CB1" t="s">
        <v>6641</v>
      </c>
      <c r="CC1" t="s">
        <v>6642</v>
      </c>
      <c r="CD1" t="s">
        <v>6643</v>
      </c>
      <c r="CE1" t="s">
        <v>6644</v>
      </c>
      <c r="CF1" t="s">
        <v>6645</v>
      </c>
      <c r="CG1" t="s">
        <v>6646</v>
      </c>
      <c r="CH1" t="s">
        <v>6647</v>
      </c>
      <c r="CI1" t="s">
        <v>6648</v>
      </c>
      <c r="CJ1" t="s">
        <v>6649</v>
      </c>
      <c r="CK1" t="s">
        <v>6650</v>
      </c>
      <c r="CL1" t="s">
        <v>6651</v>
      </c>
      <c r="CM1" t="s">
        <v>6652</v>
      </c>
      <c r="CN1" t="s">
        <v>6653</v>
      </c>
      <c r="CO1" t="s">
        <v>6654</v>
      </c>
      <c r="CP1" t="s">
        <v>6655</v>
      </c>
      <c r="CQ1" t="s">
        <v>6656</v>
      </c>
      <c r="CR1" t="s">
        <v>6657</v>
      </c>
      <c r="CS1" t="s">
        <v>6658</v>
      </c>
      <c r="CT1" t="s">
        <v>6659</v>
      </c>
      <c r="CU1" t="s">
        <v>6660</v>
      </c>
      <c r="CV1" t="s">
        <v>6661</v>
      </c>
      <c r="CW1" t="s">
        <v>6662</v>
      </c>
      <c r="CX1" t="s">
        <v>6663</v>
      </c>
      <c r="CY1" t="s">
        <v>6664</v>
      </c>
      <c r="CZ1" t="s">
        <v>6665</v>
      </c>
      <c r="DA1" t="s">
        <v>6666</v>
      </c>
      <c r="DB1" t="s">
        <v>6667</v>
      </c>
      <c r="DC1" t="s">
        <v>6668</v>
      </c>
      <c r="DD1" t="s">
        <v>6669</v>
      </c>
      <c r="DE1" t="s">
        <v>6670</v>
      </c>
      <c r="DF1" t="s">
        <v>6671</v>
      </c>
      <c r="DG1" t="s">
        <v>6672</v>
      </c>
      <c r="DH1" t="s">
        <v>6673</v>
      </c>
      <c r="DI1" t="s">
        <v>6674</v>
      </c>
      <c r="DJ1" t="s">
        <v>6675</v>
      </c>
      <c r="DK1" t="s">
        <v>6676</v>
      </c>
      <c r="DL1" t="s">
        <v>6677</v>
      </c>
      <c r="DM1" t="s">
        <v>6678</v>
      </c>
      <c r="DN1" t="s">
        <v>6679</v>
      </c>
      <c r="DO1" t="s">
        <v>6680</v>
      </c>
      <c r="DP1" t="s">
        <v>6681</v>
      </c>
      <c r="DQ1" t="s">
        <v>6682</v>
      </c>
      <c r="DR1" t="s">
        <v>6683</v>
      </c>
      <c r="DS1" t="s">
        <v>6684</v>
      </c>
      <c r="DT1" t="s">
        <v>6685</v>
      </c>
      <c r="DU1" t="s">
        <v>6686</v>
      </c>
      <c r="DV1" t="s">
        <v>6687</v>
      </c>
      <c r="DW1" t="s">
        <v>6688</v>
      </c>
      <c r="DX1" t="s">
        <v>6689</v>
      </c>
      <c r="DY1" t="s">
        <v>6690</v>
      </c>
      <c r="DZ1" t="s">
        <v>6691</v>
      </c>
      <c r="EA1" t="s">
        <v>6692</v>
      </c>
      <c r="EB1" t="s">
        <v>6693</v>
      </c>
      <c r="EC1" t="s">
        <v>6694</v>
      </c>
      <c r="ED1" t="s">
        <v>6695</v>
      </c>
      <c r="EE1" t="s">
        <v>6696</v>
      </c>
      <c r="EF1" t="s">
        <v>6697</v>
      </c>
      <c r="EG1" t="s">
        <v>6698</v>
      </c>
      <c r="EH1" t="s">
        <v>6699</v>
      </c>
      <c r="EI1" t="s">
        <v>6700</v>
      </c>
      <c r="EJ1" t="s">
        <v>6701</v>
      </c>
      <c r="EK1" t="s">
        <v>6702</v>
      </c>
      <c r="EL1" t="s">
        <v>6703</v>
      </c>
      <c r="EM1" t="s">
        <v>6704</v>
      </c>
      <c r="EN1" t="s">
        <v>6705</v>
      </c>
      <c r="EO1" t="s">
        <v>6706</v>
      </c>
      <c r="EP1" t="s">
        <v>6707</v>
      </c>
      <c r="EQ1" t="s">
        <v>6708</v>
      </c>
      <c r="ER1" t="s">
        <v>6709</v>
      </c>
      <c r="ES1" t="s">
        <v>6710</v>
      </c>
      <c r="ET1" t="s">
        <v>6711</v>
      </c>
      <c r="EU1" t="s">
        <v>6712</v>
      </c>
      <c r="EV1" t="s">
        <v>6713</v>
      </c>
      <c r="EW1" t="s">
        <v>6714</v>
      </c>
      <c r="EX1" t="s">
        <v>6715</v>
      </c>
      <c r="EY1" t="s">
        <v>6716</v>
      </c>
      <c r="EZ1" t="s">
        <v>6717</v>
      </c>
      <c r="FA1" t="s">
        <v>6718</v>
      </c>
      <c r="FB1" t="s">
        <v>6719</v>
      </c>
      <c r="FC1" t="s">
        <v>6720</v>
      </c>
      <c r="FD1" t="s">
        <v>6721</v>
      </c>
      <c r="FE1" t="s">
        <v>6722</v>
      </c>
      <c r="FF1" t="s">
        <v>6723</v>
      </c>
      <c r="FG1" t="s">
        <v>6724</v>
      </c>
      <c r="FH1" t="s">
        <v>6725</v>
      </c>
      <c r="FI1" t="s">
        <v>6726</v>
      </c>
      <c r="FJ1" t="s">
        <v>6727</v>
      </c>
      <c r="FK1" t="s">
        <v>6728</v>
      </c>
      <c r="FL1" t="s">
        <v>6729</v>
      </c>
      <c r="FM1" t="s">
        <v>6730</v>
      </c>
      <c r="FN1" t="s">
        <v>6731</v>
      </c>
      <c r="FO1" t="s">
        <v>6732</v>
      </c>
      <c r="FP1" t="s">
        <v>6733</v>
      </c>
      <c r="FQ1" t="s">
        <v>6734</v>
      </c>
      <c r="FR1" t="s">
        <v>6735</v>
      </c>
      <c r="FS1" t="s">
        <v>6736</v>
      </c>
      <c r="FT1" t="s">
        <v>6737</v>
      </c>
      <c r="FU1" t="s">
        <v>6738</v>
      </c>
      <c r="FV1" t="s">
        <v>6739</v>
      </c>
      <c r="FW1" t="s">
        <v>6740</v>
      </c>
      <c r="FX1" t="s">
        <v>6741</v>
      </c>
      <c r="FY1" t="s">
        <v>6742</v>
      </c>
      <c r="FZ1" t="s">
        <v>6743</v>
      </c>
      <c r="GA1" t="s">
        <v>6744</v>
      </c>
      <c r="GB1" t="s">
        <v>6745</v>
      </c>
      <c r="GC1" t="s">
        <v>6746</v>
      </c>
      <c r="GD1" t="s">
        <v>6747</v>
      </c>
      <c r="GE1" t="s">
        <v>6748</v>
      </c>
      <c r="GF1" t="s">
        <v>6749</v>
      </c>
      <c r="GG1" t="s">
        <v>6750</v>
      </c>
      <c r="GH1" t="s">
        <v>6751</v>
      </c>
      <c r="GI1" t="s">
        <v>6752</v>
      </c>
      <c r="GJ1" t="s">
        <v>6753</v>
      </c>
      <c r="GK1" t="s">
        <v>6754</v>
      </c>
      <c r="GL1" t="s">
        <v>6755</v>
      </c>
      <c r="GM1" t="s">
        <v>6756</v>
      </c>
      <c r="GN1" t="s">
        <v>6757</v>
      </c>
      <c r="GO1" t="s">
        <v>6758</v>
      </c>
      <c r="GP1" t="s">
        <v>6759</v>
      </c>
      <c r="GQ1" t="s">
        <v>6760</v>
      </c>
      <c r="GR1" t="s">
        <v>6761</v>
      </c>
      <c r="GS1" t="s">
        <v>6762</v>
      </c>
      <c r="GT1" t="s">
        <v>6763</v>
      </c>
      <c r="GU1" t="s">
        <v>6764</v>
      </c>
      <c r="GV1" t="s">
        <v>6765</v>
      </c>
      <c r="GW1" t="s">
        <v>6766</v>
      </c>
      <c r="GX1" t="s">
        <v>6767</v>
      </c>
      <c r="GY1" t="s">
        <v>6768</v>
      </c>
      <c r="GZ1" t="s">
        <v>6769</v>
      </c>
      <c r="HA1" t="s">
        <v>6770</v>
      </c>
      <c r="HB1" t="s">
        <v>6771</v>
      </c>
      <c r="HC1" t="s">
        <v>6772</v>
      </c>
      <c r="HD1" t="s">
        <v>6773</v>
      </c>
      <c r="HE1" t="s">
        <v>6774</v>
      </c>
      <c r="HF1" t="s">
        <v>6775</v>
      </c>
      <c r="HG1" t="s">
        <v>6776</v>
      </c>
      <c r="HH1" t="s">
        <v>6777</v>
      </c>
      <c r="HI1" t="s">
        <v>6778</v>
      </c>
      <c r="HJ1" t="s">
        <v>6779</v>
      </c>
      <c r="HK1" t="s">
        <v>6780</v>
      </c>
      <c r="HL1" t="s">
        <v>6781</v>
      </c>
      <c r="HM1" t="s">
        <v>6782</v>
      </c>
      <c r="HN1" t="s">
        <v>6783</v>
      </c>
      <c r="HO1" t="s">
        <v>6784</v>
      </c>
      <c r="HP1" t="s">
        <v>6785</v>
      </c>
      <c r="HQ1" t="s">
        <v>6786</v>
      </c>
      <c r="HR1" t="s">
        <v>6787</v>
      </c>
      <c r="HS1" t="s">
        <v>6788</v>
      </c>
      <c r="HT1" t="s">
        <v>6789</v>
      </c>
      <c r="HU1" t="s">
        <v>6790</v>
      </c>
      <c r="HV1" t="s">
        <v>6791</v>
      </c>
      <c r="HW1" t="s">
        <v>6792</v>
      </c>
      <c r="HX1" t="s">
        <v>6793</v>
      </c>
      <c r="HY1" t="s">
        <v>6794</v>
      </c>
      <c r="HZ1" t="s">
        <v>6795</v>
      </c>
      <c r="IA1" t="s">
        <v>6796</v>
      </c>
      <c r="IB1" t="s">
        <v>6797</v>
      </c>
      <c r="IC1" t="s">
        <v>6798</v>
      </c>
      <c r="ID1" t="s">
        <v>6799</v>
      </c>
      <c r="IE1" t="s">
        <v>6800</v>
      </c>
      <c r="IF1" t="s">
        <v>6801</v>
      </c>
      <c r="IG1" t="s">
        <v>6802</v>
      </c>
      <c r="IH1" t="s">
        <v>6803</v>
      </c>
      <c r="II1" t="s">
        <v>6804</v>
      </c>
      <c r="IJ1" t="s">
        <v>6805</v>
      </c>
      <c r="IK1" t="s">
        <v>6806</v>
      </c>
      <c r="IL1" t="s">
        <v>6807</v>
      </c>
      <c r="IM1" t="s">
        <v>6808</v>
      </c>
      <c r="IN1" t="s">
        <v>6809</v>
      </c>
      <c r="IO1" t="s">
        <v>6810</v>
      </c>
      <c r="IP1" t="s">
        <v>6811</v>
      </c>
      <c r="IQ1" t="s">
        <v>6812</v>
      </c>
      <c r="IR1" t="s">
        <v>6813</v>
      </c>
      <c r="IS1" t="s">
        <v>6814</v>
      </c>
      <c r="IT1" t="s">
        <v>6815</v>
      </c>
      <c r="IU1" t="s">
        <v>6816</v>
      </c>
      <c r="IV1" t="s">
        <v>6817</v>
      </c>
      <c r="IW1" t="s">
        <v>6818</v>
      </c>
      <c r="IX1" t="s">
        <v>6819</v>
      </c>
      <c r="IY1" t="s">
        <v>6820</v>
      </c>
      <c r="IZ1" t="s">
        <v>6821</v>
      </c>
      <c r="JA1" t="s">
        <v>6822</v>
      </c>
      <c r="JB1" t="s">
        <v>6823</v>
      </c>
      <c r="JC1" t="s">
        <v>6824</v>
      </c>
      <c r="JD1" t="s">
        <v>6825</v>
      </c>
      <c r="JE1" t="s">
        <v>6826</v>
      </c>
      <c r="JF1" t="s">
        <v>6827</v>
      </c>
      <c r="JG1" t="s">
        <v>6828</v>
      </c>
      <c r="JH1" t="s">
        <v>6829</v>
      </c>
      <c r="JI1" t="s">
        <v>6830</v>
      </c>
      <c r="JJ1" t="s">
        <v>6831</v>
      </c>
      <c r="JK1" t="s">
        <v>6832</v>
      </c>
      <c r="JL1" t="s">
        <v>6833</v>
      </c>
      <c r="JM1" t="s">
        <v>6834</v>
      </c>
      <c r="JN1" t="s">
        <v>6835</v>
      </c>
      <c r="JO1" t="s">
        <v>6836</v>
      </c>
      <c r="JP1" t="s">
        <v>6837</v>
      </c>
      <c r="JQ1" t="s">
        <v>6838</v>
      </c>
      <c r="JR1" t="s">
        <v>6839</v>
      </c>
      <c r="JS1" t="s">
        <v>6840</v>
      </c>
      <c r="JT1" t="s">
        <v>6841</v>
      </c>
      <c r="JU1" t="s">
        <v>6842</v>
      </c>
      <c r="JV1" t="s">
        <v>6843</v>
      </c>
      <c r="JW1" t="s">
        <v>6844</v>
      </c>
      <c r="JX1" t="s">
        <v>6845</v>
      </c>
      <c r="JY1" t="s">
        <v>6846</v>
      </c>
      <c r="JZ1" t="s">
        <v>6847</v>
      </c>
      <c r="KA1" t="s">
        <v>6848</v>
      </c>
      <c r="KB1" t="s">
        <v>6849</v>
      </c>
      <c r="KC1" t="s">
        <v>6850</v>
      </c>
      <c r="KD1" t="s">
        <v>6851</v>
      </c>
      <c r="KE1" t="s">
        <v>6852</v>
      </c>
      <c r="KF1" t="s">
        <v>6853</v>
      </c>
      <c r="KG1" t="s">
        <v>6854</v>
      </c>
      <c r="KH1" t="s">
        <v>6855</v>
      </c>
      <c r="KI1" t="s">
        <v>6856</v>
      </c>
      <c r="KJ1" t="s">
        <v>6857</v>
      </c>
      <c r="KK1" t="s">
        <v>6858</v>
      </c>
      <c r="KL1" t="s">
        <v>6859</v>
      </c>
      <c r="KM1" t="s">
        <v>6860</v>
      </c>
      <c r="KN1" t="s">
        <v>6861</v>
      </c>
      <c r="KO1" t="s">
        <v>6862</v>
      </c>
      <c r="KP1" t="s">
        <v>6863</v>
      </c>
      <c r="KQ1" t="s">
        <v>6864</v>
      </c>
      <c r="KR1" t="s">
        <v>6865</v>
      </c>
      <c r="KS1" t="s">
        <v>6866</v>
      </c>
      <c r="KT1" t="s">
        <v>6867</v>
      </c>
      <c r="KU1" t="s">
        <v>6868</v>
      </c>
      <c r="KV1" t="s">
        <v>6869</v>
      </c>
      <c r="KW1" t="s">
        <v>6870</v>
      </c>
      <c r="KX1" t="s">
        <v>6871</v>
      </c>
      <c r="KY1" t="s">
        <v>6872</v>
      </c>
      <c r="KZ1" t="s">
        <v>6873</v>
      </c>
      <c r="LA1" t="s">
        <v>6874</v>
      </c>
      <c r="LB1" t="s">
        <v>6875</v>
      </c>
      <c r="LC1" t="s">
        <v>6876</v>
      </c>
      <c r="LD1" t="s">
        <v>6877</v>
      </c>
      <c r="LE1" t="s">
        <v>6878</v>
      </c>
      <c r="LF1" t="s">
        <v>6879</v>
      </c>
      <c r="LG1" t="s">
        <v>6880</v>
      </c>
      <c r="LH1" t="s">
        <v>6881</v>
      </c>
      <c r="LI1" t="s">
        <v>6882</v>
      </c>
      <c r="LJ1" t="s">
        <v>6883</v>
      </c>
      <c r="LK1" t="s">
        <v>6884</v>
      </c>
      <c r="LL1" t="s">
        <v>6885</v>
      </c>
      <c r="LM1" t="s">
        <v>6886</v>
      </c>
      <c r="LN1" t="s">
        <v>6887</v>
      </c>
      <c r="LO1" t="s">
        <v>6888</v>
      </c>
      <c r="LP1" t="s">
        <v>6889</v>
      </c>
      <c r="LQ1" t="s">
        <v>6890</v>
      </c>
      <c r="LR1" t="s">
        <v>6891</v>
      </c>
      <c r="LS1" t="s">
        <v>6892</v>
      </c>
      <c r="LT1" t="s">
        <v>6893</v>
      </c>
      <c r="LU1" t="s">
        <v>6894</v>
      </c>
      <c r="LV1" t="s">
        <v>6895</v>
      </c>
      <c r="LW1" t="s">
        <v>6896</v>
      </c>
      <c r="LX1" t="s">
        <v>6897</v>
      </c>
      <c r="LY1" t="s">
        <v>6898</v>
      </c>
      <c r="LZ1" t="s">
        <v>6899</v>
      </c>
      <c r="MA1" t="s">
        <v>6900</v>
      </c>
      <c r="MB1" t="s">
        <v>6901</v>
      </c>
      <c r="MC1" t="s">
        <v>6902</v>
      </c>
      <c r="MD1" t="s">
        <v>6903</v>
      </c>
      <c r="ME1" t="s">
        <v>6904</v>
      </c>
      <c r="MF1" t="s">
        <v>6905</v>
      </c>
      <c r="MG1" t="s">
        <v>6906</v>
      </c>
      <c r="MH1" t="s">
        <v>6907</v>
      </c>
      <c r="MI1" t="s">
        <v>6908</v>
      </c>
      <c r="MJ1" t="s">
        <v>6909</v>
      </c>
      <c r="MK1" t="s">
        <v>6910</v>
      </c>
      <c r="ML1" t="s">
        <v>6911</v>
      </c>
      <c r="MM1" t="s">
        <v>6912</v>
      </c>
      <c r="MN1" t="s">
        <v>6913</v>
      </c>
      <c r="MO1" t="s">
        <v>6914</v>
      </c>
      <c r="MP1" t="s">
        <v>6915</v>
      </c>
      <c r="MQ1" t="s">
        <v>6916</v>
      </c>
      <c r="MR1" t="s">
        <v>6917</v>
      </c>
      <c r="MS1" t="s">
        <v>6918</v>
      </c>
      <c r="MT1" t="s">
        <v>6919</v>
      </c>
      <c r="MU1" t="s">
        <v>6920</v>
      </c>
      <c r="MV1" t="s">
        <v>6921</v>
      </c>
      <c r="MW1" t="s">
        <v>6922</v>
      </c>
      <c r="MX1" t="s">
        <v>6923</v>
      </c>
      <c r="MY1" t="s">
        <v>6924</v>
      </c>
      <c r="MZ1" t="s">
        <v>6925</v>
      </c>
      <c r="NA1" t="s">
        <v>6926</v>
      </c>
      <c r="NB1" t="s">
        <v>6927</v>
      </c>
      <c r="NC1" t="s">
        <v>6928</v>
      </c>
      <c r="ND1" t="s">
        <v>6929</v>
      </c>
      <c r="NE1" t="s">
        <v>6930</v>
      </c>
      <c r="NF1" t="s">
        <v>6931</v>
      </c>
      <c r="NG1" t="s">
        <v>6932</v>
      </c>
      <c r="NH1" t="s">
        <v>6933</v>
      </c>
      <c r="NI1" t="s">
        <v>6934</v>
      </c>
      <c r="NJ1" t="s">
        <v>6935</v>
      </c>
      <c r="NK1" t="s">
        <v>6936</v>
      </c>
      <c r="NL1" t="s">
        <v>6937</v>
      </c>
      <c r="NM1" t="s">
        <v>6938</v>
      </c>
      <c r="NN1" t="s">
        <v>6939</v>
      </c>
      <c r="NO1" t="s">
        <v>6940</v>
      </c>
      <c r="NP1" t="s">
        <v>6941</v>
      </c>
      <c r="NQ1" t="s">
        <v>6942</v>
      </c>
      <c r="NR1" t="s">
        <v>6943</v>
      </c>
      <c r="NS1" t="s">
        <v>6944</v>
      </c>
      <c r="NT1" t="s">
        <v>6945</v>
      </c>
      <c r="NU1" t="s">
        <v>6946</v>
      </c>
      <c r="NV1" t="s">
        <v>6947</v>
      </c>
      <c r="NW1" t="s">
        <v>6948</v>
      </c>
      <c r="NX1" t="s">
        <v>6949</v>
      </c>
      <c r="NY1" t="s">
        <v>6950</v>
      </c>
      <c r="NZ1" t="s">
        <v>6951</v>
      </c>
      <c r="OA1" t="s">
        <v>6952</v>
      </c>
      <c r="OB1" t="s">
        <v>6953</v>
      </c>
      <c r="OC1" t="s">
        <v>6954</v>
      </c>
      <c r="OD1" t="s">
        <v>6955</v>
      </c>
      <c r="OE1" t="s">
        <v>6956</v>
      </c>
      <c r="OF1" t="s">
        <v>6957</v>
      </c>
      <c r="OG1" t="s">
        <v>6958</v>
      </c>
      <c r="OH1" t="s">
        <v>6959</v>
      </c>
      <c r="OI1" t="s">
        <v>6960</v>
      </c>
      <c r="OJ1" t="s">
        <v>6961</v>
      </c>
      <c r="OK1" t="s">
        <v>6962</v>
      </c>
      <c r="OL1" t="s">
        <v>6963</v>
      </c>
      <c r="OM1" t="s">
        <v>6964</v>
      </c>
      <c r="ON1" t="s">
        <v>6965</v>
      </c>
      <c r="OO1" t="s">
        <v>6966</v>
      </c>
      <c r="OP1" t="s">
        <v>6967</v>
      </c>
      <c r="OQ1" t="s">
        <v>6968</v>
      </c>
      <c r="OR1" t="s">
        <v>6969</v>
      </c>
      <c r="OS1" t="s">
        <v>6970</v>
      </c>
      <c r="OT1" t="s">
        <v>6971</v>
      </c>
      <c r="OU1" t="s">
        <v>6972</v>
      </c>
      <c r="OV1" t="s">
        <v>6973</v>
      </c>
      <c r="OW1" t="s">
        <v>6974</v>
      </c>
      <c r="OX1" t="s">
        <v>6975</v>
      </c>
      <c r="OY1" t="s">
        <v>6976</v>
      </c>
      <c r="OZ1" t="s">
        <v>6977</v>
      </c>
      <c r="PA1" t="s">
        <v>6978</v>
      </c>
      <c r="PB1" t="s">
        <v>6979</v>
      </c>
      <c r="PC1" t="s">
        <v>6980</v>
      </c>
      <c r="PD1" t="s">
        <v>6981</v>
      </c>
      <c r="PE1" t="s">
        <v>6982</v>
      </c>
      <c r="PF1" t="s">
        <v>6983</v>
      </c>
      <c r="PG1" t="s">
        <v>6984</v>
      </c>
      <c r="PH1" t="s">
        <v>6985</v>
      </c>
      <c r="PI1" t="s">
        <v>6986</v>
      </c>
      <c r="PJ1" t="s">
        <v>6987</v>
      </c>
      <c r="PK1" t="s">
        <v>6988</v>
      </c>
      <c r="PL1" t="s">
        <v>6989</v>
      </c>
      <c r="PM1" t="s">
        <v>6990</v>
      </c>
      <c r="PN1" t="s">
        <v>6991</v>
      </c>
      <c r="PO1" t="s">
        <v>6992</v>
      </c>
      <c r="PP1" t="s">
        <v>6993</v>
      </c>
      <c r="PQ1" t="s">
        <v>6994</v>
      </c>
      <c r="PR1" t="s">
        <v>6995</v>
      </c>
      <c r="PS1" t="s">
        <v>6996</v>
      </c>
      <c r="PT1" t="s">
        <v>6997</v>
      </c>
      <c r="PU1" t="s">
        <v>6998</v>
      </c>
      <c r="PV1" t="s">
        <v>6999</v>
      </c>
      <c r="PW1" t="s">
        <v>7000</v>
      </c>
      <c r="PX1" t="s">
        <v>7001</v>
      </c>
      <c r="PY1" t="s">
        <v>7002</v>
      </c>
      <c r="PZ1" t="s">
        <v>7003</v>
      </c>
      <c r="QA1" t="s">
        <v>7004</v>
      </c>
      <c r="QB1" t="s">
        <v>7005</v>
      </c>
      <c r="QC1" t="s">
        <v>7006</v>
      </c>
      <c r="QD1" t="s">
        <v>7007</v>
      </c>
      <c r="QE1" t="s">
        <v>7008</v>
      </c>
      <c r="QF1" t="s">
        <v>7009</v>
      </c>
      <c r="QG1" t="s">
        <v>7010</v>
      </c>
      <c r="QH1" t="s">
        <v>7011</v>
      </c>
      <c r="QI1" t="s">
        <v>7012</v>
      </c>
      <c r="QJ1" t="s">
        <v>7013</v>
      </c>
      <c r="QK1" t="s">
        <v>7014</v>
      </c>
      <c r="QL1" t="s">
        <v>7015</v>
      </c>
      <c r="QM1" t="s">
        <v>7016</v>
      </c>
      <c r="QN1" t="s">
        <v>7017</v>
      </c>
      <c r="QO1" t="s">
        <v>7018</v>
      </c>
      <c r="QP1" t="s">
        <v>7019</v>
      </c>
      <c r="QQ1" t="s">
        <v>7020</v>
      </c>
      <c r="QR1" t="s">
        <v>7021</v>
      </c>
      <c r="QS1" t="s">
        <v>7022</v>
      </c>
      <c r="QT1" t="s">
        <v>7023</v>
      </c>
      <c r="QU1" t="s">
        <v>7024</v>
      </c>
      <c r="QV1" t="s">
        <v>7025</v>
      </c>
      <c r="QW1" t="s">
        <v>7026</v>
      </c>
      <c r="QX1" t="s">
        <v>7027</v>
      </c>
      <c r="QY1" t="s">
        <v>7028</v>
      </c>
      <c r="QZ1" t="s">
        <v>7029</v>
      </c>
      <c r="RA1" t="s">
        <v>7030</v>
      </c>
      <c r="RB1" t="s">
        <v>7031</v>
      </c>
      <c r="RC1" t="s">
        <v>7032</v>
      </c>
      <c r="RD1" t="s">
        <v>7033</v>
      </c>
      <c r="RE1" t="s">
        <v>7034</v>
      </c>
      <c r="RF1" t="s">
        <v>7035</v>
      </c>
      <c r="RG1" t="s">
        <v>7036</v>
      </c>
      <c r="RH1" t="s">
        <v>7037</v>
      </c>
      <c r="RI1" t="s">
        <v>7038</v>
      </c>
      <c r="RJ1" t="s">
        <v>7039</v>
      </c>
      <c r="RK1" t="s">
        <v>7040</v>
      </c>
      <c r="RL1" t="s">
        <v>7041</v>
      </c>
      <c r="RM1" t="s">
        <v>7042</v>
      </c>
      <c r="RN1" t="s">
        <v>7043</v>
      </c>
      <c r="RO1" t="s">
        <v>7044</v>
      </c>
      <c r="RP1" t="s">
        <v>7045</v>
      </c>
      <c r="RQ1" t="s">
        <v>7046</v>
      </c>
      <c r="RR1" t="s">
        <v>7047</v>
      </c>
      <c r="RS1" t="s">
        <v>7048</v>
      </c>
      <c r="RT1" t="s">
        <v>7049</v>
      </c>
      <c r="RU1" t="s">
        <v>7050</v>
      </c>
      <c r="RV1" t="s">
        <v>7051</v>
      </c>
      <c r="RW1" t="s">
        <v>7052</v>
      </c>
      <c r="RX1" t="s">
        <v>7053</v>
      </c>
      <c r="RY1" t="s">
        <v>7054</v>
      </c>
      <c r="RZ1" t="s">
        <v>7055</v>
      </c>
      <c r="SA1" t="s">
        <v>7056</v>
      </c>
      <c r="SB1" t="s">
        <v>7057</v>
      </c>
      <c r="SC1" t="s">
        <v>7058</v>
      </c>
      <c r="SD1" t="s">
        <v>7059</v>
      </c>
      <c r="SE1" t="s">
        <v>7060</v>
      </c>
      <c r="SF1" t="s">
        <v>7061</v>
      </c>
      <c r="SG1" t="s">
        <v>7062</v>
      </c>
      <c r="SH1" t="s">
        <v>7063</v>
      </c>
      <c r="SI1" t="s">
        <v>7064</v>
      </c>
      <c r="SJ1" t="s">
        <v>7065</v>
      </c>
      <c r="SK1" t="s">
        <v>7066</v>
      </c>
      <c r="SL1" t="s">
        <v>7067</v>
      </c>
      <c r="SM1" t="s">
        <v>7068</v>
      </c>
      <c r="SN1" t="s">
        <v>7069</v>
      </c>
      <c r="SO1" t="s">
        <v>7070</v>
      </c>
      <c r="SP1" t="s">
        <v>7071</v>
      </c>
      <c r="SQ1" t="s">
        <v>7072</v>
      </c>
      <c r="SR1" t="s">
        <v>7073</v>
      </c>
      <c r="SS1" t="s">
        <v>7074</v>
      </c>
      <c r="ST1" t="s">
        <v>7075</v>
      </c>
      <c r="SU1" t="s">
        <v>7076</v>
      </c>
      <c r="SV1" t="s">
        <v>7077</v>
      </c>
      <c r="SW1" t="s">
        <v>7078</v>
      </c>
      <c r="SX1" t="s">
        <v>7079</v>
      </c>
      <c r="SY1" t="s">
        <v>7080</v>
      </c>
      <c r="SZ1" t="s">
        <v>7081</v>
      </c>
      <c r="TA1" t="s">
        <v>7082</v>
      </c>
      <c r="TB1" t="s">
        <v>7083</v>
      </c>
      <c r="TC1" t="s">
        <v>7084</v>
      </c>
      <c r="TD1" t="s">
        <v>7085</v>
      </c>
      <c r="TE1" t="s">
        <v>7086</v>
      </c>
      <c r="TF1" t="s">
        <v>7087</v>
      </c>
      <c r="TG1" t="s">
        <v>7088</v>
      </c>
      <c r="TH1" t="s">
        <v>7089</v>
      </c>
      <c r="TI1" t="s">
        <v>7090</v>
      </c>
      <c r="TJ1" t="s">
        <v>7091</v>
      </c>
      <c r="TK1" t="s">
        <v>7092</v>
      </c>
      <c r="TL1" t="s">
        <v>7093</v>
      </c>
      <c r="TM1" t="s">
        <v>7094</v>
      </c>
      <c r="TN1" t="s">
        <v>7095</v>
      </c>
      <c r="TO1" t="s">
        <v>7096</v>
      </c>
      <c r="TP1" t="s">
        <v>7097</v>
      </c>
      <c r="TQ1" t="s">
        <v>7098</v>
      </c>
      <c r="TR1" t="s">
        <v>7099</v>
      </c>
      <c r="TS1" t="s">
        <v>7100</v>
      </c>
      <c r="TT1" t="s">
        <v>7101</v>
      </c>
      <c r="TU1" t="s">
        <v>7102</v>
      </c>
      <c r="TV1" t="s">
        <v>7103</v>
      </c>
      <c r="TW1" t="s">
        <v>7104</v>
      </c>
      <c r="TX1" t="s">
        <v>7105</v>
      </c>
      <c r="TY1" t="s">
        <v>7106</v>
      </c>
      <c r="TZ1" t="s">
        <v>7107</v>
      </c>
      <c r="UA1" t="s">
        <v>7108</v>
      </c>
      <c r="UB1" t="s">
        <v>7109</v>
      </c>
      <c r="UC1" t="s">
        <v>7110</v>
      </c>
      <c r="UD1" t="s">
        <v>7111</v>
      </c>
      <c r="UE1" t="s">
        <v>7112</v>
      </c>
      <c r="UF1" t="s">
        <v>7113</v>
      </c>
      <c r="UG1" t="s">
        <v>7114</v>
      </c>
      <c r="UH1" t="s">
        <v>7115</v>
      </c>
      <c r="UI1" t="s">
        <v>7116</v>
      </c>
      <c r="UJ1" t="s">
        <v>7117</v>
      </c>
      <c r="UK1" t="s">
        <v>7118</v>
      </c>
      <c r="UL1" t="s">
        <v>7119</v>
      </c>
      <c r="UM1" t="s">
        <v>7120</v>
      </c>
      <c r="UN1" t="s">
        <v>7121</v>
      </c>
      <c r="UO1" t="s">
        <v>7122</v>
      </c>
      <c r="UP1" t="s">
        <v>7123</v>
      </c>
      <c r="UQ1" t="s">
        <v>7124</v>
      </c>
      <c r="UR1" t="s">
        <v>7125</v>
      </c>
      <c r="US1" t="s">
        <v>7126</v>
      </c>
      <c r="UT1" t="s">
        <v>7127</v>
      </c>
      <c r="UU1" t="s">
        <v>7128</v>
      </c>
      <c r="UV1" t="s">
        <v>7129</v>
      </c>
      <c r="UW1" t="s">
        <v>7130</v>
      </c>
      <c r="UX1" t="s">
        <v>7131</v>
      </c>
      <c r="UY1" t="s">
        <v>7132</v>
      </c>
      <c r="UZ1" t="s">
        <v>7133</v>
      </c>
      <c r="VA1" t="s">
        <v>7134</v>
      </c>
      <c r="VB1" t="s">
        <v>7135</v>
      </c>
      <c r="VC1" t="s">
        <v>7136</v>
      </c>
      <c r="VD1" t="s">
        <v>7137</v>
      </c>
      <c r="VE1" t="s">
        <v>7138</v>
      </c>
      <c r="VF1" t="s">
        <v>7139</v>
      </c>
      <c r="VG1" t="s">
        <v>7140</v>
      </c>
      <c r="VH1" t="s">
        <v>7141</v>
      </c>
      <c r="VI1" t="s">
        <v>7142</v>
      </c>
      <c r="VJ1" t="s">
        <v>7143</v>
      </c>
      <c r="VK1" t="s">
        <v>7144</v>
      </c>
      <c r="VL1" t="s">
        <v>7145</v>
      </c>
      <c r="VM1" t="s">
        <v>7146</v>
      </c>
      <c r="VN1" t="s">
        <v>7147</v>
      </c>
      <c r="VO1" t="s">
        <v>7148</v>
      </c>
      <c r="VP1" t="s">
        <v>7149</v>
      </c>
      <c r="VQ1" t="s">
        <v>7150</v>
      </c>
      <c r="VR1" t="s">
        <v>7151</v>
      </c>
      <c r="VS1" t="s">
        <v>7152</v>
      </c>
      <c r="VT1" t="s">
        <v>7153</v>
      </c>
      <c r="VU1" t="s">
        <v>7154</v>
      </c>
      <c r="VV1" t="s">
        <v>7155</v>
      </c>
      <c r="VW1" t="s">
        <v>7156</v>
      </c>
      <c r="VX1" t="s">
        <v>7157</v>
      </c>
      <c r="VY1" t="s">
        <v>7158</v>
      </c>
      <c r="VZ1" t="s">
        <v>7159</v>
      </c>
      <c r="WA1" t="s">
        <v>7160</v>
      </c>
      <c r="WB1" t="s">
        <v>7161</v>
      </c>
      <c r="WC1" t="s">
        <v>7162</v>
      </c>
      <c r="WD1" t="s">
        <v>7163</v>
      </c>
      <c r="WE1" t="s">
        <v>7164</v>
      </c>
      <c r="WF1" t="s">
        <v>7165</v>
      </c>
      <c r="WG1" t="s">
        <v>7166</v>
      </c>
      <c r="WH1" t="s">
        <v>7167</v>
      </c>
      <c r="WI1" t="s">
        <v>7168</v>
      </c>
      <c r="WJ1" t="s">
        <v>7169</v>
      </c>
      <c r="WK1" t="s">
        <v>7170</v>
      </c>
      <c r="WL1" t="s">
        <v>7171</v>
      </c>
      <c r="WM1" t="s">
        <v>7172</v>
      </c>
      <c r="WN1" t="s">
        <v>7173</v>
      </c>
      <c r="WO1" t="s">
        <v>7174</v>
      </c>
      <c r="WP1" t="s">
        <v>7175</v>
      </c>
      <c r="WQ1" t="s">
        <v>7176</v>
      </c>
      <c r="WR1" t="s">
        <v>7177</v>
      </c>
      <c r="WS1" t="s">
        <v>7178</v>
      </c>
      <c r="WT1" t="s">
        <v>7179</v>
      </c>
      <c r="WU1" t="s">
        <v>7180</v>
      </c>
      <c r="WV1" t="s">
        <v>7181</v>
      </c>
      <c r="WW1" t="s">
        <v>7182</v>
      </c>
      <c r="WX1" t="s">
        <v>7183</v>
      </c>
      <c r="WY1" t="s">
        <v>7184</v>
      </c>
      <c r="WZ1" t="s">
        <v>7185</v>
      </c>
      <c r="XA1" t="s">
        <v>7186</v>
      </c>
      <c r="XB1" t="s">
        <v>7187</v>
      </c>
      <c r="XC1" t="s">
        <v>7188</v>
      </c>
      <c r="XD1" t="s">
        <v>7189</v>
      </c>
      <c r="XE1" t="s">
        <v>7190</v>
      </c>
      <c r="XF1" t="s">
        <v>7191</v>
      </c>
      <c r="XG1" t="s">
        <v>7192</v>
      </c>
      <c r="XH1" t="s">
        <v>7193</v>
      </c>
      <c r="XI1" t="s">
        <v>7194</v>
      </c>
      <c r="XJ1" t="s">
        <v>7195</v>
      </c>
      <c r="XK1" t="s">
        <v>7196</v>
      </c>
      <c r="XL1" t="s">
        <v>7197</v>
      </c>
      <c r="XM1" t="s">
        <v>7198</v>
      </c>
      <c r="XN1" t="s">
        <v>7199</v>
      </c>
      <c r="XO1" t="s">
        <v>7200</v>
      </c>
      <c r="XP1" t="s">
        <v>7201</v>
      </c>
      <c r="XQ1" t="s">
        <v>7202</v>
      </c>
      <c r="XR1" t="s">
        <v>7203</v>
      </c>
      <c r="XS1" t="s">
        <v>7204</v>
      </c>
      <c r="XT1" t="s">
        <v>7205</v>
      </c>
      <c r="XU1" t="s">
        <v>7206</v>
      </c>
      <c r="XV1" t="s">
        <v>7207</v>
      </c>
      <c r="XW1" t="s">
        <v>7208</v>
      </c>
      <c r="XX1" t="s">
        <v>7209</v>
      </c>
      <c r="XY1" t="s">
        <v>7210</v>
      </c>
      <c r="XZ1" t="s">
        <v>7211</v>
      </c>
      <c r="YA1" t="s">
        <v>7212</v>
      </c>
      <c r="YB1" t="s">
        <v>7213</v>
      </c>
      <c r="YC1" t="s">
        <v>7214</v>
      </c>
      <c r="YD1" t="s">
        <v>7215</v>
      </c>
      <c r="YE1" t="s">
        <v>7216</v>
      </c>
      <c r="YF1" t="s">
        <v>7217</v>
      </c>
      <c r="YG1" t="s">
        <v>7218</v>
      </c>
      <c r="YH1" t="s">
        <v>7219</v>
      </c>
      <c r="YI1" t="s">
        <v>7220</v>
      </c>
      <c r="YJ1" t="s">
        <v>7221</v>
      </c>
      <c r="YK1" t="s">
        <v>7222</v>
      </c>
      <c r="YL1" t="s">
        <v>7223</v>
      </c>
      <c r="YM1" t="s">
        <v>7224</v>
      </c>
      <c r="YN1" t="s">
        <v>7225</v>
      </c>
      <c r="YO1" t="s">
        <v>7226</v>
      </c>
      <c r="YP1" t="s">
        <v>7227</v>
      </c>
      <c r="YQ1" t="s">
        <v>7228</v>
      </c>
      <c r="YR1" t="s">
        <v>7229</v>
      </c>
      <c r="YS1" t="s">
        <v>7230</v>
      </c>
      <c r="YT1" t="s">
        <v>7231</v>
      </c>
      <c r="YU1" t="s">
        <v>7232</v>
      </c>
      <c r="YV1" t="s">
        <v>7233</v>
      </c>
      <c r="YW1" t="s">
        <v>7234</v>
      </c>
      <c r="YX1" t="s">
        <v>7235</v>
      </c>
      <c r="YY1" t="s">
        <v>7236</v>
      </c>
      <c r="YZ1" t="s">
        <v>7237</v>
      </c>
      <c r="ZA1" t="s">
        <v>7238</v>
      </c>
      <c r="ZB1" t="s">
        <v>7239</v>
      </c>
      <c r="ZC1" t="s">
        <v>7240</v>
      </c>
      <c r="ZD1" t="s">
        <v>7241</v>
      </c>
      <c r="ZE1" t="s">
        <v>7242</v>
      </c>
      <c r="ZF1" t="s">
        <v>7243</v>
      </c>
      <c r="ZG1" t="s">
        <v>7244</v>
      </c>
      <c r="ZH1" t="s">
        <v>7245</v>
      </c>
      <c r="ZI1" t="s">
        <v>7246</v>
      </c>
      <c r="ZJ1" t="s">
        <v>7247</v>
      </c>
      <c r="ZK1" t="s">
        <v>7248</v>
      </c>
      <c r="ZL1" t="s">
        <v>7249</v>
      </c>
      <c r="ZM1" t="s">
        <v>7250</v>
      </c>
      <c r="ZN1" t="s">
        <v>7251</v>
      </c>
      <c r="ZO1" t="s">
        <v>7252</v>
      </c>
      <c r="ZP1" t="s">
        <v>7253</v>
      </c>
      <c r="ZQ1" t="s">
        <v>7254</v>
      </c>
      <c r="ZR1" t="s">
        <v>7255</v>
      </c>
      <c r="ZS1" t="s">
        <v>7256</v>
      </c>
      <c r="ZT1" t="s">
        <v>7257</v>
      </c>
      <c r="ZU1" t="s">
        <v>7258</v>
      </c>
      <c r="ZV1" t="s">
        <v>7259</v>
      </c>
      <c r="ZW1" t="s">
        <v>7260</v>
      </c>
      <c r="ZX1" t="s">
        <v>7261</v>
      </c>
      <c r="ZY1" t="s">
        <v>7262</v>
      </c>
      <c r="ZZ1" t="s">
        <v>7263</v>
      </c>
      <c r="AAA1" t="s">
        <v>7264</v>
      </c>
      <c r="AAB1" t="s">
        <v>7265</v>
      </c>
      <c r="AAC1" t="s">
        <v>7266</v>
      </c>
      <c r="AAD1" t="s">
        <v>7267</v>
      </c>
      <c r="AAE1" t="s">
        <v>7268</v>
      </c>
      <c r="AAF1" t="s">
        <v>7269</v>
      </c>
      <c r="AAG1" t="s">
        <v>7270</v>
      </c>
      <c r="AAH1" t="s">
        <v>7271</v>
      </c>
      <c r="AAI1" t="s">
        <v>7272</v>
      </c>
      <c r="AAJ1" t="s">
        <v>7273</v>
      </c>
      <c r="AAK1" t="s">
        <v>7274</v>
      </c>
      <c r="AAL1" t="s">
        <v>7275</v>
      </c>
      <c r="AAM1" t="s">
        <v>7276</v>
      </c>
      <c r="AAN1" t="s">
        <v>7277</v>
      </c>
      <c r="AAO1" t="s">
        <v>7278</v>
      </c>
      <c r="AAP1" t="s">
        <v>7279</v>
      </c>
      <c r="AAQ1" t="s">
        <v>7280</v>
      </c>
      <c r="AAR1" t="s">
        <v>7281</v>
      </c>
      <c r="AAS1" t="s">
        <v>7282</v>
      </c>
      <c r="AAT1" t="s">
        <v>7283</v>
      </c>
      <c r="AAU1" t="s">
        <v>7284</v>
      </c>
      <c r="AAV1" t="s">
        <v>7285</v>
      </c>
      <c r="AAW1" t="s">
        <v>7286</v>
      </c>
      <c r="AAX1" t="s">
        <v>7287</v>
      </c>
      <c r="AAY1" t="s">
        <v>7288</v>
      </c>
      <c r="AAZ1" t="s">
        <v>7289</v>
      </c>
      <c r="ABA1" t="s">
        <v>7290</v>
      </c>
      <c r="ABB1" t="s">
        <v>7291</v>
      </c>
      <c r="ABC1" t="s">
        <v>7292</v>
      </c>
      <c r="ABD1" t="s">
        <v>7293</v>
      </c>
      <c r="ABE1" t="s">
        <v>7294</v>
      </c>
      <c r="ABF1" t="s">
        <v>7295</v>
      </c>
      <c r="ABG1" t="s">
        <v>7296</v>
      </c>
      <c r="ABH1" t="s">
        <v>7297</v>
      </c>
      <c r="ABI1" t="s">
        <v>7298</v>
      </c>
      <c r="ABJ1" t="s">
        <v>7299</v>
      </c>
      <c r="ABK1" t="s">
        <v>7300</v>
      </c>
      <c r="ABL1" t="s">
        <v>7301</v>
      </c>
      <c r="ABM1" t="s">
        <v>7302</v>
      </c>
      <c r="ABN1" t="s">
        <v>7303</v>
      </c>
      <c r="ABO1" t="s">
        <v>7304</v>
      </c>
      <c r="ABP1" t="s">
        <v>7305</v>
      </c>
      <c r="ABQ1" t="s">
        <v>7306</v>
      </c>
      <c r="ABR1" t="s">
        <v>7307</v>
      </c>
      <c r="ABS1" t="s">
        <v>7308</v>
      </c>
      <c r="ABT1" t="s">
        <v>7309</v>
      </c>
      <c r="ABU1" t="s">
        <v>7310</v>
      </c>
      <c r="ABV1" t="s">
        <v>7311</v>
      </c>
      <c r="ABW1" t="s">
        <v>7312</v>
      </c>
      <c r="ABX1" t="s">
        <v>7313</v>
      </c>
      <c r="ABY1" t="s">
        <v>7314</v>
      </c>
      <c r="ABZ1" t="s">
        <v>7315</v>
      </c>
      <c r="ACA1" t="s">
        <v>7316</v>
      </c>
      <c r="ACB1" t="s">
        <v>7317</v>
      </c>
      <c r="ACC1" t="s">
        <v>7318</v>
      </c>
      <c r="ACD1" t="s">
        <v>7319</v>
      </c>
      <c r="ACE1" t="s">
        <v>7320</v>
      </c>
      <c r="ACF1" t="s">
        <v>7321</v>
      </c>
      <c r="ACG1" t="s">
        <v>7322</v>
      </c>
      <c r="ACH1" t="s">
        <v>7323</v>
      </c>
      <c r="ACI1" t="s">
        <v>7324</v>
      </c>
      <c r="ACJ1" t="s">
        <v>7325</v>
      </c>
      <c r="ACK1" t="s">
        <v>7326</v>
      </c>
      <c r="ACL1" t="s">
        <v>7327</v>
      </c>
      <c r="ACM1" t="s">
        <v>7328</v>
      </c>
      <c r="ACN1" t="s">
        <v>7329</v>
      </c>
      <c r="ACO1" t="s">
        <v>7330</v>
      </c>
      <c r="ACP1" t="s">
        <v>7331</v>
      </c>
      <c r="ACQ1" t="s">
        <v>7332</v>
      </c>
      <c r="ACR1" t="s">
        <v>7333</v>
      </c>
      <c r="ACS1" t="s">
        <v>7334</v>
      </c>
      <c r="ACT1" t="s">
        <v>7335</v>
      </c>
      <c r="ACU1" t="s">
        <v>7336</v>
      </c>
      <c r="ACV1" t="s">
        <v>7337</v>
      </c>
      <c r="ACW1" t="s">
        <v>7338</v>
      </c>
      <c r="ACX1" t="s">
        <v>7339</v>
      </c>
      <c r="ACY1" t="s">
        <v>7340</v>
      </c>
      <c r="ACZ1" t="s">
        <v>7341</v>
      </c>
      <c r="ADA1" t="s">
        <v>7342</v>
      </c>
      <c r="ADB1" t="s">
        <v>7343</v>
      </c>
      <c r="ADC1" t="s">
        <v>7344</v>
      </c>
      <c r="ADD1" t="s">
        <v>7345</v>
      </c>
      <c r="ADE1" t="s">
        <v>7346</v>
      </c>
      <c r="ADF1" t="s">
        <v>7347</v>
      </c>
      <c r="ADG1" t="s">
        <v>7348</v>
      </c>
      <c r="ADH1" t="s">
        <v>7349</v>
      </c>
      <c r="ADI1" t="s">
        <v>7350</v>
      </c>
      <c r="ADJ1" t="s">
        <v>7351</v>
      </c>
      <c r="ADK1" t="s">
        <v>7352</v>
      </c>
      <c r="ADL1" t="s">
        <v>7353</v>
      </c>
      <c r="ADM1" t="s">
        <v>7354</v>
      </c>
      <c r="ADN1" t="s">
        <v>7355</v>
      </c>
      <c r="ADO1" t="s">
        <v>7356</v>
      </c>
      <c r="ADP1" t="s">
        <v>7357</v>
      </c>
      <c r="ADQ1" t="s">
        <v>7358</v>
      </c>
      <c r="ADR1" t="s">
        <v>7359</v>
      </c>
      <c r="ADS1" t="s">
        <v>7360</v>
      </c>
      <c r="ADT1" t="s">
        <v>7361</v>
      </c>
      <c r="ADU1" t="s">
        <v>7362</v>
      </c>
      <c r="ADV1" t="s">
        <v>7363</v>
      </c>
      <c r="ADW1" t="s">
        <v>7364</v>
      </c>
      <c r="ADX1" t="s">
        <v>7365</v>
      </c>
      <c r="ADY1" t="s">
        <v>7366</v>
      </c>
      <c r="ADZ1" t="s">
        <v>7367</v>
      </c>
      <c r="AEA1" t="s">
        <v>7368</v>
      </c>
      <c r="AEB1" t="s">
        <v>7369</v>
      </c>
      <c r="AEC1" t="s">
        <v>7370</v>
      </c>
      <c r="AED1" t="s">
        <v>7371</v>
      </c>
      <c r="AEE1" t="s">
        <v>7372</v>
      </c>
      <c r="AEF1" t="s">
        <v>7373</v>
      </c>
      <c r="AEG1" t="s">
        <v>7374</v>
      </c>
      <c r="AEH1" t="s">
        <v>7375</v>
      </c>
      <c r="AEI1" t="s">
        <v>7376</v>
      </c>
      <c r="AEJ1" t="s">
        <v>7377</v>
      </c>
      <c r="AEK1" t="s">
        <v>7378</v>
      </c>
      <c r="AEL1" t="s">
        <v>7379</v>
      </c>
      <c r="AEM1" t="s">
        <v>7380</v>
      </c>
      <c r="AEN1" t="s">
        <v>7381</v>
      </c>
      <c r="AEO1" t="s">
        <v>7382</v>
      </c>
      <c r="AEP1" t="s">
        <v>7383</v>
      </c>
      <c r="AEQ1" t="s">
        <v>7384</v>
      </c>
      <c r="AER1" t="s">
        <v>7385</v>
      </c>
      <c r="AES1" t="s">
        <v>7386</v>
      </c>
      <c r="AET1" t="s">
        <v>7387</v>
      </c>
      <c r="AEU1" t="s">
        <v>7388</v>
      </c>
      <c r="AEV1" t="s">
        <v>7389</v>
      </c>
      <c r="AEW1" t="s">
        <v>7390</v>
      </c>
      <c r="AEX1" t="s">
        <v>7391</v>
      </c>
      <c r="AEY1" t="s">
        <v>7392</v>
      </c>
      <c r="AEZ1" t="s">
        <v>7393</v>
      </c>
      <c r="AFA1" t="s">
        <v>7394</v>
      </c>
      <c r="AFB1" t="s">
        <v>7395</v>
      </c>
      <c r="AFC1" t="s">
        <v>7396</v>
      </c>
      <c r="AFD1" t="s">
        <v>7397</v>
      </c>
      <c r="AFE1" t="s">
        <v>7398</v>
      </c>
      <c r="AFF1" t="s">
        <v>7399</v>
      </c>
      <c r="AFG1" t="s">
        <v>7400</v>
      </c>
      <c r="AFH1" t="s">
        <v>7401</v>
      </c>
      <c r="AFI1" t="s">
        <v>7402</v>
      </c>
      <c r="AFJ1" t="s">
        <v>7403</v>
      </c>
      <c r="AFK1" t="s">
        <v>7404</v>
      </c>
      <c r="AFL1" t="s">
        <v>7405</v>
      </c>
      <c r="AFM1" t="s">
        <v>7406</v>
      </c>
      <c r="AFN1" t="s">
        <v>7407</v>
      </c>
      <c r="AFO1" t="s">
        <v>7408</v>
      </c>
      <c r="AFP1" t="s">
        <v>7409</v>
      </c>
      <c r="AFQ1" t="s">
        <v>7410</v>
      </c>
      <c r="AFR1" t="s">
        <v>7411</v>
      </c>
      <c r="AFS1" t="s">
        <v>7412</v>
      </c>
      <c r="AFT1" t="s">
        <v>7413</v>
      </c>
      <c r="AFU1" t="s">
        <v>7414</v>
      </c>
      <c r="AFV1" t="s">
        <v>7415</v>
      </c>
      <c r="AFW1" t="s">
        <v>7416</v>
      </c>
      <c r="AFX1" t="s">
        <v>7417</v>
      </c>
      <c r="AFY1" t="s">
        <v>7418</v>
      </c>
      <c r="AFZ1" t="s">
        <v>7419</v>
      </c>
      <c r="AGA1" t="s">
        <v>7420</v>
      </c>
      <c r="AGB1" t="s">
        <v>7421</v>
      </c>
      <c r="AGC1" t="s">
        <v>7422</v>
      </c>
      <c r="AGD1" t="s">
        <v>7423</v>
      </c>
      <c r="AGE1" t="s">
        <v>7424</v>
      </c>
      <c r="AGF1" t="s">
        <v>7425</v>
      </c>
      <c r="AGG1" t="s">
        <v>7426</v>
      </c>
      <c r="AGH1" t="s">
        <v>7427</v>
      </c>
      <c r="AGI1" t="s">
        <v>7428</v>
      </c>
      <c r="AGJ1" t="s">
        <v>7429</v>
      </c>
      <c r="AGK1" t="s">
        <v>7430</v>
      </c>
      <c r="AGL1" t="s">
        <v>7431</v>
      </c>
      <c r="AGM1" t="s">
        <v>7432</v>
      </c>
      <c r="AGN1" t="s">
        <v>7433</v>
      </c>
      <c r="AGO1" t="s">
        <v>7434</v>
      </c>
      <c r="AGP1" t="s">
        <v>7435</v>
      </c>
      <c r="AGQ1" t="s">
        <v>7436</v>
      </c>
      <c r="AGR1" t="s">
        <v>7437</v>
      </c>
      <c r="AGS1" t="s">
        <v>7438</v>
      </c>
      <c r="AGT1" t="s">
        <v>7439</v>
      </c>
      <c r="AGU1" t="s">
        <v>7440</v>
      </c>
      <c r="AGV1" t="s">
        <v>7441</v>
      </c>
      <c r="AGW1" t="s">
        <v>7442</v>
      </c>
      <c r="AGX1" t="s">
        <v>7443</v>
      </c>
      <c r="AGY1" t="s">
        <v>7444</v>
      </c>
      <c r="AGZ1" t="s">
        <v>7445</v>
      </c>
      <c r="AHA1" t="s">
        <v>7446</v>
      </c>
      <c r="AHB1" t="s">
        <v>7447</v>
      </c>
      <c r="AHC1" t="s">
        <v>7448</v>
      </c>
      <c r="AHD1" t="s">
        <v>7449</v>
      </c>
      <c r="AHE1" t="s">
        <v>7450</v>
      </c>
      <c r="AHF1" t="s">
        <v>7451</v>
      </c>
      <c r="AHG1" t="s">
        <v>7452</v>
      </c>
      <c r="AHH1" t="s">
        <v>7453</v>
      </c>
      <c r="AHI1" t="s">
        <v>7454</v>
      </c>
      <c r="AHJ1" t="s">
        <v>7455</v>
      </c>
      <c r="AHK1" t="s">
        <v>7456</v>
      </c>
      <c r="AHL1" t="s">
        <v>7457</v>
      </c>
      <c r="AHM1" t="s">
        <v>7458</v>
      </c>
      <c r="AHN1" t="s">
        <v>7459</v>
      </c>
      <c r="AHO1" t="s">
        <v>7460</v>
      </c>
      <c r="AHP1" t="s">
        <v>7461</v>
      </c>
      <c r="AHQ1" t="s">
        <v>7462</v>
      </c>
      <c r="AHR1" t="s">
        <v>7463</v>
      </c>
      <c r="AHS1" t="s">
        <v>7464</v>
      </c>
      <c r="AHT1" t="s">
        <v>7465</v>
      </c>
      <c r="AHU1" t="s">
        <v>7466</v>
      </c>
      <c r="AHV1" t="s">
        <v>7467</v>
      </c>
      <c r="AHW1" t="s">
        <v>7468</v>
      </c>
      <c r="AHX1" t="s">
        <v>7469</v>
      </c>
      <c r="AHY1" t="s">
        <v>7470</v>
      </c>
      <c r="AHZ1" t="s">
        <v>7471</v>
      </c>
      <c r="AIA1" t="s">
        <v>7472</v>
      </c>
      <c r="AIB1" t="s">
        <v>7473</v>
      </c>
      <c r="AIC1" t="s">
        <v>7474</v>
      </c>
      <c r="AID1" t="s">
        <v>7475</v>
      </c>
      <c r="AIE1" t="s">
        <v>7476</v>
      </c>
      <c r="AIF1" t="s">
        <v>7477</v>
      </c>
      <c r="AIG1" t="s">
        <v>7478</v>
      </c>
      <c r="AIH1" t="s">
        <v>7479</v>
      </c>
      <c r="AII1" t="s">
        <v>7480</v>
      </c>
      <c r="AIJ1" t="s">
        <v>7481</v>
      </c>
      <c r="AIK1" t="s">
        <v>7482</v>
      </c>
      <c r="AIL1" t="s">
        <v>7483</v>
      </c>
      <c r="AIM1" t="s">
        <v>7484</v>
      </c>
      <c r="AIN1" t="s">
        <v>7485</v>
      </c>
      <c r="AIO1" t="s">
        <v>7486</v>
      </c>
      <c r="AIP1" t="s">
        <v>7487</v>
      </c>
      <c r="AIQ1" t="s">
        <v>7488</v>
      </c>
      <c r="AIR1" t="s">
        <v>7489</v>
      </c>
      <c r="AIS1" t="s">
        <v>7490</v>
      </c>
      <c r="AIT1" t="s">
        <v>7491</v>
      </c>
      <c r="AIU1" t="s">
        <v>7492</v>
      </c>
      <c r="AIV1" t="s">
        <v>7493</v>
      </c>
      <c r="AIW1" t="s">
        <v>7494</v>
      </c>
      <c r="AIX1" t="s">
        <v>7495</v>
      </c>
      <c r="AIY1" t="s">
        <v>7496</v>
      </c>
      <c r="AIZ1" t="s">
        <v>7497</v>
      </c>
      <c r="AJA1" t="s">
        <v>7498</v>
      </c>
      <c r="AJB1" t="s">
        <v>7499</v>
      </c>
      <c r="AJC1" t="s">
        <v>7500</v>
      </c>
      <c r="AJD1" t="s">
        <v>7501</v>
      </c>
      <c r="AJE1" t="s">
        <v>7502</v>
      </c>
      <c r="AJF1" t="s">
        <v>7503</v>
      </c>
      <c r="AJG1" t="s">
        <v>7504</v>
      </c>
      <c r="AJH1" t="s">
        <v>7505</v>
      </c>
      <c r="AJI1" t="s">
        <v>7506</v>
      </c>
      <c r="AJJ1" t="s">
        <v>7507</v>
      </c>
      <c r="AJK1" t="s">
        <v>7508</v>
      </c>
      <c r="AJL1" t="s">
        <v>7509</v>
      </c>
      <c r="AJM1" t="s">
        <v>7510</v>
      </c>
      <c r="AJN1" t="s">
        <v>7511</v>
      </c>
      <c r="AJO1" t="s">
        <v>7512</v>
      </c>
      <c r="AJP1" t="s">
        <v>7513</v>
      </c>
      <c r="AJQ1" t="s">
        <v>7514</v>
      </c>
      <c r="AJR1" t="s">
        <v>7515</v>
      </c>
      <c r="AJS1" t="s">
        <v>7516</v>
      </c>
      <c r="AJT1" t="s">
        <v>7517</v>
      </c>
      <c r="AJU1" t="s">
        <v>7518</v>
      </c>
      <c r="AJV1" t="s">
        <v>7519</v>
      </c>
      <c r="AJW1" t="s">
        <v>7520</v>
      </c>
      <c r="AJX1" t="s">
        <v>7521</v>
      </c>
      <c r="AJY1" t="s">
        <v>7522</v>
      </c>
      <c r="AJZ1" t="s">
        <v>7523</v>
      </c>
      <c r="AKA1" t="s">
        <v>7524</v>
      </c>
      <c r="AKB1" t="s">
        <v>7525</v>
      </c>
      <c r="AKC1" t="s">
        <v>7526</v>
      </c>
      <c r="AKD1" t="s">
        <v>7527</v>
      </c>
      <c r="AKE1" t="s">
        <v>7528</v>
      </c>
      <c r="AKF1" t="s">
        <v>7529</v>
      </c>
      <c r="AKG1" t="s">
        <v>7530</v>
      </c>
      <c r="AKH1" t="s">
        <v>7531</v>
      </c>
      <c r="AKI1" t="s">
        <v>7532</v>
      </c>
      <c r="AKJ1" t="s">
        <v>7533</v>
      </c>
      <c r="AKK1" t="s">
        <v>7534</v>
      </c>
      <c r="AKL1" t="s">
        <v>7535</v>
      </c>
      <c r="AKM1" t="s">
        <v>7536</v>
      </c>
      <c r="AKN1" t="s">
        <v>7537</v>
      </c>
      <c r="AKO1" t="s">
        <v>7538</v>
      </c>
      <c r="AKP1" t="s">
        <v>7539</v>
      </c>
      <c r="AKQ1" t="s">
        <v>7540</v>
      </c>
      <c r="AKR1" t="s">
        <v>7541</v>
      </c>
      <c r="AKS1" t="s">
        <v>7542</v>
      </c>
      <c r="AKT1" t="s">
        <v>7543</v>
      </c>
      <c r="AKU1" t="s">
        <v>7544</v>
      </c>
      <c r="AKV1" t="s">
        <v>7545</v>
      </c>
      <c r="AKW1" t="s">
        <v>7546</v>
      </c>
      <c r="AKX1" t="s">
        <v>7547</v>
      </c>
      <c r="AKY1" t="s">
        <v>7548</v>
      </c>
      <c r="AKZ1" t="s">
        <v>7549</v>
      </c>
      <c r="ALA1" t="s">
        <v>7550</v>
      </c>
      <c r="ALB1" t="s">
        <v>7551</v>
      </c>
      <c r="ALC1" t="s">
        <v>7552</v>
      </c>
      <c r="ALD1" t="s">
        <v>7553</v>
      </c>
      <c r="ALE1" t="s">
        <v>7554</v>
      </c>
      <c r="ALF1" t="s">
        <v>7555</v>
      </c>
      <c r="ALG1" t="s">
        <v>7556</v>
      </c>
      <c r="ALH1" t="s">
        <v>7557</v>
      </c>
      <c r="ALI1" t="s">
        <v>7558</v>
      </c>
      <c r="ALJ1" t="s">
        <v>7559</v>
      </c>
      <c r="ALK1" t="s">
        <v>7560</v>
      </c>
      <c r="ALL1" t="s">
        <v>7561</v>
      </c>
      <c r="ALM1" t="s">
        <v>7562</v>
      </c>
      <c r="ALN1" t="s">
        <v>7563</v>
      </c>
      <c r="ALO1" t="s">
        <v>7564</v>
      </c>
      <c r="ALP1" t="s">
        <v>7565</v>
      </c>
      <c r="ALQ1" t="s">
        <v>7566</v>
      </c>
      <c r="ALR1" t="s">
        <v>7567</v>
      </c>
      <c r="ALS1" t="s">
        <v>7568</v>
      </c>
      <c r="ALT1" t="s">
        <v>7569</v>
      </c>
      <c r="ALU1" t="s">
        <v>7570</v>
      </c>
      <c r="ALV1" t="s">
        <v>7571</v>
      </c>
      <c r="ALW1" t="s">
        <v>7572</v>
      </c>
      <c r="ALX1" t="s">
        <v>7573</v>
      </c>
      <c r="ALY1" t="s">
        <v>7574</v>
      </c>
      <c r="ALZ1" t="s">
        <v>7575</v>
      </c>
      <c r="AMA1" t="s">
        <v>7576</v>
      </c>
      <c r="AMB1" t="s">
        <v>7577</v>
      </c>
      <c r="AMC1" t="s">
        <v>7578</v>
      </c>
      <c r="AMD1" t="s">
        <v>7579</v>
      </c>
      <c r="AME1" t="s">
        <v>7580</v>
      </c>
      <c r="AMF1" t="s">
        <v>7581</v>
      </c>
      <c r="AMG1" t="s">
        <v>7582</v>
      </c>
      <c r="AMH1" t="s">
        <v>7583</v>
      </c>
      <c r="AMI1" t="s">
        <v>7584</v>
      </c>
      <c r="AMJ1" t="s">
        <v>7585</v>
      </c>
      <c r="AMK1" t="s">
        <v>7586</v>
      </c>
      <c r="AML1" t="s">
        <v>7587</v>
      </c>
      <c r="AMM1" t="s">
        <v>7588</v>
      </c>
      <c r="AMN1" t="s">
        <v>7589</v>
      </c>
      <c r="AMO1" t="s">
        <v>7590</v>
      </c>
      <c r="AMP1" t="s">
        <v>7591</v>
      </c>
      <c r="AMQ1" t="s">
        <v>7592</v>
      </c>
      <c r="AMR1" t="s">
        <v>7593</v>
      </c>
      <c r="AMS1" t="s">
        <v>7594</v>
      </c>
      <c r="AMT1" t="s">
        <v>7595</v>
      </c>
      <c r="AMU1" t="s">
        <v>7596</v>
      </c>
      <c r="AMV1" t="s">
        <v>7597</v>
      </c>
      <c r="AMW1" t="s">
        <v>7598</v>
      </c>
      <c r="AMX1" t="s">
        <v>7599</v>
      </c>
      <c r="AMY1" t="s">
        <v>7600</v>
      </c>
      <c r="AMZ1" t="s">
        <v>7601</v>
      </c>
      <c r="ANA1" t="s">
        <v>7602</v>
      </c>
      <c r="ANB1" t="s">
        <v>7603</v>
      </c>
      <c r="ANC1" t="s">
        <v>7604</v>
      </c>
      <c r="AND1" t="s">
        <v>7605</v>
      </c>
      <c r="ANE1" t="s">
        <v>7606</v>
      </c>
      <c r="ANF1" t="s">
        <v>7607</v>
      </c>
      <c r="ANG1" t="s">
        <v>7608</v>
      </c>
      <c r="ANH1" t="s">
        <v>7609</v>
      </c>
      <c r="ANI1" t="s">
        <v>7610</v>
      </c>
      <c r="ANJ1" t="s">
        <v>7611</v>
      </c>
      <c r="ANK1" t="s">
        <v>7612</v>
      </c>
      <c r="ANL1" t="s">
        <v>7613</v>
      </c>
      <c r="ANM1" t="s">
        <v>7614</v>
      </c>
      <c r="ANN1" t="s">
        <v>7615</v>
      </c>
      <c r="ANO1" t="s">
        <v>7616</v>
      </c>
      <c r="ANP1" t="s">
        <v>7617</v>
      </c>
      <c r="ANQ1" t="s">
        <v>7618</v>
      </c>
      <c r="ANR1" t="s">
        <v>7619</v>
      </c>
      <c r="ANS1" t="s">
        <v>7620</v>
      </c>
      <c r="ANT1" t="s">
        <v>7621</v>
      </c>
      <c r="ANU1" t="s">
        <v>7622</v>
      </c>
      <c r="ANV1" t="s">
        <v>7623</v>
      </c>
      <c r="ANW1" t="s">
        <v>7624</v>
      </c>
      <c r="ANX1" t="s">
        <v>7625</v>
      </c>
      <c r="ANY1" t="s">
        <v>7626</v>
      </c>
      <c r="ANZ1" t="s">
        <v>7627</v>
      </c>
      <c r="AOA1" t="s">
        <v>7628</v>
      </c>
      <c r="AOB1" t="s">
        <v>7629</v>
      </c>
      <c r="AOC1" t="s">
        <v>7630</v>
      </c>
      <c r="AOD1" t="s">
        <v>7631</v>
      </c>
      <c r="AOE1" t="s">
        <v>7632</v>
      </c>
      <c r="AOF1" t="s">
        <v>7633</v>
      </c>
      <c r="AOG1" t="s">
        <v>7634</v>
      </c>
      <c r="AOH1" t="s">
        <v>5505</v>
      </c>
      <c r="AOI1" t="s">
        <v>7635</v>
      </c>
      <c r="AOJ1" t="s">
        <v>7636</v>
      </c>
      <c r="AOK1" t="s">
        <v>7637</v>
      </c>
      <c r="AOL1" t="s">
        <v>7638</v>
      </c>
      <c r="AOM1" t="s">
        <v>7639</v>
      </c>
      <c r="AON1" t="s">
        <v>7640</v>
      </c>
      <c r="AOO1" t="s">
        <v>7641</v>
      </c>
      <c r="AOP1" t="s">
        <v>7642</v>
      </c>
      <c r="AOQ1" t="s">
        <v>7643</v>
      </c>
      <c r="AOR1" t="s">
        <v>7644</v>
      </c>
      <c r="AOS1" t="s">
        <v>7645</v>
      </c>
      <c r="AOT1" t="s">
        <v>7646</v>
      </c>
      <c r="AOU1" t="s">
        <v>7647</v>
      </c>
      <c r="AOV1" t="s">
        <v>7648</v>
      </c>
      <c r="AOW1" t="s">
        <v>7649</v>
      </c>
      <c r="AOX1" t="s">
        <v>7650</v>
      </c>
      <c r="AOY1" t="s">
        <v>7651</v>
      </c>
      <c r="AOZ1" t="s">
        <v>7652</v>
      </c>
      <c r="APA1" t="s">
        <v>7653</v>
      </c>
      <c r="APB1" t="s">
        <v>7654</v>
      </c>
      <c r="APC1" t="s">
        <v>7655</v>
      </c>
      <c r="APD1" t="s">
        <v>7656</v>
      </c>
      <c r="APE1" t="s">
        <v>7657</v>
      </c>
      <c r="APF1" t="s">
        <v>7658</v>
      </c>
      <c r="APG1" t="s">
        <v>7659</v>
      </c>
      <c r="APH1" t="s">
        <v>7660</v>
      </c>
      <c r="API1" t="s">
        <v>7661</v>
      </c>
      <c r="APJ1" t="s">
        <v>7662</v>
      </c>
      <c r="APK1" t="s">
        <v>7663</v>
      </c>
      <c r="APL1" t="s">
        <v>7664</v>
      </c>
      <c r="APM1" t="s">
        <v>7665</v>
      </c>
      <c r="APN1" t="s">
        <v>7666</v>
      </c>
      <c r="APO1" t="s">
        <v>7667</v>
      </c>
      <c r="APP1" t="s">
        <v>7668</v>
      </c>
      <c r="APQ1" t="s">
        <v>7669</v>
      </c>
      <c r="APR1" t="s">
        <v>7670</v>
      </c>
      <c r="APS1" t="s">
        <v>7671</v>
      </c>
      <c r="APT1" t="s">
        <v>7672</v>
      </c>
      <c r="APU1" t="s">
        <v>7673</v>
      </c>
      <c r="APV1" t="s">
        <v>7674</v>
      </c>
      <c r="APW1" t="s">
        <v>7675</v>
      </c>
      <c r="APX1" t="s">
        <v>7676</v>
      </c>
      <c r="APY1" t="s">
        <v>7677</v>
      </c>
      <c r="APZ1" t="s">
        <v>7678</v>
      </c>
      <c r="AQA1" t="s">
        <v>7679</v>
      </c>
      <c r="AQB1" t="s">
        <v>7680</v>
      </c>
      <c r="AQC1" t="s">
        <v>7681</v>
      </c>
      <c r="AQD1" t="s">
        <v>7682</v>
      </c>
      <c r="AQE1" t="s">
        <v>7683</v>
      </c>
      <c r="AQF1" t="s">
        <v>7684</v>
      </c>
      <c r="AQG1" t="s">
        <v>7685</v>
      </c>
      <c r="AQH1" t="s">
        <v>7686</v>
      </c>
      <c r="AQI1" t="s">
        <v>7687</v>
      </c>
      <c r="AQJ1" t="s">
        <v>7688</v>
      </c>
      <c r="AQK1" t="s">
        <v>7689</v>
      </c>
      <c r="AQL1" t="s">
        <v>7690</v>
      </c>
      <c r="AQM1" t="s">
        <v>7691</v>
      </c>
      <c r="AQN1" t="s">
        <v>7692</v>
      </c>
      <c r="AQO1" t="s">
        <v>7693</v>
      </c>
      <c r="AQP1" t="s">
        <v>7694</v>
      </c>
      <c r="AQQ1" t="s">
        <v>7695</v>
      </c>
      <c r="AQR1" t="s">
        <v>7696</v>
      </c>
      <c r="AQS1" t="s">
        <v>7697</v>
      </c>
      <c r="AQT1" t="s">
        <v>7698</v>
      </c>
      <c r="AQU1" t="s">
        <v>7699</v>
      </c>
      <c r="AQV1" t="s">
        <v>7700</v>
      </c>
      <c r="AQW1" t="s">
        <v>7701</v>
      </c>
      <c r="AQX1" t="s">
        <v>7702</v>
      </c>
      <c r="AQY1" t="s">
        <v>7703</v>
      </c>
      <c r="AQZ1" t="s">
        <v>7704</v>
      </c>
      <c r="ARA1" t="s">
        <v>7705</v>
      </c>
      <c r="ARB1" t="s">
        <v>7706</v>
      </c>
      <c r="ARC1" t="s">
        <v>7707</v>
      </c>
      <c r="ARD1" t="s">
        <v>7708</v>
      </c>
      <c r="ARE1" t="s">
        <v>7709</v>
      </c>
      <c r="ARF1" t="s">
        <v>7710</v>
      </c>
      <c r="ARG1" t="s">
        <v>7711</v>
      </c>
      <c r="ARH1" t="s">
        <v>7712</v>
      </c>
      <c r="ARI1" t="s">
        <v>7713</v>
      </c>
      <c r="ARJ1" t="s">
        <v>7714</v>
      </c>
      <c r="ARK1" t="s">
        <v>7715</v>
      </c>
      <c r="ARL1" t="s">
        <v>7716</v>
      </c>
      <c r="ARM1" t="s">
        <v>7717</v>
      </c>
      <c r="ARN1" t="s">
        <v>7718</v>
      </c>
      <c r="ARO1" t="s">
        <v>7719</v>
      </c>
      <c r="ARP1" t="s">
        <v>7720</v>
      </c>
      <c r="ARQ1" t="s">
        <v>7721</v>
      </c>
      <c r="ARR1" t="s">
        <v>7722</v>
      </c>
      <c r="ARS1" t="s">
        <v>7723</v>
      </c>
      <c r="ART1" t="s">
        <v>7724</v>
      </c>
      <c r="ARU1" t="s">
        <v>7725</v>
      </c>
      <c r="ARV1" t="s">
        <v>7726</v>
      </c>
      <c r="ARW1" t="s">
        <v>7727</v>
      </c>
      <c r="ARX1" t="s">
        <v>7728</v>
      </c>
      <c r="ARY1" t="s">
        <v>7729</v>
      </c>
      <c r="ARZ1" t="s">
        <v>7730</v>
      </c>
      <c r="ASA1" t="s">
        <v>7731</v>
      </c>
      <c r="ASB1" t="s">
        <v>7732</v>
      </c>
      <c r="ASC1" t="s">
        <v>7733</v>
      </c>
      <c r="ASD1" t="s">
        <v>7734</v>
      </c>
      <c r="ASE1" t="s">
        <v>7735</v>
      </c>
      <c r="ASF1" t="s">
        <v>7736</v>
      </c>
      <c r="ASG1" t="s">
        <v>7737</v>
      </c>
      <c r="ASH1" t="s">
        <v>7738</v>
      </c>
      <c r="ASI1" t="s">
        <v>7739</v>
      </c>
      <c r="ASJ1" t="s">
        <v>7740</v>
      </c>
      <c r="ASK1" t="s">
        <v>7741</v>
      </c>
      <c r="ASL1" t="s">
        <v>7742</v>
      </c>
      <c r="ASM1" t="s">
        <v>7743</v>
      </c>
      <c r="ASN1" t="s">
        <v>7744</v>
      </c>
      <c r="ASO1" t="s">
        <v>7745</v>
      </c>
      <c r="ASP1" t="s">
        <v>7746</v>
      </c>
      <c r="ASQ1" t="s">
        <v>7747</v>
      </c>
      <c r="ASR1" t="s">
        <v>7748</v>
      </c>
      <c r="ASS1" t="s">
        <v>7749</v>
      </c>
      <c r="AST1" t="s">
        <v>7750</v>
      </c>
      <c r="ASU1" t="s">
        <v>7751</v>
      </c>
      <c r="ASV1" t="s">
        <v>7752</v>
      </c>
      <c r="ASW1" t="s">
        <v>7753</v>
      </c>
      <c r="ASX1" t="s">
        <v>7754</v>
      </c>
      <c r="ASY1" t="s">
        <v>7755</v>
      </c>
      <c r="ASZ1" t="s">
        <v>7756</v>
      </c>
      <c r="ATA1" t="s">
        <v>7757</v>
      </c>
      <c r="ATB1" t="s">
        <v>7758</v>
      </c>
      <c r="ATC1" t="s">
        <v>7759</v>
      </c>
      <c r="ATD1" t="s">
        <v>7760</v>
      </c>
      <c r="ATE1" t="s">
        <v>7761</v>
      </c>
      <c r="ATF1" t="s">
        <v>7762</v>
      </c>
      <c r="ATG1" t="s">
        <v>7763</v>
      </c>
      <c r="ATH1" t="s">
        <v>7764</v>
      </c>
      <c r="ATI1" t="s">
        <v>7765</v>
      </c>
      <c r="ATJ1" t="s">
        <v>7766</v>
      </c>
      <c r="ATK1" t="s">
        <v>7767</v>
      </c>
      <c r="ATL1" t="s">
        <v>7768</v>
      </c>
      <c r="ATM1" t="s">
        <v>7769</v>
      </c>
      <c r="ATN1" t="s">
        <v>7770</v>
      </c>
      <c r="ATO1" t="s">
        <v>7771</v>
      </c>
      <c r="ATP1" t="s">
        <v>7772</v>
      </c>
      <c r="ATQ1" t="s">
        <v>7773</v>
      </c>
      <c r="ATR1" t="s">
        <v>7774</v>
      </c>
      <c r="ATS1" t="s">
        <v>7775</v>
      </c>
      <c r="ATT1" t="s">
        <v>7776</v>
      </c>
      <c r="ATU1" t="s">
        <v>7777</v>
      </c>
      <c r="ATV1" t="s">
        <v>7778</v>
      </c>
      <c r="ATW1" t="s">
        <v>7779</v>
      </c>
      <c r="ATX1" t="s">
        <v>7780</v>
      </c>
      <c r="ATY1" t="s">
        <v>7781</v>
      </c>
      <c r="ATZ1" t="s">
        <v>7782</v>
      </c>
      <c r="AUA1" t="s">
        <v>7783</v>
      </c>
      <c r="AUB1" t="s">
        <v>7784</v>
      </c>
      <c r="AUC1" t="s">
        <v>7785</v>
      </c>
      <c r="AUD1" t="s">
        <v>7786</v>
      </c>
      <c r="AUE1" t="s">
        <v>7787</v>
      </c>
      <c r="AUF1" t="s">
        <v>7788</v>
      </c>
      <c r="AUG1" t="s">
        <v>7789</v>
      </c>
      <c r="AUH1" t="s">
        <v>7790</v>
      </c>
      <c r="AUI1" t="s">
        <v>7791</v>
      </c>
      <c r="AUJ1" t="s">
        <v>7792</v>
      </c>
      <c r="AUK1" t="s">
        <v>7793</v>
      </c>
      <c r="AUL1" t="s">
        <v>7794</v>
      </c>
      <c r="AUM1" t="s">
        <v>7795</v>
      </c>
      <c r="AUN1" t="s">
        <v>7796</v>
      </c>
      <c r="AUO1" t="s">
        <v>7797</v>
      </c>
      <c r="AUP1" t="s">
        <v>7798</v>
      </c>
      <c r="AUQ1" t="s">
        <v>7799</v>
      </c>
      <c r="AUR1" t="s">
        <v>7800</v>
      </c>
      <c r="AUS1" t="s">
        <v>7801</v>
      </c>
      <c r="AUT1" t="s">
        <v>7802</v>
      </c>
      <c r="AUU1" t="s">
        <v>7803</v>
      </c>
      <c r="AUV1" t="s">
        <v>7804</v>
      </c>
      <c r="AUW1" t="s">
        <v>7805</v>
      </c>
      <c r="AUX1" t="s">
        <v>7806</v>
      </c>
      <c r="AUY1" t="s">
        <v>7807</v>
      </c>
      <c r="AUZ1" t="s">
        <v>7808</v>
      </c>
      <c r="AVA1" t="s">
        <v>7809</v>
      </c>
      <c r="AVB1" t="s">
        <v>7810</v>
      </c>
      <c r="AVC1" t="s">
        <v>7811</v>
      </c>
      <c r="AVD1" t="s">
        <v>7812</v>
      </c>
      <c r="AVE1" t="s">
        <v>7813</v>
      </c>
      <c r="AVF1" t="s">
        <v>7814</v>
      </c>
      <c r="AVG1" t="s">
        <v>7815</v>
      </c>
      <c r="AVH1" t="s">
        <v>7816</v>
      </c>
      <c r="AVI1" t="s">
        <v>7817</v>
      </c>
      <c r="AVJ1" t="s">
        <v>7818</v>
      </c>
      <c r="AVK1" t="s">
        <v>7819</v>
      </c>
      <c r="AVL1" t="s">
        <v>7820</v>
      </c>
      <c r="AVM1" t="s">
        <v>7821</v>
      </c>
      <c r="AVN1" t="s">
        <v>7822</v>
      </c>
      <c r="AVO1" t="s">
        <v>7823</v>
      </c>
      <c r="AVP1" t="s">
        <v>7824</v>
      </c>
      <c r="AVQ1" t="s">
        <v>7825</v>
      </c>
      <c r="AVR1" t="s">
        <v>7826</v>
      </c>
      <c r="AVS1" t="s">
        <v>7827</v>
      </c>
      <c r="AVT1" t="s">
        <v>7828</v>
      </c>
      <c r="AVU1" t="s">
        <v>7829</v>
      </c>
      <c r="AVV1" t="s">
        <v>7830</v>
      </c>
      <c r="AVW1" t="s">
        <v>7831</v>
      </c>
      <c r="AVX1" t="s">
        <v>7832</v>
      </c>
      <c r="AVY1" t="s">
        <v>7833</v>
      </c>
      <c r="AVZ1" t="s">
        <v>7834</v>
      </c>
      <c r="AWA1" t="s">
        <v>7835</v>
      </c>
      <c r="AWB1" t="s">
        <v>7836</v>
      </c>
      <c r="AWC1" t="s">
        <v>7837</v>
      </c>
      <c r="AWD1" t="s">
        <v>7838</v>
      </c>
      <c r="AWE1" t="s">
        <v>7839</v>
      </c>
      <c r="AWF1" t="s">
        <v>7840</v>
      </c>
      <c r="AWG1" t="s">
        <v>7841</v>
      </c>
      <c r="AWH1" t="s">
        <v>7842</v>
      </c>
      <c r="AWI1" t="s">
        <v>7843</v>
      </c>
      <c r="AWJ1" t="s">
        <v>7844</v>
      </c>
      <c r="AWK1" t="s">
        <v>7845</v>
      </c>
      <c r="AWL1" t="s">
        <v>7846</v>
      </c>
      <c r="AWM1" t="s">
        <v>7847</v>
      </c>
      <c r="AWN1" t="s">
        <v>7848</v>
      </c>
      <c r="AWO1" t="s">
        <v>7849</v>
      </c>
      <c r="AWP1" t="s">
        <v>7850</v>
      </c>
      <c r="AWQ1" t="s">
        <v>7851</v>
      </c>
      <c r="AWR1" t="s">
        <v>7852</v>
      </c>
      <c r="AWS1" t="s">
        <v>7853</v>
      </c>
      <c r="AWT1" t="s">
        <v>7854</v>
      </c>
      <c r="AWU1" t="s">
        <v>7855</v>
      </c>
      <c r="AWV1" t="s">
        <v>7856</v>
      </c>
      <c r="AWW1" t="s">
        <v>7857</v>
      </c>
      <c r="AWX1" t="s">
        <v>7858</v>
      </c>
      <c r="AWY1" t="s">
        <v>7859</v>
      </c>
      <c r="AWZ1" t="s">
        <v>7860</v>
      </c>
      <c r="AXA1" t="s">
        <v>7861</v>
      </c>
      <c r="AXB1" t="s">
        <v>7862</v>
      </c>
      <c r="AXC1" t="s">
        <v>7863</v>
      </c>
      <c r="AXD1" t="s">
        <v>7864</v>
      </c>
      <c r="AXE1" t="s">
        <v>7865</v>
      </c>
      <c r="AXF1" t="s">
        <v>7866</v>
      </c>
      <c r="AXG1" t="s">
        <v>7867</v>
      </c>
      <c r="AXH1" t="s">
        <v>7868</v>
      </c>
      <c r="AXI1" t="s">
        <v>7869</v>
      </c>
      <c r="AXJ1" t="s">
        <v>7870</v>
      </c>
      <c r="AXK1" t="s">
        <v>7871</v>
      </c>
      <c r="AXL1" t="s">
        <v>7872</v>
      </c>
      <c r="AXM1" t="s">
        <v>7873</v>
      </c>
      <c r="AXN1" t="s">
        <v>7874</v>
      </c>
      <c r="AXO1" t="s">
        <v>7875</v>
      </c>
      <c r="AXP1" t="s">
        <v>7876</v>
      </c>
      <c r="AXQ1" t="s">
        <v>7877</v>
      </c>
      <c r="AXR1" t="s">
        <v>7878</v>
      </c>
      <c r="AXS1" t="s">
        <v>7879</v>
      </c>
      <c r="AXT1" t="s">
        <v>7880</v>
      </c>
      <c r="AXU1" t="s">
        <v>7881</v>
      </c>
      <c r="AXV1" t="s">
        <v>7882</v>
      </c>
      <c r="AXW1" t="s">
        <v>7883</v>
      </c>
      <c r="AXX1" t="s">
        <v>7884</v>
      </c>
      <c r="AXY1" t="s">
        <v>7885</v>
      </c>
      <c r="AXZ1" t="s">
        <v>7886</v>
      </c>
      <c r="AYA1" t="s">
        <v>7887</v>
      </c>
      <c r="AYB1" t="s">
        <v>7888</v>
      </c>
      <c r="AYC1" t="s">
        <v>7889</v>
      </c>
      <c r="AYD1" t="s">
        <v>7890</v>
      </c>
      <c r="AYE1" t="s">
        <v>7891</v>
      </c>
      <c r="AYF1" t="s">
        <v>7892</v>
      </c>
      <c r="AYG1" t="s">
        <v>7893</v>
      </c>
      <c r="AYH1" t="s">
        <v>7894</v>
      </c>
      <c r="AYI1" t="s">
        <v>7895</v>
      </c>
      <c r="AYJ1" t="s">
        <v>7896</v>
      </c>
      <c r="AYK1" t="s">
        <v>7897</v>
      </c>
      <c r="AYL1" t="s">
        <v>7898</v>
      </c>
      <c r="AYM1" t="s">
        <v>7899</v>
      </c>
      <c r="AYN1" t="s">
        <v>7900</v>
      </c>
      <c r="AYO1" t="s">
        <v>7901</v>
      </c>
      <c r="AYP1" t="s">
        <v>7902</v>
      </c>
      <c r="AYQ1" t="s">
        <v>7903</v>
      </c>
      <c r="AYR1" t="s">
        <v>7904</v>
      </c>
      <c r="AYS1" t="s">
        <v>7905</v>
      </c>
      <c r="AYT1" t="s">
        <v>7906</v>
      </c>
      <c r="AYU1" t="s">
        <v>7907</v>
      </c>
      <c r="AYV1" t="s">
        <v>7908</v>
      </c>
      <c r="AYW1" t="s">
        <v>7909</v>
      </c>
      <c r="AYX1" t="s">
        <v>7910</v>
      </c>
      <c r="AYY1" t="s">
        <v>7911</v>
      </c>
      <c r="AYZ1" t="s">
        <v>7912</v>
      </c>
      <c r="AZA1" t="s">
        <v>7913</v>
      </c>
      <c r="AZB1" t="s">
        <v>7914</v>
      </c>
      <c r="AZC1" t="s">
        <v>7915</v>
      </c>
      <c r="AZD1" t="s">
        <v>7916</v>
      </c>
      <c r="AZE1" t="s">
        <v>7917</v>
      </c>
      <c r="AZF1" t="s">
        <v>7918</v>
      </c>
      <c r="AZG1" t="s">
        <v>7919</v>
      </c>
      <c r="AZH1" t="s">
        <v>7920</v>
      </c>
      <c r="AZI1" t="s">
        <v>7921</v>
      </c>
      <c r="AZJ1" t="s">
        <v>7922</v>
      </c>
      <c r="AZK1" t="s">
        <v>7923</v>
      </c>
      <c r="AZL1" t="s">
        <v>7924</v>
      </c>
      <c r="AZM1" t="s">
        <v>7925</v>
      </c>
      <c r="AZN1" t="s">
        <v>7926</v>
      </c>
      <c r="AZO1" t="s">
        <v>7927</v>
      </c>
      <c r="AZP1" t="s">
        <v>7928</v>
      </c>
      <c r="AZQ1" t="s">
        <v>7929</v>
      </c>
      <c r="AZR1" t="s">
        <v>7930</v>
      </c>
      <c r="AZS1" t="s">
        <v>7931</v>
      </c>
      <c r="AZT1" t="s">
        <v>7932</v>
      </c>
      <c r="AZU1" t="s">
        <v>7933</v>
      </c>
      <c r="AZV1" t="s">
        <v>7934</v>
      </c>
      <c r="AZW1" t="s">
        <v>7935</v>
      </c>
      <c r="AZX1" t="s">
        <v>7936</v>
      </c>
      <c r="AZY1" t="s">
        <v>7937</v>
      </c>
      <c r="AZZ1" t="s">
        <v>7938</v>
      </c>
      <c r="BAA1" t="s">
        <v>7939</v>
      </c>
      <c r="BAB1" t="s">
        <v>7940</v>
      </c>
      <c r="BAC1" t="s">
        <v>7941</v>
      </c>
      <c r="BAD1" t="s">
        <v>7942</v>
      </c>
      <c r="BAE1" t="s">
        <v>7943</v>
      </c>
      <c r="BAF1" t="s">
        <v>7944</v>
      </c>
      <c r="BAG1" t="s">
        <v>7945</v>
      </c>
      <c r="BAH1" t="s">
        <v>7946</v>
      </c>
      <c r="BAI1" t="s">
        <v>7947</v>
      </c>
      <c r="BAJ1" t="s">
        <v>7948</v>
      </c>
      <c r="BAK1" t="s">
        <v>7949</v>
      </c>
      <c r="BAL1" t="s">
        <v>7950</v>
      </c>
      <c r="BAM1" t="s">
        <v>7951</v>
      </c>
      <c r="BAN1" t="s">
        <v>7952</v>
      </c>
      <c r="BAO1" t="s">
        <v>7953</v>
      </c>
      <c r="BAP1" t="s">
        <v>7954</v>
      </c>
      <c r="BAQ1" t="s">
        <v>7955</v>
      </c>
      <c r="BAR1" t="s">
        <v>7956</v>
      </c>
      <c r="BAS1" t="s">
        <v>7957</v>
      </c>
      <c r="BAT1" t="s">
        <v>7958</v>
      </c>
      <c r="BAU1" t="s">
        <v>7959</v>
      </c>
      <c r="BAV1" t="s">
        <v>7960</v>
      </c>
      <c r="BAW1" t="s">
        <v>7961</v>
      </c>
      <c r="BAX1" t="s">
        <v>7962</v>
      </c>
      <c r="BAY1" t="s">
        <v>7963</v>
      </c>
      <c r="BAZ1" t="s">
        <v>7964</v>
      </c>
      <c r="BBA1" t="s">
        <v>7965</v>
      </c>
      <c r="BBB1" t="s">
        <v>7966</v>
      </c>
      <c r="BBC1" t="s">
        <v>7967</v>
      </c>
      <c r="BBD1" t="s">
        <v>7968</v>
      </c>
      <c r="BBE1" t="s">
        <v>7969</v>
      </c>
      <c r="BBF1" t="s">
        <v>7970</v>
      </c>
      <c r="BBG1" t="s">
        <v>7971</v>
      </c>
      <c r="BBH1" t="s">
        <v>7972</v>
      </c>
      <c r="BBI1" t="s">
        <v>7973</v>
      </c>
      <c r="BBJ1" t="s">
        <v>7974</v>
      </c>
      <c r="BBK1" t="s">
        <v>7975</v>
      </c>
      <c r="BBL1" t="s">
        <v>7976</v>
      </c>
      <c r="BBM1" t="s">
        <v>7977</v>
      </c>
      <c r="BBN1" t="s">
        <v>7978</v>
      </c>
      <c r="BBO1" t="s">
        <v>7979</v>
      </c>
      <c r="BBP1" t="s">
        <v>7980</v>
      </c>
      <c r="BBQ1" t="s">
        <v>7981</v>
      </c>
      <c r="BBR1" t="s">
        <v>7982</v>
      </c>
      <c r="BBS1" t="s">
        <v>7983</v>
      </c>
      <c r="BBT1" t="s">
        <v>7984</v>
      </c>
      <c r="BBU1" t="s">
        <v>7985</v>
      </c>
      <c r="BBV1" t="s">
        <v>7986</v>
      </c>
      <c r="BBW1" t="s">
        <v>7987</v>
      </c>
      <c r="BBX1" t="s">
        <v>7988</v>
      </c>
      <c r="BBY1" t="s">
        <v>7989</v>
      </c>
      <c r="BBZ1" t="s">
        <v>7990</v>
      </c>
      <c r="BCA1" t="s">
        <v>7991</v>
      </c>
      <c r="BCB1" t="s">
        <v>7992</v>
      </c>
      <c r="BCC1" t="s">
        <v>7993</v>
      </c>
      <c r="BCD1" t="s">
        <v>7994</v>
      </c>
      <c r="BCE1" t="s">
        <v>7995</v>
      </c>
      <c r="BCF1" t="s">
        <v>7996</v>
      </c>
      <c r="BCG1" t="s">
        <v>7997</v>
      </c>
      <c r="BCH1" t="s">
        <v>7998</v>
      </c>
      <c r="BCI1" t="s">
        <v>7999</v>
      </c>
      <c r="BCJ1" t="s">
        <v>8000</v>
      </c>
      <c r="BCK1" t="s">
        <v>8001</v>
      </c>
      <c r="BCL1" t="s">
        <v>8002</v>
      </c>
      <c r="BCM1" t="s">
        <v>8003</v>
      </c>
      <c r="BCN1" t="s">
        <v>8004</v>
      </c>
      <c r="BCO1" t="s">
        <v>8005</v>
      </c>
      <c r="BCP1" t="s">
        <v>8006</v>
      </c>
      <c r="BCQ1" t="s">
        <v>8007</v>
      </c>
      <c r="BCR1" t="s">
        <v>8008</v>
      </c>
      <c r="BCS1" t="s">
        <v>8009</v>
      </c>
      <c r="BCT1" t="s">
        <v>8010</v>
      </c>
      <c r="BCU1" t="s">
        <v>8011</v>
      </c>
      <c r="BCV1" t="s">
        <v>8012</v>
      </c>
      <c r="BCW1" t="s">
        <v>8013</v>
      </c>
      <c r="BCX1" t="s">
        <v>8014</v>
      </c>
      <c r="BCY1" t="s">
        <v>8015</v>
      </c>
      <c r="BCZ1" t="s">
        <v>8016</v>
      </c>
      <c r="BDA1" t="s">
        <v>8017</v>
      </c>
      <c r="BDB1" t="s">
        <v>8018</v>
      </c>
      <c r="BDC1" t="s">
        <v>8019</v>
      </c>
      <c r="BDD1" t="s">
        <v>8020</v>
      </c>
      <c r="BDE1" t="s">
        <v>8021</v>
      </c>
      <c r="BDF1" t="s">
        <v>8022</v>
      </c>
      <c r="BDG1" t="s">
        <v>8023</v>
      </c>
      <c r="BDH1" t="s">
        <v>8024</v>
      </c>
      <c r="BDI1" t="s">
        <v>8025</v>
      </c>
      <c r="BDJ1" t="s">
        <v>8026</v>
      </c>
      <c r="BDK1" t="s">
        <v>8027</v>
      </c>
      <c r="BDL1" t="s">
        <v>8028</v>
      </c>
      <c r="BDM1" t="s">
        <v>8029</v>
      </c>
      <c r="BDN1" t="s">
        <v>8030</v>
      </c>
      <c r="BDO1" t="s">
        <v>8031</v>
      </c>
      <c r="BDP1" t="s">
        <v>8032</v>
      </c>
      <c r="BDQ1" t="s">
        <v>8033</v>
      </c>
      <c r="BDR1" t="s">
        <v>8034</v>
      </c>
      <c r="BDS1" t="s">
        <v>8035</v>
      </c>
      <c r="BDT1" t="s">
        <v>8036</v>
      </c>
      <c r="BDU1" t="s">
        <v>8037</v>
      </c>
      <c r="BDV1" t="s">
        <v>8038</v>
      </c>
      <c r="BDW1" t="s">
        <v>8039</v>
      </c>
      <c r="BDX1" t="s">
        <v>8040</v>
      </c>
      <c r="BDY1" t="s">
        <v>8041</v>
      </c>
      <c r="BDZ1" t="s">
        <v>8042</v>
      </c>
      <c r="BEA1" t="s">
        <v>8043</v>
      </c>
      <c r="BEB1" t="s">
        <v>8044</v>
      </c>
      <c r="BEC1" t="s">
        <v>8045</v>
      </c>
      <c r="BED1" t="s">
        <v>8046</v>
      </c>
      <c r="BEE1" t="s">
        <v>8047</v>
      </c>
      <c r="BEF1" t="s">
        <v>8048</v>
      </c>
      <c r="BEG1" t="s">
        <v>8049</v>
      </c>
      <c r="BEH1" t="s">
        <v>8050</v>
      </c>
      <c r="BEI1" t="s">
        <v>8051</v>
      </c>
      <c r="BEJ1" t="s">
        <v>8052</v>
      </c>
      <c r="BEK1" t="s">
        <v>8053</v>
      </c>
      <c r="BEL1" t="s">
        <v>8054</v>
      </c>
      <c r="BEM1" t="s">
        <v>8055</v>
      </c>
      <c r="BEN1" t="s">
        <v>8056</v>
      </c>
      <c r="BEO1" t="s">
        <v>8057</v>
      </c>
      <c r="BEP1" t="s">
        <v>8058</v>
      </c>
      <c r="BEQ1" t="s">
        <v>8059</v>
      </c>
      <c r="BER1" t="s">
        <v>8060</v>
      </c>
      <c r="BES1" t="s">
        <v>8061</v>
      </c>
      <c r="BET1" t="s">
        <v>8062</v>
      </c>
      <c r="BEU1" t="s">
        <v>8063</v>
      </c>
      <c r="BEV1" t="s">
        <v>8064</v>
      </c>
      <c r="BEW1" t="s">
        <v>8065</v>
      </c>
      <c r="BEX1" t="s">
        <v>8066</v>
      </c>
      <c r="BEY1" t="s">
        <v>8067</v>
      </c>
      <c r="BEZ1" t="s">
        <v>8068</v>
      </c>
      <c r="BFA1" t="s">
        <v>8069</v>
      </c>
      <c r="BFB1" t="s">
        <v>8070</v>
      </c>
      <c r="BFC1" t="s">
        <v>8071</v>
      </c>
      <c r="BFD1" t="s">
        <v>8072</v>
      </c>
      <c r="BFE1" t="s">
        <v>8073</v>
      </c>
      <c r="BFF1" t="s">
        <v>8074</v>
      </c>
      <c r="BFG1" t="s">
        <v>8075</v>
      </c>
      <c r="BFH1" t="s">
        <v>8076</v>
      </c>
      <c r="BFI1" t="s">
        <v>8077</v>
      </c>
      <c r="BFJ1" t="s">
        <v>8078</v>
      </c>
      <c r="BFK1" t="s">
        <v>8079</v>
      </c>
      <c r="BFL1" t="s">
        <v>8080</v>
      </c>
      <c r="BFM1" t="s">
        <v>8081</v>
      </c>
      <c r="BFN1" t="s">
        <v>8082</v>
      </c>
      <c r="BFO1" t="s">
        <v>8083</v>
      </c>
      <c r="BFP1" t="s">
        <v>8084</v>
      </c>
      <c r="BFQ1" t="s">
        <v>8085</v>
      </c>
      <c r="BFR1" t="s">
        <v>8086</v>
      </c>
      <c r="BFS1" t="s">
        <v>8087</v>
      </c>
      <c r="BFT1" t="s">
        <v>8088</v>
      </c>
      <c r="BFU1" t="s">
        <v>8089</v>
      </c>
      <c r="BFV1" t="s">
        <v>8090</v>
      </c>
      <c r="BFW1" t="s">
        <v>8091</v>
      </c>
      <c r="BFX1" t="s">
        <v>8092</v>
      </c>
      <c r="BFY1" t="s">
        <v>8093</v>
      </c>
      <c r="BFZ1" t="s">
        <v>8094</v>
      </c>
      <c r="BGA1" t="s">
        <v>8095</v>
      </c>
      <c r="BGB1" t="s">
        <v>8096</v>
      </c>
      <c r="BGC1" t="s">
        <v>8097</v>
      </c>
      <c r="BGD1" t="s">
        <v>8098</v>
      </c>
      <c r="BGE1" t="s">
        <v>8099</v>
      </c>
      <c r="BGF1" t="s">
        <v>8100</v>
      </c>
      <c r="BGG1" t="s">
        <v>8101</v>
      </c>
      <c r="BGH1" t="s">
        <v>8102</v>
      </c>
      <c r="BGI1" t="s">
        <v>8103</v>
      </c>
      <c r="BGJ1" t="s">
        <v>8104</v>
      </c>
      <c r="BGK1" t="s">
        <v>8105</v>
      </c>
      <c r="BGL1" t="s">
        <v>8106</v>
      </c>
      <c r="BGM1" t="s">
        <v>8107</v>
      </c>
      <c r="BGN1" t="s">
        <v>8108</v>
      </c>
      <c r="BGO1" t="s">
        <v>8109</v>
      </c>
      <c r="BGP1" t="s">
        <v>8110</v>
      </c>
      <c r="BGQ1" t="s">
        <v>8111</v>
      </c>
      <c r="BGR1" t="s">
        <v>8112</v>
      </c>
      <c r="BGS1" t="s">
        <v>8113</v>
      </c>
      <c r="BGT1" t="s">
        <v>8114</v>
      </c>
      <c r="BGU1" t="s">
        <v>8115</v>
      </c>
      <c r="BGV1" t="s">
        <v>8116</v>
      </c>
      <c r="BGW1" t="s">
        <v>8117</v>
      </c>
      <c r="BGX1" t="s">
        <v>8118</v>
      </c>
      <c r="BGY1" t="s">
        <v>8119</v>
      </c>
      <c r="BGZ1" t="s">
        <v>8120</v>
      </c>
      <c r="BHA1" t="s">
        <v>8121</v>
      </c>
      <c r="BHB1" t="s">
        <v>8122</v>
      </c>
      <c r="BHC1" t="s">
        <v>8123</v>
      </c>
      <c r="BHD1" t="s">
        <v>8124</v>
      </c>
      <c r="BHE1" t="s">
        <v>8125</v>
      </c>
      <c r="BHF1" t="s">
        <v>8126</v>
      </c>
      <c r="BHG1" t="s">
        <v>8127</v>
      </c>
      <c r="BHH1" t="s">
        <v>8128</v>
      </c>
      <c r="BHI1" t="s">
        <v>8129</v>
      </c>
      <c r="BHJ1" t="s">
        <v>8130</v>
      </c>
      <c r="BHK1" t="s">
        <v>8131</v>
      </c>
      <c r="BHL1" t="s">
        <v>8132</v>
      </c>
      <c r="BHM1" t="s">
        <v>8133</v>
      </c>
      <c r="BHN1" t="s">
        <v>8134</v>
      </c>
      <c r="BHO1" t="s">
        <v>8135</v>
      </c>
      <c r="BHP1" t="s">
        <v>8136</v>
      </c>
      <c r="BHQ1" t="s">
        <v>8137</v>
      </c>
      <c r="BHR1" t="s">
        <v>8138</v>
      </c>
      <c r="BHS1" t="s">
        <v>8139</v>
      </c>
      <c r="BHT1" t="s">
        <v>8140</v>
      </c>
      <c r="BHU1" t="s">
        <v>8141</v>
      </c>
      <c r="BHV1" t="s">
        <v>8142</v>
      </c>
      <c r="BHW1" t="s">
        <v>8143</v>
      </c>
      <c r="BHX1" t="s">
        <v>8144</v>
      </c>
      <c r="BHY1" t="s">
        <v>8145</v>
      </c>
      <c r="BHZ1" t="s">
        <v>8146</v>
      </c>
      <c r="BIA1" t="s">
        <v>8147</v>
      </c>
      <c r="BIB1" t="s">
        <v>8148</v>
      </c>
      <c r="BIC1" t="s">
        <v>8149</v>
      </c>
      <c r="BID1" t="s">
        <v>8150</v>
      </c>
      <c r="BIE1" t="s">
        <v>8151</v>
      </c>
      <c r="BIF1" t="s">
        <v>8152</v>
      </c>
      <c r="BIG1" t="s">
        <v>8153</v>
      </c>
      <c r="BIH1" t="s">
        <v>8154</v>
      </c>
      <c r="BII1" t="s">
        <v>8155</v>
      </c>
      <c r="BIJ1" t="s">
        <v>8156</v>
      </c>
      <c r="BIK1" t="s">
        <v>8157</v>
      </c>
      <c r="BIL1" t="s">
        <v>8158</v>
      </c>
      <c r="BIM1" t="s">
        <v>8159</v>
      </c>
      <c r="BIN1" t="s">
        <v>8160</v>
      </c>
      <c r="BIO1" t="s">
        <v>8161</v>
      </c>
      <c r="BIP1" t="s">
        <v>8162</v>
      </c>
      <c r="BIQ1" t="s">
        <v>8163</v>
      </c>
      <c r="BIR1" t="s">
        <v>8164</v>
      </c>
      <c r="BIS1" t="s">
        <v>8165</v>
      </c>
      <c r="BIT1" t="s">
        <v>8166</v>
      </c>
      <c r="BIU1" t="s">
        <v>8167</v>
      </c>
      <c r="BIV1" t="s">
        <v>8168</v>
      </c>
      <c r="BIW1" t="s">
        <v>8169</v>
      </c>
      <c r="BIX1" t="s">
        <v>8170</v>
      </c>
      <c r="BIY1" t="s">
        <v>8171</v>
      </c>
      <c r="BIZ1" t="s">
        <v>8172</v>
      </c>
      <c r="BJA1" t="s">
        <v>8173</v>
      </c>
      <c r="BJB1" t="s">
        <v>8174</v>
      </c>
      <c r="BJC1" t="s">
        <v>8175</v>
      </c>
      <c r="BJD1" t="s">
        <v>8176</v>
      </c>
      <c r="BJE1" t="s">
        <v>8177</v>
      </c>
      <c r="BJF1" t="s">
        <v>8178</v>
      </c>
      <c r="BJG1" t="s">
        <v>8179</v>
      </c>
      <c r="BJH1" t="s">
        <v>8180</v>
      </c>
      <c r="BJI1" t="s">
        <v>8181</v>
      </c>
      <c r="BJJ1" t="s">
        <v>8182</v>
      </c>
      <c r="BJK1" t="s">
        <v>8183</v>
      </c>
      <c r="BJL1" t="s">
        <v>8184</v>
      </c>
      <c r="BJM1" t="s">
        <v>8185</v>
      </c>
      <c r="BJN1" t="s">
        <v>8186</v>
      </c>
      <c r="BJO1" t="s">
        <v>8187</v>
      </c>
      <c r="BJP1" t="s">
        <v>8188</v>
      </c>
      <c r="BJQ1" t="s">
        <v>8189</v>
      </c>
      <c r="BJR1" t="s">
        <v>8190</v>
      </c>
      <c r="BJS1" t="s">
        <v>8191</v>
      </c>
      <c r="BJT1" t="s">
        <v>8192</v>
      </c>
      <c r="BJU1" t="s">
        <v>8193</v>
      </c>
      <c r="BJV1" t="s">
        <v>8194</v>
      </c>
      <c r="BJW1" t="s">
        <v>8195</v>
      </c>
      <c r="BJX1" t="s">
        <v>8196</v>
      </c>
      <c r="BJY1" t="s">
        <v>8197</v>
      </c>
      <c r="BJZ1" t="s">
        <v>8198</v>
      </c>
      <c r="BKA1" t="s">
        <v>8199</v>
      </c>
      <c r="BKB1" t="s">
        <v>8200</v>
      </c>
      <c r="BKC1" t="s">
        <v>8201</v>
      </c>
      <c r="BKD1" t="s">
        <v>8202</v>
      </c>
      <c r="BKE1" t="s">
        <v>8203</v>
      </c>
      <c r="BKF1" t="s">
        <v>8204</v>
      </c>
      <c r="BKG1" t="s">
        <v>8205</v>
      </c>
      <c r="BKH1" t="s">
        <v>8206</v>
      </c>
      <c r="BKI1" t="s">
        <v>8207</v>
      </c>
      <c r="BKJ1" t="s">
        <v>8208</v>
      </c>
      <c r="BKK1" t="s">
        <v>8209</v>
      </c>
      <c r="BKL1" t="s">
        <v>8210</v>
      </c>
      <c r="BKM1" t="s">
        <v>8211</v>
      </c>
      <c r="BKN1" t="s">
        <v>8212</v>
      </c>
      <c r="BKO1" t="s">
        <v>8213</v>
      </c>
      <c r="BKP1" t="s">
        <v>8214</v>
      </c>
      <c r="BKQ1" t="s">
        <v>8215</v>
      </c>
      <c r="BKR1" t="s">
        <v>8216</v>
      </c>
      <c r="BKS1" t="s">
        <v>8217</v>
      </c>
      <c r="BKT1" t="s">
        <v>8218</v>
      </c>
      <c r="BKU1" t="s">
        <v>8219</v>
      </c>
      <c r="BKV1" t="s">
        <v>8220</v>
      </c>
      <c r="BKW1" t="s">
        <v>8221</v>
      </c>
      <c r="BKX1" t="s">
        <v>8222</v>
      </c>
      <c r="BKY1" t="s">
        <v>8223</v>
      </c>
      <c r="BKZ1" t="s">
        <v>8224</v>
      </c>
      <c r="BLA1" t="s">
        <v>8225</v>
      </c>
      <c r="BLB1" t="s">
        <v>8226</v>
      </c>
      <c r="BLC1" t="s">
        <v>8227</v>
      </c>
      <c r="BLD1" t="s">
        <v>8228</v>
      </c>
      <c r="BLE1" t="s">
        <v>8229</v>
      </c>
      <c r="BLF1" t="s">
        <v>8230</v>
      </c>
      <c r="BLG1" t="s">
        <v>8231</v>
      </c>
      <c r="BLH1" t="s">
        <v>8232</v>
      </c>
      <c r="BLI1" t="s">
        <v>8233</v>
      </c>
      <c r="BLJ1" t="s">
        <v>8234</v>
      </c>
      <c r="BLK1" t="s">
        <v>8235</v>
      </c>
      <c r="BLL1" t="s">
        <v>8236</v>
      </c>
      <c r="BLM1" t="s">
        <v>8237</v>
      </c>
      <c r="BLN1" t="s">
        <v>8238</v>
      </c>
      <c r="BLO1" t="s">
        <v>8239</v>
      </c>
      <c r="BLP1" t="s">
        <v>8240</v>
      </c>
      <c r="BLQ1" t="s">
        <v>8241</v>
      </c>
      <c r="BLR1" t="s">
        <v>8242</v>
      </c>
      <c r="BLS1" t="s">
        <v>8243</v>
      </c>
      <c r="BLT1" t="s">
        <v>8244</v>
      </c>
      <c r="BLU1" t="s">
        <v>8245</v>
      </c>
      <c r="BLV1" t="s">
        <v>8246</v>
      </c>
      <c r="BLW1" t="s">
        <v>8247</v>
      </c>
      <c r="BLX1" t="s">
        <v>8248</v>
      </c>
      <c r="BLY1" t="s">
        <v>8249</v>
      </c>
      <c r="BLZ1" t="s">
        <v>8250</v>
      </c>
      <c r="BMA1" t="s">
        <v>8251</v>
      </c>
      <c r="BMB1" t="s">
        <v>8252</v>
      </c>
      <c r="BMC1" t="s">
        <v>8253</v>
      </c>
      <c r="BMD1" t="s">
        <v>8254</v>
      </c>
      <c r="BME1" t="s">
        <v>8255</v>
      </c>
      <c r="BMF1" t="s">
        <v>8256</v>
      </c>
      <c r="BMG1" t="s">
        <v>8257</v>
      </c>
      <c r="BMH1" t="s">
        <v>8258</v>
      </c>
      <c r="BMI1" t="s">
        <v>8259</v>
      </c>
      <c r="BMJ1" t="s">
        <v>8260</v>
      </c>
      <c r="BMK1" t="s">
        <v>8261</v>
      </c>
      <c r="BML1" t="s">
        <v>8262</v>
      </c>
      <c r="BMM1" t="s">
        <v>8263</v>
      </c>
      <c r="BMN1" t="s">
        <v>8264</v>
      </c>
      <c r="BMO1" t="s">
        <v>8265</v>
      </c>
      <c r="BMP1" t="s">
        <v>8266</v>
      </c>
      <c r="BMQ1" t="s">
        <v>8267</v>
      </c>
      <c r="BMR1" t="s">
        <v>8268</v>
      </c>
      <c r="BMS1" t="s">
        <v>8269</v>
      </c>
      <c r="BMT1" t="s">
        <v>8270</v>
      </c>
      <c r="BMU1" t="s">
        <v>8271</v>
      </c>
      <c r="BMV1" t="s">
        <v>8272</v>
      </c>
      <c r="BMW1" t="s">
        <v>8273</v>
      </c>
      <c r="BMX1" t="s">
        <v>8274</v>
      </c>
      <c r="BMY1" t="s">
        <v>8275</v>
      </c>
      <c r="BMZ1" t="s">
        <v>8276</v>
      </c>
      <c r="BNA1" t="s">
        <v>8277</v>
      </c>
      <c r="BNB1" t="s">
        <v>8278</v>
      </c>
      <c r="BNC1" t="s">
        <v>8279</v>
      </c>
      <c r="BND1" t="s">
        <v>8280</v>
      </c>
      <c r="BNE1" t="s">
        <v>8281</v>
      </c>
      <c r="BNF1" t="s">
        <v>8282</v>
      </c>
      <c r="BNG1" t="s">
        <v>8283</v>
      </c>
      <c r="BNH1" t="s">
        <v>8284</v>
      </c>
      <c r="BNI1" t="s">
        <v>8285</v>
      </c>
      <c r="BNJ1" t="s">
        <v>8286</v>
      </c>
      <c r="BNK1" t="s">
        <v>8287</v>
      </c>
      <c r="BNL1" t="s">
        <v>8288</v>
      </c>
      <c r="BNM1" t="s">
        <v>8289</v>
      </c>
      <c r="BNN1" t="s">
        <v>8290</v>
      </c>
      <c r="BNO1" t="s">
        <v>8291</v>
      </c>
      <c r="BNP1" t="s">
        <v>8292</v>
      </c>
      <c r="BNQ1" t="s">
        <v>8293</v>
      </c>
      <c r="BNR1" t="s">
        <v>8294</v>
      </c>
      <c r="BNS1" t="s">
        <v>8295</v>
      </c>
      <c r="BNT1" t="s">
        <v>8296</v>
      </c>
      <c r="BNU1" t="s">
        <v>8297</v>
      </c>
      <c r="BNV1" t="s">
        <v>8298</v>
      </c>
      <c r="BNW1" t="s">
        <v>8299</v>
      </c>
      <c r="BNX1" t="s">
        <v>8300</v>
      </c>
      <c r="BNY1" t="s">
        <v>8301</v>
      </c>
      <c r="BNZ1" t="s">
        <v>8302</v>
      </c>
      <c r="BOA1" t="s">
        <v>8303</v>
      </c>
      <c r="BOB1" t="s">
        <v>8304</v>
      </c>
      <c r="BOC1" t="s">
        <v>8305</v>
      </c>
      <c r="BOD1" t="s">
        <v>8306</v>
      </c>
      <c r="BOE1" t="s">
        <v>8307</v>
      </c>
      <c r="BOF1" t="s">
        <v>8308</v>
      </c>
      <c r="BOG1" t="s">
        <v>8309</v>
      </c>
      <c r="BOH1" t="s">
        <v>8310</v>
      </c>
      <c r="BOI1" t="s">
        <v>8311</v>
      </c>
      <c r="BOJ1" t="s">
        <v>8312</v>
      </c>
      <c r="BOK1" t="s">
        <v>8313</v>
      </c>
      <c r="BOL1" t="s">
        <v>8314</v>
      </c>
      <c r="BOM1" t="s">
        <v>8315</v>
      </c>
      <c r="BON1" t="s">
        <v>8316</v>
      </c>
      <c r="BOO1" t="s">
        <v>8317</v>
      </c>
      <c r="BOP1" t="s">
        <v>8318</v>
      </c>
      <c r="BOQ1" t="s">
        <v>8319</v>
      </c>
      <c r="BOR1" t="s">
        <v>8320</v>
      </c>
      <c r="BOS1" t="s">
        <v>8321</v>
      </c>
      <c r="BOT1" t="s">
        <v>8322</v>
      </c>
      <c r="BOU1" t="s">
        <v>8323</v>
      </c>
      <c r="BOV1" t="s">
        <v>8324</v>
      </c>
      <c r="BOW1" t="s">
        <v>8325</v>
      </c>
      <c r="BOX1" t="s">
        <v>8326</v>
      </c>
      <c r="BOY1" t="s">
        <v>8327</v>
      </c>
      <c r="BOZ1" t="s">
        <v>8328</v>
      </c>
      <c r="BPA1" t="s">
        <v>8329</v>
      </c>
      <c r="BPB1" t="s">
        <v>8330</v>
      </c>
      <c r="BPC1" t="s">
        <v>8331</v>
      </c>
      <c r="BPD1" t="s">
        <v>8332</v>
      </c>
      <c r="BPE1" t="s">
        <v>8333</v>
      </c>
      <c r="BPF1" t="s">
        <v>8334</v>
      </c>
      <c r="BPG1" t="s">
        <v>8335</v>
      </c>
      <c r="BPH1" t="s">
        <v>8336</v>
      </c>
      <c r="BPI1" t="s">
        <v>8337</v>
      </c>
      <c r="BPJ1" t="s">
        <v>8338</v>
      </c>
      <c r="BPK1" t="s">
        <v>8339</v>
      </c>
      <c r="BPL1" t="s">
        <v>8340</v>
      </c>
      <c r="BPM1" t="s">
        <v>8341</v>
      </c>
      <c r="BPN1" t="s">
        <v>8342</v>
      </c>
      <c r="BPO1" t="s">
        <v>8343</v>
      </c>
      <c r="BPP1" t="s">
        <v>8344</v>
      </c>
      <c r="BPQ1" t="s">
        <v>8345</v>
      </c>
      <c r="BPR1" t="s">
        <v>8346</v>
      </c>
      <c r="BPS1" t="s">
        <v>8347</v>
      </c>
      <c r="BPT1" t="s">
        <v>8348</v>
      </c>
      <c r="BPU1" t="s">
        <v>8349</v>
      </c>
      <c r="BPV1" t="s">
        <v>8350</v>
      </c>
      <c r="BPW1" t="s">
        <v>8351</v>
      </c>
      <c r="BPX1" t="s">
        <v>8352</v>
      </c>
      <c r="BPY1" t="s">
        <v>8353</v>
      </c>
      <c r="BPZ1" t="s">
        <v>8354</v>
      </c>
      <c r="BQA1" t="s">
        <v>8355</v>
      </c>
      <c r="BQB1" t="s">
        <v>8356</v>
      </c>
      <c r="BQC1" t="s">
        <v>8357</v>
      </c>
      <c r="BQD1" t="s">
        <v>8358</v>
      </c>
      <c r="BQE1" t="s">
        <v>8359</v>
      </c>
      <c r="BQF1" t="s">
        <v>8360</v>
      </c>
      <c r="BQG1" t="s">
        <v>8361</v>
      </c>
      <c r="BQH1" t="s">
        <v>8362</v>
      </c>
      <c r="BQI1" t="s">
        <v>8363</v>
      </c>
      <c r="BQJ1" t="s">
        <v>8364</v>
      </c>
      <c r="BQK1" t="s">
        <v>8365</v>
      </c>
      <c r="BQL1" t="s">
        <v>8366</v>
      </c>
      <c r="BQM1" t="s">
        <v>8367</v>
      </c>
      <c r="BQN1" t="s">
        <v>8368</v>
      </c>
      <c r="BQO1" t="s">
        <v>8369</v>
      </c>
      <c r="BQP1" t="s">
        <v>8370</v>
      </c>
      <c r="BQQ1" t="s">
        <v>8371</v>
      </c>
      <c r="BQR1" t="s">
        <v>8372</v>
      </c>
      <c r="BQS1" t="s">
        <v>8373</v>
      </c>
      <c r="BQT1" t="s">
        <v>8374</v>
      </c>
      <c r="BQU1" t="s">
        <v>8375</v>
      </c>
      <c r="BQV1" t="s">
        <v>8376</v>
      </c>
      <c r="BQW1" t="s">
        <v>8377</v>
      </c>
      <c r="BQX1" t="s">
        <v>8378</v>
      </c>
      <c r="BQY1" t="s">
        <v>8379</v>
      </c>
      <c r="BQZ1" t="s">
        <v>8380</v>
      </c>
      <c r="BRA1" t="s">
        <v>8381</v>
      </c>
      <c r="BRB1" t="s">
        <v>8382</v>
      </c>
      <c r="BRC1" t="s">
        <v>8383</v>
      </c>
      <c r="BRD1" t="s">
        <v>8384</v>
      </c>
      <c r="BRE1" t="s">
        <v>8385</v>
      </c>
      <c r="BRF1" t="s">
        <v>8386</v>
      </c>
      <c r="BRG1" t="s">
        <v>8387</v>
      </c>
      <c r="BRH1" t="s">
        <v>8388</v>
      </c>
      <c r="BRI1" t="s">
        <v>8389</v>
      </c>
      <c r="BRJ1" t="s">
        <v>8390</v>
      </c>
      <c r="BRK1" t="s">
        <v>8391</v>
      </c>
      <c r="BRL1" t="s">
        <v>8392</v>
      </c>
      <c r="BRM1" t="s">
        <v>8393</v>
      </c>
      <c r="BRN1" t="s">
        <v>8394</v>
      </c>
      <c r="BRO1" t="s">
        <v>8395</v>
      </c>
      <c r="BRP1" t="s">
        <v>8396</v>
      </c>
      <c r="BRQ1" t="s">
        <v>8397</v>
      </c>
      <c r="BRR1" t="s">
        <v>8398</v>
      </c>
      <c r="BRS1" t="s">
        <v>8399</v>
      </c>
      <c r="BRT1" t="s">
        <v>8400</v>
      </c>
      <c r="BRU1" t="s">
        <v>8401</v>
      </c>
      <c r="BRV1" t="s">
        <v>8402</v>
      </c>
      <c r="BRW1" t="s">
        <v>8403</v>
      </c>
      <c r="BRX1" t="s">
        <v>8404</v>
      </c>
      <c r="BRY1" t="s">
        <v>8405</v>
      </c>
      <c r="BRZ1" t="s">
        <v>8406</v>
      </c>
      <c r="BSA1" t="s">
        <v>8407</v>
      </c>
      <c r="BSB1" t="s">
        <v>8408</v>
      </c>
      <c r="BSC1" t="s">
        <v>8409</v>
      </c>
      <c r="BSD1" t="s">
        <v>8410</v>
      </c>
      <c r="BSE1" t="s">
        <v>8411</v>
      </c>
      <c r="BSF1" t="s">
        <v>8412</v>
      </c>
      <c r="BSG1" t="s">
        <v>8413</v>
      </c>
      <c r="BSH1" t="s">
        <v>8414</v>
      </c>
      <c r="BSI1" t="s">
        <v>8415</v>
      </c>
      <c r="BSJ1" t="s">
        <v>8416</v>
      </c>
      <c r="BSK1" t="s">
        <v>8417</v>
      </c>
      <c r="BSL1" t="s">
        <v>8418</v>
      </c>
      <c r="BSM1" t="s">
        <v>8419</v>
      </c>
      <c r="BSN1" t="s">
        <v>8420</v>
      </c>
      <c r="BSO1" t="s">
        <v>8421</v>
      </c>
      <c r="BSP1" t="s">
        <v>8422</v>
      </c>
      <c r="BSQ1" t="s">
        <v>8423</v>
      </c>
      <c r="BSR1" t="s">
        <v>8424</v>
      </c>
      <c r="BSS1" t="s">
        <v>8425</v>
      </c>
      <c r="BST1" t="s">
        <v>8426</v>
      </c>
      <c r="BSU1" t="s">
        <v>8427</v>
      </c>
      <c r="BSV1" t="s">
        <v>8428</v>
      </c>
      <c r="BSW1" t="s">
        <v>8429</v>
      </c>
      <c r="BSX1" t="s">
        <v>8430</v>
      </c>
      <c r="BSY1" t="s">
        <v>8431</v>
      </c>
      <c r="BSZ1" t="s">
        <v>8432</v>
      </c>
      <c r="BTA1" t="s">
        <v>8433</v>
      </c>
      <c r="BTB1" t="s">
        <v>8434</v>
      </c>
      <c r="BTC1" t="s">
        <v>8435</v>
      </c>
      <c r="BTD1" t="s">
        <v>8436</v>
      </c>
      <c r="BTE1" t="s">
        <v>8437</v>
      </c>
      <c r="BTF1" t="s">
        <v>8438</v>
      </c>
      <c r="BTG1" t="s">
        <v>8439</v>
      </c>
      <c r="BTH1" t="s">
        <v>8440</v>
      </c>
      <c r="BTI1" t="s">
        <v>8441</v>
      </c>
      <c r="BTJ1" t="s">
        <v>8442</v>
      </c>
      <c r="BTK1" t="s">
        <v>8443</v>
      </c>
      <c r="BTL1" t="s">
        <v>8444</v>
      </c>
      <c r="BTM1" t="s">
        <v>8445</v>
      </c>
      <c r="BTN1" t="s">
        <v>8446</v>
      </c>
      <c r="BTO1" t="s">
        <v>8447</v>
      </c>
      <c r="BTP1" t="s">
        <v>8448</v>
      </c>
      <c r="BTQ1" t="s">
        <v>8449</v>
      </c>
      <c r="BTR1" t="s">
        <v>8450</v>
      </c>
      <c r="BTS1" t="s">
        <v>8451</v>
      </c>
      <c r="BTT1" t="s">
        <v>8452</v>
      </c>
      <c r="BTU1" t="s">
        <v>8453</v>
      </c>
      <c r="BTV1" t="s">
        <v>8454</v>
      </c>
      <c r="BTW1" t="s">
        <v>8455</v>
      </c>
      <c r="BTX1" t="s">
        <v>8456</v>
      </c>
      <c r="BTY1" t="s">
        <v>8457</v>
      </c>
      <c r="BTZ1" t="s">
        <v>8458</v>
      </c>
      <c r="BUA1" t="s">
        <v>8459</v>
      </c>
      <c r="BUB1" t="s">
        <v>8460</v>
      </c>
      <c r="BUC1" t="s">
        <v>8461</v>
      </c>
      <c r="BUD1" t="s">
        <v>8462</v>
      </c>
      <c r="BUE1" t="s">
        <v>8463</v>
      </c>
      <c r="BUF1" t="s">
        <v>8464</v>
      </c>
      <c r="BUG1" t="s">
        <v>8465</v>
      </c>
      <c r="BUH1" t="s">
        <v>8466</v>
      </c>
      <c r="BUI1" t="s">
        <v>8467</v>
      </c>
      <c r="BUJ1" t="s">
        <v>8468</v>
      </c>
      <c r="BUK1" t="s">
        <v>8469</v>
      </c>
      <c r="BUL1" t="s">
        <v>8470</v>
      </c>
      <c r="BUM1" t="s">
        <v>8471</v>
      </c>
      <c r="BUN1" t="s">
        <v>8472</v>
      </c>
      <c r="BUO1" t="s">
        <v>8473</v>
      </c>
      <c r="BUP1" t="s">
        <v>8474</v>
      </c>
      <c r="BUQ1" t="s">
        <v>8475</v>
      </c>
      <c r="BUR1" t="s">
        <v>8476</v>
      </c>
      <c r="BUS1" t="s">
        <v>8477</v>
      </c>
      <c r="BUT1" t="s">
        <v>8478</v>
      </c>
      <c r="BUU1" t="s">
        <v>8479</v>
      </c>
      <c r="BUV1" t="s">
        <v>8480</v>
      </c>
      <c r="BUW1" t="s">
        <v>8481</v>
      </c>
      <c r="BUX1" t="s">
        <v>8482</v>
      </c>
      <c r="BUY1" t="s">
        <v>8483</v>
      </c>
      <c r="BUZ1" t="s">
        <v>8484</v>
      </c>
      <c r="BVA1" t="s">
        <v>8485</v>
      </c>
      <c r="BVB1" t="s">
        <v>8486</v>
      </c>
      <c r="BVC1" t="s">
        <v>8487</v>
      </c>
      <c r="BVD1" t="s">
        <v>8488</v>
      </c>
      <c r="BVE1" t="s">
        <v>8489</v>
      </c>
      <c r="BVF1" t="s">
        <v>8490</v>
      </c>
      <c r="BVG1" t="s">
        <v>8491</v>
      </c>
      <c r="BVH1" t="s">
        <v>8492</v>
      </c>
      <c r="BVI1" t="s">
        <v>8493</v>
      </c>
      <c r="BVJ1" t="s">
        <v>8494</v>
      </c>
      <c r="BVK1" t="s">
        <v>8495</v>
      </c>
      <c r="BVL1" t="s">
        <v>8496</v>
      </c>
      <c r="BVM1" t="s">
        <v>8497</v>
      </c>
      <c r="BVN1" t="s">
        <v>8498</v>
      </c>
      <c r="BVO1" t="s">
        <v>8499</v>
      </c>
      <c r="BVP1" t="s">
        <v>8500</v>
      </c>
      <c r="BVQ1" t="s">
        <v>8501</v>
      </c>
      <c r="BVR1" t="s">
        <v>8502</v>
      </c>
      <c r="BVS1" t="s">
        <v>8503</v>
      </c>
      <c r="BVT1" t="s">
        <v>8504</v>
      </c>
      <c r="BVU1" t="s">
        <v>3960</v>
      </c>
      <c r="BVV1" t="s">
        <v>8505</v>
      </c>
      <c r="BVW1" t="s">
        <v>8506</v>
      </c>
      <c r="BVX1" t="s">
        <v>8507</v>
      </c>
      <c r="BVY1" t="s">
        <v>8508</v>
      </c>
      <c r="BVZ1" t="s">
        <v>8509</v>
      </c>
      <c r="BWA1" t="s">
        <v>8510</v>
      </c>
      <c r="BWB1" t="s">
        <v>8511</v>
      </c>
      <c r="BWC1" t="s">
        <v>8512</v>
      </c>
      <c r="BWD1" t="s">
        <v>8513</v>
      </c>
      <c r="BWE1" t="s">
        <v>8514</v>
      </c>
      <c r="BWF1" t="s">
        <v>8515</v>
      </c>
      <c r="BWG1" t="s">
        <v>8516</v>
      </c>
      <c r="BWH1" t="s">
        <v>8517</v>
      </c>
      <c r="BWI1" t="s">
        <v>8518</v>
      </c>
      <c r="BWJ1" t="s">
        <v>8519</v>
      </c>
      <c r="BWK1" t="s">
        <v>8520</v>
      </c>
      <c r="BWL1" t="s">
        <v>8521</v>
      </c>
      <c r="BWM1" t="s">
        <v>8522</v>
      </c>
      <c r="BWN1" t="s">
        <v>8523</v>
      </c>
      <c r="BWO1" t="s">
        <v>8524</v>
      </c>
      <c r="BWP1" t="s">
        <v>8525</v>
      </c>
      <c r="BWQ1" t="s">
        <v>8526</v>
      </c>
      <c r="BWR1" t="s">
        <v>8527</v>
      </c>
      <c r="BWS1" t="s">
        <v>8528</v>
      </c>
      <c r="BWT1" t="s">
        <v>8529</v>
      </c>
      <c r="BWU1" t="s">
        <v>8530</v>
      </c>
      <c r="BWV1" t="s">
        <v>8531</v>
      </c>
      <c r="BWW1" t="s">
        <v>8532</v>
      </c>
      <c r="BWX1" t="s">
        <v>8533</v>
      </c>
      <c r="BWY1" t="s">
        <v>8534</v>
      </c>
      <c r="BWZ1" t="s">
        <v>8535</v>
      </c>
      <c r="BXA1" t="s">
        <v>8536</v>
      </c>
      <c r="BXB1" t="s">
        <v>8537</v>
      </c>
      <c r="BXC1" t="s">
        <v>8538</v>
      </c>
      <c r="BXD1" t="s">
        <v>8539</v>
      </c>
      <c r="BXE1" t="s">
        <v>8540</v>
      </c>
      <c r="BXF1" t="s">
        <v>8541</v>
      </c>
      <c r="BXG1" t="s">
        <v>8542</v>
      </c>
      <c r="BXH1" t="s">
        <v>8543</v>
      </c>
      <c r="BXI1" t="s">
        <v>8544</v>
      </c>
      <c r="BXJ1" t="s">
        <v>8545</v>
      </c>
      <c r="BXK1" t="s">
        <v>8546</v>
      </c>
      <c r="BXL1" t="s">
        <v>8547</v>
      </c>
      <c r="BXM1" t="s">
        <v>8548</v>
      </c>
      <c r="BXN1" t="s">
        <v>8549</v>
      </c>
      <c r="BXO1" t="s">
        <v>8550</v>
      </c>
      <c r="BXP1" t="s">
        <v>8551</v>
      </c>
      <c r="BXQ1" t="s">
        <v>8552</v>
      </c>
      <c r="BXR1" t="s">
        <v>8553</v>
      </c>
      <c r="BXS1" t="s">
        <v>8554</v>
      </c>
      <c r="BXT1" t="s">
        <v>8555</v>
      </c>
      <c r="BXU1" t="s">
        <v>8556</v>
      </c>
      <c r="BXV1" t="s">
        <v>8557</v>
      </c>
      <c r="BXW1" t="s">
        <v>8558</v>
      </c>
      <c r="BXX1" t="s">
        <v>8559</v>
      </c>
      <c r="BXY1" t="s">
        <v>8560</v>
      </c>
      <c r="BXZ1" t="s">
        <v>8561</v>
      </c>
      <c r="BYA1" t="s">
        <v>8562</v>
      </c>
      <c r="BYB1" t="s">
        <v>8563</v>
      </c>
      <c r="BYC1" t="s">
        <v>8564</v>
      </c>
      <c r="BYD1" t="s">
        <v>8565</v>
      </c>
      <c r="BYE1" t="s">
        <v>8566</v>
      </c>
      <c r="BYF1" t="s">
        <v>8567</v>
      </c>
      <c r="BYG1" t="s">
        <v>8568</v>
      </c>
      <c r="BYH1" t="s">
        <v>8569</v>
      </c>
      <c r="BYI1" t="s">
        <v>8570</v>
      </c>
      <c r="BYJ1" t="s">
        <v>8571</v>
      </c>
      <c r="BYK1" t="s">
        <v>8572</v>
      </c>
      <c r="BYL1" t="s">
        <v>8573</v>
      </c>
      <c r="BYM1" t="s">
        <v>8574</v>
      </c>
      <c r="BYN1" t="s">
        <v>8575</v>
      </c>
      <c r="BYO1" t="s">
        <v>8576</v>
      </c>
      <c r="BYP1" t="s">
        <v>8577</v>
      </c>
      <c r="BYQ1" t="s">
        <v>8578</v>
      </c>
      <c r="BYR1" t="s">
        <v>8579</v>
      </c>
      <c r="BYS1" t="s">
        <v>8580</v>
      </c>
      <c r="BYT1" t="s">
        <v>8581</v>
      </c>
      <c r="BYU1" t="s">
        <v>8582</v>
      </c>
      <c r="BYV1" t="s">
        <v>8583</v>
      </c>
      <c r="BYW1" t="s">
        <v>8584</v>
      </c>
      <c r="BYX1" t="s">
        <v>8585</v>
      </c>
      <c r="BYY1" t="s">
        <v>8586</v>
      </c>
      <c r="BYZ1" t="s">
        <v>8587</v>
      </c>
      <c r="BZA1" t="s">
        <v>8588</v>
      </c>
      <c r="BZB1" t="s">
        <v>8589</v>
      </c>
      <c r="BZC1" t="s">
        <v>8590</v>
      </c>
      <c r="BZD1" t="s">
        <v>8591</v>
      </c>
      <c r="BZE1" t="s">
        <v>8592</v>
      </c>
      <c r="BZF1" t="s">
        <v>8593</v>
      </c>
      <c r="BZG1" t="s">
        <v>8594</v>
      </c>
      <c r="BZH1" t="s">
        <v>8595</v>
      </c>
      <c r="BZI1" t="s">
        <v>8596</v>
      </c>
      <c r="BZJ1" t="s">
        <v>8597</v>
      </c>
      <c r="BZK1" t="s">
        <v>8598</v>
      </c>
      <c r="BZL1" t="s">
        <v>8599</v>
      </c>
      <c r="BZM1" t="s">
        <v>8600</v>
      </c>
      <c r="BZN1" t="s">
        <v>8601</v>
      </c>
      <c r="BZO1" t="s">
        <v>8602</v>
      </c>
      <c r="BZP1" t="s">
        <v>8603</v>
      </c>
      <c r="BZQ1" t="s">
        <v>8604</v>
      </c>
      <c r="BZR1" t="s">
        <v>8605</v>
      </c>
      <c r="BZS1" t="s">
        <v>8606</v>
      </c>
      <c r="BZT1" t="s">
        <v>8607</v>
      </c>
      <c r="BZU1" t="s">
        <v>8608</v>
      </c>
      <c r="BZV1" t="s">
        <v>8609</v>
      </c>
      <c r="BZW1" t="s">
        <v>8610</v>
      </c>
      <c r="BZX1" t="s">
        <v>8611</v>
      </c>
      <c r="BZY1" t="s">
        <v>8612</v>
      </c>
      <c r="BZZ1" t="s">
        <v>8613</v>
      </c>
      <c r="CAA1" t="s">
        <v>8614</v>
      </c>
      <c r="CAB1" t="s">
        <v>8615</v>
      </c>
      <c r="CAC1" t="s">
        <v>8616</v>
      </c>
      <c r="CAD1" t="s">
        <v>8617</v>
      </c>
      <c r="CAE1" t="s">
        <v>8618</v>
      </c>
      <c r="CAF1" t="s">
        <v>8619</v>
      </c>
      <c r="CAG1" t="s">
        <v>8620</v>
      </c>
      <c r="CAH1" t="s">
        <v>8621</v>
      </c>
      <c r="CAI1" t="s">
        <v>8622</v>
      </c>
      <c r="CAJ1" t="s">
        <v>8623</v>
      </c>
      <c r="CAK1" t="s">
        <v>8624</v>
      </c>
      <c r="CAL1" t="s">
        <v>8625</v>
      </c>
      <c r="CAM1" t="s">
        <v>8626</v>
      </c>
      <c r="CAN1" t="s">
        <v>8627</v>
      </c>
      <c r="CAO1" t="s">
        <v>8628</v>
      </c>
      <c r="CAP1" t="s">
        <v>8629</v>
      </c>
      <c r="CAQ1" t="s">
        <v>8630</v>
      </c>
      <c r="CAR1" t="s">
        <v>8631</v>
      </c>
      <c r="CAS1" t="s">
        <v>8632</v>
      </c>
      <c r="CAT1" t="s">
        <v>8633</v>
      </c>
      <c r="CAU1" t="s">
        <v>8634</v>
      </c>
      <c r="CAV1" t="s">
        <v>8635</v>
      </c>
      <c r="CAW1" t="s">
        <v>8636</v>
      </c>
      <c r="CAX1" t="s">
        <v>5507</v>
      </c>
      <c r="CAY1" t="s">
        <v>8637</v>
      </c>
      <c r="CAZ1" t="s">
        <v>8638</v>
      </c>
      <c r="CBA1" t="s">
        <v>8639</v>
      </c>
      <c r="CBB1" t="s">
        <v>8640</v>
      </c>
      <c r="CBC1" t="s">
        <v>8641</v>
      </c>
      <c r="CBD1" t="s">
        <v>8642</v>
      </c>
      <c r="CBE1" t="s">
        <v>8643</v>
      </c>
      <c r="CBF1" t="s">
        <v>8644</v>
      </c>
      <c r="CBG1" t="s">
        <v>8645</v>
      </c>
      <c r="CBH1" t="s">
        <v>8646</v>
      </c>
      <c r="CBI1" t="s">
        <v>8647</v>
      </c>
      <c r="CBJ1" t="s">
        <v>8648</v>
      </c>
      <c r="CBK1" t="s">
        <v>8649</v>
      </c>
      <c r="CBL1" t="s">
        <v>8650</v>
      </c>
      <c r="CBM1" t="s">
        <v>8651</v>
      </c>
      <c r="CBN1" t="s">
        <v>8652</v>
      </c>
      <c r="CBO1" t="s">
        <v>8653</v>
      </c>
      <c r="CBP1" t="s">
        <v>8654</v>
      </c>
      <c r="CBQ1" t="s">
        <v>8655</v>
      </c>
      <c r="CBR1" t="s">
        <v>8656</v>
      </c>
      <c r="CBS1" t="s">
        <v>8657</v>
      </c>
      <c r="CBT1" t="s">
        <v>8658</v>
      </c>
      <c r="CBU1" t="s">
        <v>8659</v>
      </c>
      <c r="CBV1" t="s">
        <v>8660</v>
      </c>
      <c r="CBW1" t="s">
        <v>8661</v>
      </c>
      <c r="CBX1" t="s">
        <v>8662</v>
      </c>
      <c r="CBY1" t="s">
        <v>8663</v>
      </c>
      <c r="CBZ1" t="s">
        <v>8664</v>
      </c>
      <c r="CCA1" t="s">
        <v>8665</v>
      </c>
      <c r="CCB1" t="s">
        <v>8666</v>
      </c>
      <c r="CCC1" t="s">
        <v>8667</v>
      </c>
      <c r="CCD1" t="s">
        <v>8668</v>
      </c>
      <c r="CCE1" t="s">
        <v>8669</v>
      </c>
      <c r="CCF1" t="s">
        <v>8670</v>
      </c>
      <c r="CCG1" t="s">
        <v>8671</v>
      </c>
      <c r="CCH1" t="s">
        <v>8672</v>
      </c>
      <c r="CCI1" t="s">
        <v>8673</v>
      </c>
      <c r="CCJ1" t="s">
        <v>8674</v>
      </c>
      <c r="CCK1" t="s">
        <v>8675</v>
      </c>
      <c r="CCL1" t="s">
        <v>8676</v>
      </c>
      <c r="CCM1" t="s">
        <v>8677</v>
      </c>
      <c r="CCN1" t="s">
        <v>8678</v>
      </c>
      <c r="CCO1" t="s">
        <v>8679</v>
      </c>
      <c r="CCP1" t="s">
        <v>8680</v>
      </c>
      <c r="CCQ1" t="s">
        <v>8681</v>
      </c>
      <c r="CCR1" t="s">
        <v>8682</v>
      </c>
      <c r="CCS1" t="s">
        <v>8683</v>
      </c>
      <c r="CCT1" t="s">
        <v>8684</v>
      </c>
      <c r="CCU1" t="s">
        <v>8685</v>
      </c>
      <c r="CCV1" t="s">
        <v>8686</v>
      </c>
      <c r="CCW1" t="s">
        <v>8687</v>
      </c>
      <c r="CCX1" t="s">
        <v>8688</v>
      </c>
      <c r="CCY1" t="s">
        <v>8689</v>
      </c>
      <c r="CCZ1" t="s">
        <v>8690</v>
      </c>
      <c r="CDA1" t="s">
        <v>8691</v>
      </c>
      <c r="CDB1" t="s">
        <v>8692</v>
      </c>
      <c r="CDC1" t="s">
        <v>8693</v>
      </c>
      <c r="CDD1" t="s">
        <v>8694</v>
      </c>
      <c r="CDE1" t="s">
        <v>8695</v>
      </c>
      <c r="CDF1" t="s">
        <v>8696</v>
      </c>
      <c r="CDG1" t="s">
        <v>8697</v>
      </c>
      <c r="CDH1" t="s">
        <v>8698</v>
      </c>
      <c r="CDI1" t="s">
        <v>8699</v>
      </c>
      <c r="CDJ1" t="s">
        <v>8700</v>
      </c>
      <c r="CDK1" t="s">
        <v>8701</v>
      </c>
      <c r="CDL1" t="s">
        <v>8702</v>
      </c>
      <c r="CDM1" t="s">
        <v>8703</v>
      </c>
      <c r="CDN1" t="s">
        <v>8704</v>
      </c>
      <c r="CDO1" t="s">
        <v>8705</v>
      </c>
      <c r="CDP1" t="s">
        <v>8706</v>
      </c>
      <c r="CDQ1" t="s">
        <v>8707</v>
      </c>
      <c r="CDR1" t="s">
        <v>8708</v>
      </c>
      <c r="CDS1" t="s">
        <v>8709</v>
      </c>
      <c r="CDT1" t="s">
        <v>8710</v>
      </c>
      <c r="CDU1" t="s">
        <v>8711</v>
      </c>
      <c r="CDV1" t="s">
        <v>8712</v>
      </c>
      <c r="CDW1" t="s">
        <v>8713</v>
      </c>
      <c r="CDX1" t="s">
        <v>8714</v>
      </c>
      <c r="CDY1" t="s">
        <v>8715</v>
      </c>
      <c r="CDZ1" t="s">
        <v>8716</v>
      </c>
      <c r="CEA1" t="s">
        <v>8717</v>
      </c>
      <c r="CEB1" t="s">
        <v>8718</v>
      </c>
      <c r="CEC1" t="s">
        <v>8719</v>
      </c>
      <c r="CED1" t="s">
        <v>8720</v>
      </c>
      <c r="CEE1" t="s">
        <v>8721</v>
      </c>
      <c r="CEF1" t="s">
        <v>8722</v>
      </c>
      <c r="CEG1" t="s">
        <v>8723</v>
      </c>
      <c r="CEH1" t="s">
        <v>8724</v>
      </c>
      <c r="CEI1" t="s">
        <v>8725</v>
      </c>
      <c r="CEJ1" t="s">
        <v>8726</v>
      </c>
      <c r="CEK1" t="s">
        <v>8727</v>
      </c>
      <c r="CEL1" t="s">
        <v>8728</v>
      </c>
      <c r="CEM1" t="s">
        <v>8729</v>
      </c>
      <c r="CEN1" t="s">
        <v>8730</v>
      </c>
      <c r="CEO1" t="s">
        <v>8731</v>
      </c>
      <c r="CEP1" t="s">
        <v>8732</v>
      </c>
      <c r="CEQ1" t="s">
        <v>8733</v>
      </c>
      <c r="CER1" t="s">
        <v>8734</v>
      </c>
      <c r="CES1" t="s">
        <v>8735</v>
      </c>
      <c r="CET1" t="s">
        <v>8736</v>
      </c>
      <c r="CEU1" t="s">
        <v>8737</v>
      </c>
      <c r="CEV1" t="s">
        <v>8738</v>
      </c>
      <c r="CEW1" t="s">
        <v>8739</v>
      </c>
      <c r="CEX1" t="s">
        <v>8740</v>
      </c>
      <c r="CEY1" t="s">
        <v>8741</v>
      </c>
      <c r="CEZ1" t="s">
        <v>8742</v>
      </c>
      <c r="CFA1" t="s">
        <v>8743</v>
      </c>
      <c r="CFB1" t="s">
        <v>8744</v>
      </c>
      <c r="CFC1" t="s">
        <v>8745</v>
      </c>
      <c r="CFD1" t="s">
        <v>8746</v>
      </c>
      <c r="CFE1" t="s">
        <v>8747</v>
      </c>
      <c r="CFF1" t="s">
        <v>8748</v>
      </c>
      <c r="CFG1" t="s">
        <v>8749</v>
      </c>
      <c r="CFH1" t="s">
        <v>8750</v>
      </c>
      <c r="CFI1" t="s">
        <v>8751</v>
      </c>
      <c r="CFJ1" t="s">
        <v>8752</v>
      </c>
      <c r="CFK1" t="s">
        <v>8753</v>
      </c>
      <c r="CFL1" t="s">
        <v>8754</v>
      </c>
      <c r="CFM1" t="s">
        <v>8755</v>
      </c>
      <c r="CFN1" t="s">
        <v>8756</v>
      </c>
      <c r="CFO1" t="s">
        <v>8757</v>
      </c>
      <c r="CFP1" t="s">
        <v>8758</v>
      </c>
      <c r="CFQ1" t="s">
        <v>8759</v>
      </c>
      <c r="CFR1" t="s">
        <v>8760</v>
      </c>
      <c r="CFS1" t="s">
        <v>8761</v>
      </c>
      <c r="CFT1" t="s">
        <v>8762</v>
      </c>
      <c r="CFU1" t="s">
        <v>8763</v>
      </c>
      <c r="CFV1" t="s">
        <v>8764</v>
      </c>
      <c r="CFW1" t="s">
        <v>8765</v>
      </c>
      <c r="CFX1" t="s">
        <v>8766</v>
      </c>
      <c r="CFY1" t="s">
        <v>8767</v>
      </c>
      <c r="CFZ1" t="s">
        <v>8768</v>
      </c>
      <c r="CGA1" t="s">
        <v>8769</v>
      </c>
      <c r="CGB1" t="s">
        <v>8770</v>
      </c>
      <c r="CGC1" t="s">
        <v>8771</v>
      </c>
      <c r="CGD1" t="s">
        <v>8772</v>
      </c>
      <c r="CGE1" t="s">
        <v>8773</v>
      </c>
      <c r="CGF1" t="s">
        <v>8774</v>
      </c>
      <c r="CGG1" t="s">
        <v>8775</v>
      </c>
      <c r="CGH1" t="s">
        <v>8776</v>
      </c>
      <c r="CGI1" t="s">
        <v>8777</v>
      </c>
      <c r="CGJ1" t="s">
        <v>8778</v>
      </c>
      <c r="CGK1" t="s">
        <v>8779</v>
      </c>
      <c r="CGL1" t="s">
        <v>8780</v>
      </c>
      <c r="CGM1" t="s">
        <v>8781</v>
      </c>
      <c r="CGN1" t="s">
        <v>8782</v>
      </c>
      <c r="CGO1" t="s">
        <v>8783</v>
      </c>
      <c r="CGP1" t="s">
        <v>8784</v>
      </c>
      <c r="CGQ1" t="s">
        <v>8785</v>
      </c>
      <c r="CGR1" t="s">
        <v>8786</v>
      </c>
      <c r="CGS1" t="s">
        <v>8787</v>
      </c>
      <c r="CGT1" t="s">
        <v>8788</v>
      </c>
      <c r="CGU1" t="s">
        <v>8789</v>
      </c>
      <c r="CGV1" t="s">
        <v>8790</v>
      </c>
      <c r="CGW1" t="s">
        <v>8791</v>
      </c>
      <c r="CGX1" t="s">
        <v>8792</v>
      </c>
      <c r="CGY1" t="s">
        <v>8793</v>
      </c>
      <c r="CGZ1" t="s">
        <v>8794</v>
      </c>
      <c r="CHA1" t="s">
        <v>8795</v>
      </c>
      <c r="CHB1" t="s">
        <v>8796</v>
      </c>
      <c r="CHC1" t="s">
        <v>8797</v>
      </c>
      <c r="CHD1" t="s">
        <v>8798</v>
      </c>
      <c r="CHE1" t="s">
        <v>8799</v>
      </c>
      <c r="CHF1" t="s">
        <v>8800</v>
      </c>
      <c r="CHG1" t="s">
        <v>8801</v>
      </c>
      <c r="CHH1" t="s">
        <v>8802</v>
      </c>
      <c r="CHI1" t="s">
        <v>8803</v>
      </c>
      <c r="CHJ1" t="s">
        <v>8804</v>
      </c>
      <c r="CHK1" t="s">
        <v>8805</v>
      </c>
      <c r="CHL1" t="s">
        <v>8806</v>
      </c>
      <c r="CHM1" t="s">
        <v>8807</v>
      </c>
      <c r="CHN1" t="s">
        <v>8808</v>
      </c>
      <c r="CHO1" t="s">
        <v>8809</v>
      </c>
      <c r="CHP1" t="s">
        <v>8810</v>
      </c>
      <c r="CHQ1" t="s">
        <v>8811</v>
      </c>
      <c r="CHR1" t="s">
        <v>8812</v>
      </c>
      <c r="CHS1" t="s">
        <v>8813</v>
      </c>
      <c r="CHT1" t="s">
        <v>8814</v>
      </c>
      <c r="CHU1" t="s">
        <v>8815</v>
      </c>
      <c r="CHV1" t="s">
        <v>8816</v>
      </c>
      <c r="CHW1" t="s">
        <v>8817</v>
      </c>
      <c r="CHX1" t="s">
        <v>8818</v>
      </c>
      <c r="CHY1" t="s">
        <v>8819</v>
      </c>
      <c r="CHZ1" t="s">
        <v>8820</v>
      </c>
      <c r="CIA1" t="s">
        <v>8821</v>
      </c>
      <c r="CIB1" t="s">
        <v>8822</v>
      </c>
      <c r="CIC1" t="s">
        <v>8823</v>
      </c>
      <c r="CID1" t="s">
        <v>8824</v>
      </c>
      <c r="CIE1" t="s">
        <v>8825</v>
      </c>
      <c r="CIF1" t="s">
        <v>8826</v>
      </c>
      <c r="CIG1" t="s">
        <v>8827</v>
      </c>
      <c r="CIH1" t="s">
        <v>8828</v>
      </c>
      <c r="CII1" t="s">
        <v>8829</v>
      </c>
      <c r="CIJ1" t="s">
        <v>8830</v>
      </c>
      <c r="CIK1" t="s">
        <v>8831</v>
      </c>
      <c r="CIL1" t="s">
        <v>8832</v>
      </c>
      <c r="CIM1" t="s">
        <v>8833</v>
      </c>
      <c r="CIN1" t="s">
        <v>8834</v>
      </c>
      <c r="CIO1" t="s">
        <v>8835</v>
      </c>
      <c r="CIP1" t="s">
        <v>8836</v>
      </c>
      <c r="CIQ1" t="s">
        <v>8837</v>
      </c>
      <c r="CIR1" t="s">
        <v>8838</v>
      </c>
      <c r="CIS1" t="s">
        <v>8839</v>
      </c>
      <c r="CIT1" t="s">
        <v>8840</v>
      </c>
      <c r="CIU1" t="s">
        <v>8841</v>
      </c>
      <c r="CIV1" t="s">
        <v>8842</v>
      </c>
      <c r="CIW1" t="s">
        <v>8843</v>
      </c>
      <c r="CIX1" t="s">
        <v>8844</v>
      </c>
      <c r="CIY1" t="s">
        <v>8845</v>
      </c>
      <c r="CIZ1" t="s">
        <v>8846</v>
      </c>
      <c r="CJA1" t="s">
        <v>8847</v>
      </c>
      <c r="CJB1" t="s">
        <v>8848</v>
      </c>
      <c r="CJC1" t="s">
        <v>8849</v>
      </c>
      <c r="CJD1" t="s">
        <v>8850</v>
      </c>
      <c r="CJE1" t="s">
        <v>8851</v>
      </c>
      <c r="CJF1" t="s">
        <v>8852</v>
      </c>
      <c r="CJG1" t="s">
        <v>8853</v>
      </c>
      <c r="CJH1" t="s">
        <v>8854</v>
      </c>
      <c r="CJI1" t="s">
        <v>8855</v>
      </c>
      <c r="CJJ1" t="s">
        <v>8856</v>
      </c>
      <c r="CJK1" t="s">
        <v>8857</v>
      </c>
      <c r="CJL1" t="s">
        <v>8858</v>
      </c>
      <c r="CJM1" t="s">
        <v>8859</v>
      </c>
      <c r="CJN1" t="s">
        <v>8860</v>
      </c>
      <c r="CJO1" t="s">
        <v>8861</v>
      </c>
      <c r="CJP1" t="s">
        <v>8862</v>
      </c>
      <c r="CJQ1" t="s">
        <v>8863</v>
      </c>
      <c r="CJR1" t="s">
        <v>8864</v>
      </c>
      <c r="CJS1" t="s">
        <v>8865</v>
      </c>
      <c r="CJT1" t="s">
        <v>8866</v>
      </c>
      <c r="CJU1" t="s">
        <v>8867</v>
      </c>
      <c r="CJV1" t="s">
        <v>8868</v>
      </c>
      <c r="CJW1" t="s">
        <v>8869</v>
      </c>
      <c r="CJX1" t="s">
        <v>8870</v>
      </c>
      <c r="CJY1" t="s">
        <v>8871</v>
      </c>
      <c r="CJZ1" t="s">
        <v>8872</v>
      </c>
      <c r="CKA1" t="s">
        <v>8873</v>
      </c>
      <c r="CKB1" t="s">
        <v>8874</v>
      </c>
      <c r="CKC1" t="s">
        <v>8875</v>
      </c>
      <c r="CKD1" t="s">
        <v>8876</v>
      </c>
      <c r="CKE1" t="s">
        <v>8877</v>
      </c>
      <c r="CKF1" t="s">
        <v>8878</v>
      </c>
      <c r="CKG1" t="s">
        <v>8879</v>
      </c>
      <c r="CKH1" t="s">
        <v>8880</v>
      </c>
      <c r="CKI1" t="s">
        <v>8881</v>
      </c>
      <c r="CKJ1" t="s">
        <v>8882</v>
      </c>
      <c r="CKK1" t="s">
        <v>8883</v>
      </c>
      <c r="CKL1" t="s">
        <v>8884</v>
      </c>
      <c r="CKM1" t="s">
        <v>8885</v>
      </c>
      <c r="CKN1" t="s">
        <v>8886</v>
      </c>
      <c r="CKO1" t="s">
        <v>8887</v>
      </c>
      <c r="CKP1" t="s">
        <v>8888</v>
      </c>
      <c r="CKQ1" t="s">
        <v>8889</v>
      </c>
      <c r="CKR1" t="s">
        <v>8890</v>
      </c>
      <c r="CKS1" t="s">
        <v>8891</v>
      </c>
      <c r="CKT1" t="s">
        <v>8892</v>
      </c>
      <c r="CKU1" t="s">
        <v>8893</v>
      </c>
      <c r="CKV1" t="s">
        <v>8894</v>
      </c>
      <c r="CKW1" t="s">
        <v>8895</v>
      </c>
      <c r="CKX1" t="s">
        <v>8896</v>
      </c>
      <c r="CKY1" t="s">
        <v>8897</v>
      </c>
      <c r="CKZ1" t="s">
        <v>8898</v>
      </c>
      <c r="CLA1" t="s">
        <v>8899</v>
      </c>
      <c r="CLB1" t="s">
        <v>8900</v>
      </c>
      <c r="CLC1" t="s">
        <v>8901</v>
      </c>
      <c r="CLD1" t="s">
        <v>8902</v>
      </c>
      <c r="CLE1" t="s">
        <v>8903</v>
      </c>
      <c r="CLF1" t="s">
        <v>8904</v>
      </c>
      <c r="CLG1" t="s">
        <v>8905</v>
      </c>
      <c r="CLH1" t="s">
        <v>8906</v>
      </c>
      <c r="CLI1" t="s">
        <v>8907</v>
      </c>
      <c r="CLJ1" t="s">
        <v>8908</v>
      </c>
      <c r="CLK1" t="s">
        <v>8909</v>
      </c>
      <c r="CLL1" t="s">
        <v>8910</v>
      </c>
      <c r="CLM1" t="s">
        <v>8911</v>
      </c>
      <c r="CLN1" t="s">
        <v>8912</v>
      </c>
      <c r="CLO1" t="s">
        <v>8913</v>
      </c>
      <c r="CLP1" t="s">
        <v>8914</v>
      </c>
      <c r="CLQ1" t="s">
        <v>8915</v>
      </c>
      <c r="CLR1" t="s">
        <v>8916</v>
      </c>
      <c r="CLS1" t="s">
        <v>8917</v>
      </c>
      <c r="CLT1" t="s">
        <v>8918</v>
      </c>
      <c r="CLU1" t="s">
        <v>8919</v>
      </c>
      <c r="CLV1" t="s">
        <v>8920</v>
      </c>
      <c r="CLW1" t="s">
        <v>8921</v>
      </c>
      <c r="CLX1" t="s">
        <v>8922</v>
      </c>
      <c r="CLY1" t="s">
        <v>8923</v>
      </c>
      <c r="CLZ1" t="s">
        <v>8924</v>
      </c>
      <c r="CMA1" t="s">
        <v>8925</v>
      </c>
      <c r="CMB1" t="s">
        <v>8926</v>
      </c>
      <c r="CMC1" t="s">
        <v>8927</v>
      </c>
      <c r="CMD1" t="s">
        <v>8928</v>
      </c>
      <c r="CME1" t="s">
        <v>8929</v>
      </c>
      <c r="CMF1" t="s">
        <v>8930</v>
      </c>
      <c r="CMG1" t="s">
        <v>8931</v>
      </c>
      <c r="CMH1" t="s">
        <v>8932</v>
      </c>
      <c r="CMI1" t="s">
        <v>8933</v>
      </c>
      <c r="CMJ1" t="s">
        <v>8934</v>
      </c>
      <c r="CMK1" t="s">
        <v>8935</v>
      </c>
      <c r="CML1" t="s">
        <v>8936</v>
      </c>
      <c r="CMM1" t="s">
        <v>8937</v>
      </c>
      <c r="CMN1" t="s">
        <v>8938</v>
      </c>
      <c r="CMO1" t="s">
        <v>8939</v>
      </c>
      <c r="CMP1" t="s">
        <v>8940</v>
      </c>
      <c r="CMQ1" t="s">
        <v>8941</v>
      </c>
      <c r="CMR1" t="s">
        <v>8942</v>
      </c>
      <c r="CMS1" t="s">
        <v>8943</v>
      </c>
      <c r="CMT1" t="s">
        <v>8944</v>
      </c>
      <c r="CMU1" t="s">
        <v>8945</v>
      </c>
      <c r="CMV1" t="s">
        <v>8946</v>
      </c>
      <c r="CMW1" t="s">
        <v>8947</v>
      </c>
      <c r="CMX1" t="s">
        <v>8948</v>
      </c>
      <c r="CMY1" t="s">
        <v>8949</v>
      </c>
      <c r="CMZ1" t="s">
        <v>8950</v>
      </c>
      <c r="CNA1" t="s">
        <v>8951</v>
      </c>
      <c r="CNB1" t="s">
        <v>8952</v>
      </c>
      <c r="CNC1" t="s">
        <v>8953</v>
      </c>
      <c r="CND1" t="s">
        <v>8954</v>
      </c>
      <c r="CNE1" t="s">
        <v>8955</v>
      </c>
      <c r="CNF1" t="s">
        <v>8956</v>
      </c>
      <c r="CNG1" t="s">
        <v>8957</v>
      </c>
      <c r="CNH1" t="s">
        <v>8958</v>
      </c>
      <c r="CNI1" t="s">
        <v>8959</v>
      </c>
      <c r="CNJ1" t="s">
        <v>8960</v>
      </c>
      <c r="CNK1" t="s">
        <v>8961</v>
      </c>
      <c r="CNL1" t="s">
        <v>8962</v>
      </c>
      <c r="CNM1" t="s">
        <v>8963</v>
      </c>
      <c r="CNN1" t="s">
        <v>8964</v>
      </c>
      <c r="CNO1" t="s">
        <v>8965</v>
      </c>
      <c r="CNP1" t="s">
        <v>8966</v>
      </c>
      <c r="CNQ1" t="s">
        <v>8967</v>
      </c>
      <c r="CNR1" t="s">
        <v>8968</v>
      </c>
      <c r="CNS1" t="s">
        <v>8969</v>
      </c>
      <c r="CNT1" t="s">
        <v>8970</v>
      </c>
      <c r="CNU1" t="s">
        <v>8971</v>
      </c>
      <c r="CNV1" t="s">
        <v>8972</v>
      </c>
      <c r="CNW1" t="s">
        <v>8973</v>
      </c>
      <c r="CNX1" t="s">
        <v>8974</v>
      </c>
      <c r="CNY1" t="s">
        <v>8975</v>
      </c>
      <c r="CNZ1" t="s">
        <v>8976</v>
      </c>
      <c r="COA1" t="s">
        <v>8977</v>
      </c>
      <c r="COB1" t="s">
        <v>8978</v>
      </c>
      <c r="COC1" t="s">
        <v>8979</v>
      </c>
      <c r="COD1" t="s">
        <v>8980</v>
      </c>
      <c r="COE1" t="s">
        <v>8981</v>
      </c>
      <c r="COF1" t="s">
        <v>8982</v>
      </c>
      <c r="COG1" t="s">
        <v>8983</v>
      </c>
      <c r="COH1" t="s">
        <v>8984</v>
      </c>
      <c r="COI1" t="s">
        <v>8985</v>
      </c>
      <c r="COJ1" t="s">
        <v>8986</v>
      </c>
      <c r="COK1" t="s">
        <v>8987</v>
      </c>
      <c r="COL1" t="s">
        <v>8988</v>
      </c>
      <c r="COM1" t="s">
        <v>8989</v>
      </c>
      <c r="CON1" t="s">
        <v>8990</v>
      </c>
      <c r="COO1" t="s">
        <v>8991</v>
      </c>
      <c r="COP1" t="s">
        <v>8992</v>
      </c>
      <c r="COQ1" t="s">
        <v>8993</v>
      </c>
      <c r="COR1" t="s">
        <v>8994</v>
      </c>
      <c r="COS1" t="s">
        <v>8995</v>
      </c>
      <c r="COT1" t="s">
        <v>8996</v>
      </c>
      <c r="COU1" t="s">
        <v>8997</v>
      </c>
      <c r="COV1" t="s">
        <v>8998</v>
      </c>
      <c r="COW1" t="s">
        <v>8999</v>
      </c>
      <c r="COX1" t="s">
        <v>9000</v>
      </c>
      <c r="COY1" t="s">
        <v>9001</v>
      </c>
      <c r="COZ1" t="s">
        <v>9002</v>
      </c>
      <c r="CPA1" t="s">
        <v>9003</v>
      </c>
      <c r="CPB1" t="s">
        <v>9004</v>
      </c>
      <c r="CPC1" t="s">
        <v>9005</v>
      </c>
      <c r="CPD1" t="s">
        <v>9006</v>
      </c>
      <c r="CPE1" t="s">
        <v>9007</v>
      </c>
      <c r="CPF1" t="s">
        <v>9008</v>
      </c>
      <c r="CPG1" t="s">
        <v>9009</v>
      </c>
      <c r="CPH1" t="s">
        <v>9010</v>
      </c>
      <c r="CPI1" t="s">
        <v>9011</v>
      </c>
      <c r="CPJ1" t="s">
        <v>9012</v>
      </c>
      <c r="CPK1" t="s">
        <v>9013</v>
      </c>
      <c r="CPL1" t="s">
        <v>9014</v>
      </c>
      <c r="CPM1" t="s">
        <v>9015</v>
      </c>
      <c r="CPN1" t="s">
        <v>9016</v>
      </c>
      <c r="CPO1" t="s">
        <v>9017</v>
      </c>
      <c r="CPP1" t="s">
        <v>9018</v>
      </c>
      <c r="CPQ1" t="s">
        <v>9019</v>
      </c>
      <c r="CPR1" t="s">
        <v>9020</v>
      </c>
      <c r="CPS1" t="s">
        <v>9021</v>
      </c>
      <c r="CPT1" t="s">
        <v>9022</v>
      </c>
      <c r="CPU1" t="s">
        <v>9023</v>
      </c>
      <c r="CPV1" t="s">
        <v>9024</v>
      </c>
      <c r="CPW1" t="s">
        <v>9025</v>
      </c>
      <c r="CPX1" t="s">
        <v>9026</v>
      </c>
      <c r="CPY1" t="s">
        <v>9027</v>
      </c>
      <c r="CPZ1" t="s">
        <v>9028</v>
      </c>
      <c r="CQA1" t="s">
        <v>9029</v>
      </c>
      <c r="CQB1" t="s">
        <v>9030</v>
      </c>
      <c r="CQC1" t="s">
        <v>9031</v>
      </c>
      <c r="CQD1" t="s">
        <v>9678</v>
      </c>
      <c r="CQE1" t="s">
        <v>9032</v>
      </c>
      <c r="CQF1" t="s">
        <v>9033</v>
      </c>
      <c r="CQG1" t="s">
        <v>9034</v>
      </c>
      <c r="CQH1" t="s">
        <v>9035</v>
      </c>
      <c r="CQI1" t="s">
        <v>9036</v>
      </c>
      <c r="CQJ1" t="s">
        <v>9037</v>
      </c>
      <c r="CQK1" t="s">
        <v>9038</v>
      </c>
      <c r="CQL1" t="s">
        <v>9039</v>
      </c>
      <c r="CQM1" t="s">
        <v>9040</v>
      </c>
      <c r="CQN1" t="s">
        <v>9041</v>
      </c>
      <c r="CQO1" t="s">
        <v>9042</v>
      </c>
      <c r="CQP1" t="s">
        <v>9043</v>
      </c>
      <c r="CQQ1" t="s">
        <v>9044</v>
      </c>
      <c r="CQR1" t="s">
        <v>9045</v>
      </c>
      <c r="CQS1" t="s">
        <v>9046</v>
      </c>
      <c r="CQT1" t="s">
        <v>9047</v>
      </c>
      <c r="CQU1" t="s">
        <v>9048</v>
      </c>
      <c r="CQV1" t="s">
        <v>9049</v>
      </c>
      <c r="CQW1" t="s">
        <v>9050</v>
      </c>
      <c r="CQX1" t="s">
        <v>9051</v>
      </c>
      <c r="CQY1" t="s">
        <v>9052</v>
      </c>
      <c r="CQZ1" t="s">
        <v>9053</v>
      </c>
      <c r="CRA1" t="s">
        <v>9054</v>
      </c>
      <c r="CRB1" t="s">
        <v>9055</v>
      </c>
      <c r="CRC1" t="s">
        <v>9056</v>
      </c>
      <c r="CRD1" t="s">
        <v>9057</v>
      </c>
      <c r="CRE1" t="s">
        <v>9058</v>
      </c>
      <c r="CRF1" t="s">
        <v>9059</v>
      </c>
      <c r="CRG1" t="s">
        <v>9060</v>
      </c>
      <c r="CRH1" t="s">
        <v>9061</v>
      </c>
      <c r="CRI1" t="s">
        <v>9062</v>
      </c>
      <c r="CRJ1" t="s">
        <v>9063</v>
      </c>
      <c r="CRK1" t="s">
        <v>9064</v>
      </c>
      <c r="CRL1" t="s">
        <v>9065</v>
      </c>
      <c r="CRM1" t="s">
        <v>9066</v>
      </c>
      <c r="CRN1" t="s">
        <v>9067</v>
      </c>
      <c r="CRO1" t="s">
        <v>9068</v>
      </c>
      <c r="CRP1" t="s">
        <v>9069</v>
      </c>
      <c r="CRQ1" t="s">
        <v>9070</v>
      </c>
      <c r="CRR1" t="s">
        <v>9071</v>
      </c>
      <c r="CRS1" t="s">
        <v>9072</v>
      </c>
      <c r="CRT1" t="s">
        <v>9073</v>
      </c>
      <c r="CRU1" t="s">
        <v>9074</v>
      </c>
      <c r="CRV1" t="s">
        <v>9075</v>
      </c>
      <c r="CRW1" t="s">
        <v>9076</v>
      </c>
      <c r="CRX1" t="s">
        <v>9077</v>
      </c>
      <c r="CRY1" t="s">
        <v>9078</v>
      </c>
      <c r="CRZ1" t="s">
        <v>9079</v>
      </c>
      <c r="CSA1" t="s">
        <v>9080</v>
      </c>
      <c r="CSB1" t="s">
        <v>9081</v>
      </c>
      <c r="CSC1" t="s">
        <v>9082</v>
      </c>
      <c r="CSD1" t="s">
        <v>9083</v>
      </c>
      <c r="CSE1" t="s">
        <v>9084</v>
      </c>
      <c r="CSF1" t="s">
        <v>9085</v>
      </c>
      <c r="CSG1" t="s">
        <v>9086</v>
      </c>
      <c r="CSH1" t="s">
        <v>9087</v>
      </c>
      <c r="CSI1" t="s">
        <v>9088</v>
      </c>
      <c r="CSJ1" t="s">
        <v>9089</v>
      </c>
      <c r="CSK1" t="s">
        <v>9090</v>
      </c>
      <c r="CSL1" t="s">
        <v>9091</v>
      </c>
      <c r="CSM1" t="s">
        <v>9092</v>
      </c>
      <c r="CSN1" t="s">
        <v>9093</v>
      </c>
      <c r="CSO1" t="s">
        <v>9094</v>
      </c>
      <c r="CSP1" t="s">
        <v>9095</v>
      </c>
      <c r="CSQ1" t="s">
        <v>9096</v>
      </c>
      <c r="CSR1" t="s">
        <v>9097</v>
      </c>
      <c r="CSS1" t="s">
        <v>9098</v>
      </c>
      <c r="CST1" t="s">
        <v>9099</v>
      </c>
      <c r="CSU1" t="s">
        <v>9100</v>
      </c>
      <c r="CSV1" t="s">
        <v>9101</v>
      </c>
      <c r="CSW1" t="s">
        <v>9102</v>
      </c>
      <c r="CSX1" t="s">
        <v>9103</v>
      </c>
      <c r="CSY1" t="s">
        <v>9104</v>
      </c>
      <c r="CSZ1" t="s">
        <v>9105</v>
      </c>
      <c r="CTA1" t="s">
        <v>9106</v>
      </c>
      <c r="CTB1" t="s">
        <v>9107</v>
      </c>
      <c r="CTC1" t="s">
        <v>9108</v>
      </c>
      <c r="CTD1" t="s">
        <v>9109</v>
      </c>
      <c r="CTE1" t="s">
        <v>9110</v>
      </c>
      <c r="CTF1" t="s">
        <v>9111</v>
      </c>
      <c r="CTG1" t="s">
        <v>9112</v>
      </c>
      <c r="CTH1" t="s">
        <v>9113</v>
      </c>
      <c r="CTI1" t="s">
        <v>9114</v>
      </c>
      <c r="CTJ1" t="s">
        <v>9115</v>
      </c>
      <c r="CTK1" t="s">
        <v>9116</v>
      </c>
      <c r="CTL1" t="s">
        <v>9117</v>
      </c>
      <c r="CTM1" t="s">
        <v>9118</v>
      </c>
      <c r="CTN1" t="s">
        <v>9119</v>
      </c>
      <c r="CTO1" t="s">
        <v>9120</v>
      </c>
      <c r="CTP1" t="s">
        <v>9121</v>
      </c>
      <c r="CTQ1" t="s">
        <v>9122</v>
      </c>
      <c r="CTR1" t="s">
        <v>9123</v>
      </c>
      <c r="CTS1" t="s">
        <v>9124</v>
      </c>
      <c r="CTT1" t="s">
        <v>9125</v>
      </c>
      <c r="CTU1" t="s">
        <v>9126</v>
      </c>
      <c r="CTV1" t="s">
        <v>9127</v>
      </c>
      <c r="CTW1" t="s">
        <v>9128</v>
      </c>
      <c r="CTX1" t="s">
        <v>9129</v>
      </c>
      <c r="CTY1" t="s">
        <v>9130</v>
      </c>
      <c r="CTZ1" t="s">
        <v>9131</v>
      </c>
      <c r="CUA1" t="s">
        <v>9132</v>
      </c>
      <c r="CUB1" t="s">
        <v>9133</v>
      </c>
      <c r="CUC1" t="s">
        <v>9134</v>
      </c>
      <c r="CUD1" t="s">
        <v>9135</v>
      </c>
      <c r="CUE1" t="s">
        <v>9136</v>
      </c>
      <c r="CUF1" t="s">
        <v>9137</v>
      </c>
      <c r="CUG1" t="s">
        <v>9138</v>
      </c>
      <c r="CUH1" t="s">
        <v>9139</v>
      </c>
      <c r="CUI1" t="s">
        <v>9140</v>
      </c>
      <c r="CUJ1" t="s">
        <v>9141</v>
      </c>
      <c r="CUK1" t="s">
        <v>9142</v>
      </c>
      <c r="CUL1" t="s">
        <v>9143</v>
      </c>
      <c r="CUM1" t="s">
        <v>9144</v>
      </c>
      <c r="CUN1" t="s">
        <v>9145</v>
      </c>
      <c r="CUO1" t="s">
        <v>9146</v>
      </c>
      <c r="CUP1" t="s">
        <v>9147</v>
      </c>
      <c r="CUQ1" t="s">
        <v>9148</v>
      </c>
      <c r="CUR1" t="s">
        <v>9149</v>
      </c>
      <c r="CUS1" t="s">
        <v>9150</v>
      </c>
      <c r="CUT1" t="s">
        <v>9151</v>
      </c>
      <c r="CUU1" t="s">
        <v>9152</v>
      </c>
      <c r="CUV1" t="s">
        <v>9153</v>
      </c>
      <c r="CUW1" t="s">
        <v>9154</v>
      </c>
      <c r="CUX1" t="s">
        <v>9155</v>
      </c>
      <c r="CUY1" t="s">
        <v>9156</v>
      </c>
      <c r="CUZ1" t="s">
        <v>9157</v>
      </c>
      <c r="CVA1" t="s">
        <v>9158</v>
      </c>
      <c r="CVB1" t="s">
        <v>9159</v>
      </c>
      <c r="CVC1" t="s">
        <v>9160</v>
      </c>
      <c r="CVD1" t="s">
        <v>9161</v>
      </c>
      <c r="CVE1" t="s">
        <v>9162</v>
      </c>
      <c r="CVF1" t="s">
        <v>9163</v>
      </c>
      <c r="CVG1" t="s">
        <v>9164</v>
      </c>
      <c r="CVH1" t="s">
        <v>9165</v>
      </c>
      <c r="CVI1" t="s">
        <v>9166</v>
      </c>
      <c r="CVJ1" t="s">
        <v>9167</v>
      </c>
      <c r="CVK1" t="s">
        <v>9168</v>
      </c>
      <c r="CVL1" t="s">
        <v>9169</v>
      </c>
      <c r="CVM1" t="s">
        <v>9170</v>
      </c>
      <c r="CVN1" t="s">
        <v>9171</v>
      </c>
      <c r="CVO1" t="s">
        <v>9172</v>
      </c>
      <c r="CVP1" t="s">
        <v>9173</v>
      </c>
      <c r="CVQ1" t="s">
        <v>9174</v>
      </c>
      <c r="CVR1" t="s">
        <v>9175</v>
      </c>
      <c r="CVS1" t="s">
        <v>9176</v>
      </c>
      <c r="CVT1" t="s">
        <v>9177</v>
      </c>
      <c r="CVU1" t="s">
        <v>9178</v>
      </c>
      <c r="CVV1" t="s">
        <v>9179</v>
      </c>
      <c r="CVW1" t="s">
        <v>9180</v>
      </c>
      <c r="CVX1" t="s">
        <v>9181</v>
      </c>
      <c r="CVY1" t="s">
        <v>9182</v>
      </c>
      <c r="CVZ1" t="s">
        <v>9183</v>
      </c>
      <c r="CWA1" t="s">
        <v>9184</v>
      </c>
      <c r="CWB1" t="s">
        <v>9185</v>
      </c>
      <c r="CWC1" t="s">
        <v>9186</v>
      </c>
      <c r="CWD1" t="s">
        <v>9187</v>
      </c>
      <c r="CWE1" t="s">
        <v>9188</v>
      </c>
      <c r="CWF1" t="s">
        <v>9189</v>
      </c>
      <c r="CWG1" t="s">
        <v>9190</v>
      </c>
      <c r="CWH1" t="s">
        <v>9191</v>
      </c>
      <c r="CWI1" t="s">
        <v>9192</v>
      </c>
      <c r="CWJ1" t="s">
        <v>9193</v>
      </c>
      <c r="CWK1" t="s">
        <v>9194</v>
      </c>
      <c r="CWL1" t="s">
        <v>9195</v>
      </c>
      <c r="CWM1" t="s">
        <v>9196</v>
      </c>
      <c r="CWN1" t="s">
        <v>9197</v>
      </c>
      <c r="CWO1" t="s">
        <v>9198</v>
      </c>
      <c r="CWP1" t="s">
        <v>9199</v>
      </c>
      <c r="CWQ1" t="s">
        <v>9200</v>
      </c>
      <c r="CWR1" t="s">
        <v>9201</v>
      </c>
      <c r="CWS1" t="s">
        <v>9202</v>
      </c>
      <c r="CWT1" t="s">
        <v>9203</v>
      </c>
      <c r="CWU1" t="s">
        <v>9204</v>
      </c>
      <c r="CWV1" t="s">
        <v>9205</v>
      </c>
      <c r="CWW1" t="s">
        <v>9206</v>
      </c>
      <c r="CWX1" t="s">
        <v>9207</v>
      </c>
      <c r="CWY1" t="s">
        <v>9208</v>
      </c>
      <c r="CWZ1" t="s">
        <v>9209</v>
      </c>
      <c r="CXA1" t="s">
        <v>9210</v>
      </c>
      <c r="CXB1" t="s">
        <v>9211</v>
      </c>
      <c r="CXC1" t="s">
        <v>9212</v>
      </c>
      <c r="CXD1" t="s">
        <v>9213</v>
      </c>
      <c r="CXE1" t="s">
        <v>9214</v>
      </c>
      <c r="CXF1" t="s">
        <v>9215</v>
      </c>
      <c r="CXG1" t="s">
        <v>9216</v>
      </c>
      <c r="CXH1" t="s">
        <v>9217</v>
      </c>
      <c r="CXI1" t="s">
        <v>9218</v>
      </c>
      <c r="CXJ1" t="s">
        <v>9219</v>
      </c>
      <c r="CXK1" t="s">
        <v>9220</v>
      </c>
      <c r="CXL1" t="s">
        <v>9221</v>
      </c>
      <c r="CXM1" t="s">
        <v>9222</v>
      </c>
      <c r="CXN1" t="s">
        <v>9223</v>
      </c>
      <c r="CXO1" t="s">
        <v>9679</v>
      </c>
      <c r="CXP1" t="s">
        <v>9224</v>
      </c>
      <c r="CXQ1" t="s">
        <v>9225</v>
      </c>
      <c r="CXR1" t="s">
        <v>9226</v>
      </c>
      <c r="CXS1" t="s">
        <v>9227</v>
      </c>
      <c r="CXT1" t="s">
        <v>9228</v>
      </c>
      <c r="CXU1" t="s">
        <v>9229</v>
      </c>
      <c r="CXV1" t="s">
        <v>9230</v>
      </c>
      <c r="CXW1" t="s">
        <v>9231</v>
      </c>
      <c r="CXX1" t="s">
        <v>9232</v>
      </c>
      <c r="CXY1" t="s">
        <v>9233</v>
      </c>
      <c r="CXZ1" t="s">
        <v>9234</v>
      </c>
      <c r="CYA1" t="s">
        <v>9235</v>
      </c>
      <c r="CYB1" t="s">
        <v>9236</v>
      </c>
      <c r="CYC1" t="s">
        <v>9237</v>
      </c>
      <c r="CYD1" t="s">
        <v>9238</v>
      </c>
      <c r="CYE1" t="s">
        <v>9239</v>
      </c>
      <c r="CYF1" t="s">
        <v>9240</v>
      </c>
      <c r="CYG1" t="s">
        <v>9241</v>
      </c>
      <c r="CYH1" t="s">
        <v>9242</v>
      </c>
      <c r="CYI1" t="s">
        <v>9243</v>
      </c>
      <c r="CYJ1" t="s">
        <v>9244</v>
      </c>
      <c r="CYK1" t="s">
        <v>9245</v>
      </c>
      <c r="CYL1" t="s">
        <v>9246</v>
      </c>
      <c r="CYM1" t="s">
        <v>9247</v>
      </c>
      <c r="CYN1" t="s">
        <v>9248</v>
      </c>
      <c r="CYO1" t="s">
        <v>9249</v>
      </c>
      <c r="CYP1" t="s">
        <v>9250</v>
      </c>
      <c r="CYQ1" t="s">
        <v>9251</v>
      </c>
      <c r="CYR1" t="s">
        <v>9252</v>
      </c>
      <c r="CYS1" t="s">
        <v>9253</v>
      </c>
      <c r="CYT1" t="s">
        <v>9254</v>
      </c>
      <c r="CYU1" t="s">
        <v>9255</v>
      </c>
      <c r="CYV1" t="s">
        <v>9256</v>
      </c>
      <c r="CYW1" t="s">
        <v>9257</v>
      </c>
      <c r="CYX1" t="s">
        <v>9258</v>
      </c>
      <c r="CYY1" t="s">
        <v>9259</v>
      </c>
      <c r="CYZ1" t="s">
        <v>9260</v>
      </c>
      <c r="CZA1" t="s">
        <v>9261</v>
      </c>
      <c r="CZB1" t="s">
        <v>9262</v>
      </c>
      <c r="CZC1" t="s">
        <v>9263</v>
      </c>
      <c r="CZD1" t="s">
        <v>9264</v>
      </c>
      <c r="CZE1" t="s">
        <v>9265</v>
      </c>
      <c r="CZF1" t="s">
        <v>9266</v>
      </c>
      <c r="CZG1" t="s">
        <v>9267</v>
      </c>
      <c r="CZH1" t="s">
        <v>9268</v>
      </c>
      <c r="CZI1" t="s">
        <v>9269</v>
      </c>
      <c r="CZJ1" t="s">
        <v>9270</v>
      </c>
      <c r="CZK1" t="s">
        <v>9271</v>
      </c>
      <c r="CZL1" t="s">
        <v>9272</v>
      </c>
      <c r="CZM1" t="s">
        <v>9273</v>
      </c>
      <c r="CZN1" t="s">
        <v>9274</v>
      </c>
      <c r="CZO1" t="s">
        <v>9275</v>
      </c>
      <c r="CZP1" t="s">
        <v>9276</v>
      </c>
      <c r="CZQ1" t="s">
        <v>9277</v>
      </c>
      <c r="CZR1" t="s">
        <v>9278</v>
      </c>
      <c r="CZS1" t="s">
        <v>9279</v>
      </c>
      <c r="CZT1" t="s">
        <v>9280</v>
      </c>
      <c r="CZU1" t="s">
        <v>9281</v>
      </c>
      <c r="CZV1" t="s">
        <v>9282</v>
      </c>
      <c r="CZW1" t="s">
        <v>9283</v>
      </c>
      <c r="CZX1" t="s">
        <v>9284</v>
      </c>
      <c r="CZY1" t="s">
        <v>9285</v>
      </c>
      <c r="CZZ1" t="s">
        <v>9286</v>
      </c>
      <c r="DAA1" t="s">
        <v>9287</v>
      </c>
      <c r="DAB1" t="s">
        <v>9288</v>
      </c>
      <c r="DAC1" t="s">
        <v>9289</v>
      </c>
      <c r="DAD1" t="s">
        <v>9290</v>
      </c>
      <c r="DAE1" t="s">
        <v>9291</v>
      </c>
      <c r="DAF1" t="s">
        <v>9292</v>
      </c>
      <c r="DAG1" t="s">
        <v>9293</v>
      </c>
      <c r="DAH1" t="s">
        <v>9294</v>
      </c>
      <c r="DAI1" t="s">
        <v>9295</v>
      </c>
      <c r="DAJ1" t="s">
        <v>9296</v>
      </c>
      <c r="DAK1" t="s">
        <v>9297</v>
      </c>
      <c r="DAL1" t="s">
        <v>9298</v>
      </c>
      <c r="DAM1" t="s">
        <v>9299</v>
      </c>
      <c r="DAN1" t="s">
        <v>9300</v>
      </c>
      <c r="DAO1" t="s">
        <v>9301</v>
      </c>
      <c r="DAP1" t="s">
        <v>9302</v>
      </c>
      <c r="DAQ1" t="s">
        <v>9303</v>
      </c>
      <c r="DAR1" t="s">
        <v>9304</v>
      </c>
      <c r="DAS1" t="s">
        <v>9305</v>
      </c>
      <c r="DAT1" t="s">
        <v>9306</v>
      </c>
      <c r="DAU1" t="s">
        <v>9307</v>
      </c>
      <c r="DAV1" t="s">
        <v>9308</v>
      </c>
      <c r="DAW1" t="s">
        <v>9309</v>
      </c>
      <c r="DAX1" t="s">
        <v>9310</v>
      </c>
      <c r="DAY1" t="s">
        <v>9311</v>
      </c>
      <c r="DAZ1" t="s">
        <v>9312</v>
      </c>
      <c r="DBA1" t="s">
        <v>9313</v>
      </c>
      <c r="DBB1" t="s">
        <v>9314</v>
      </c>
      <c r="DBC1" t="s">
        <v>9315</v>
      </c>
      <c r="DBD1" t="s">
        <v>9316</v>
      </c>
      <c r="DBE1" t="s">
        <v>9317</v>
      </c>
      <c r="DBF1" t="s">
        <v>9318</v>
      </c>
      <c r="DBG1" t="s">
        <v>9319</v>
      </c>
      <c r="DBH1" t="s">
        <v>9320</v>
      </c>
      <c r="DBI1" t="s">
        <v>9321</v>
      </c>
      <c r="DBJ1" t="s">
        <v>9322</v>
      </c>
      <c r="DBK1" t="s">
        <v>9323</v>
      </c>
      <c r="DBL1" t="s">
        <v>9324</v>
      </c>
      <c r="DBM1" t="s">
        <v>9325</v>
      </c>
      <c r="DBN1" t="s">
        <v>9326</v>
      </c>
      <c r="DBO1" t="s">
        <v>9327</v>
      </c>
      <c r="DBP1" t="s">
        <v>9328</v>
      </c>
      <c r="DBQ1" t="s">
        <v>9329</v>
      </c>
      <c r="DBR1" t="s">
        <v>9330</v>
      </c>
      <c r="DBS1" t="s">
        <v>9331</v>
      </c>
      <c r="DBT1" t="s">
        <v>9332</v>
      </c>
      <c r="DBU1" t="s">
        <v>5510</v>
      </c>
      <c r="DBV1" t="s">
        <v>9333</v>
      </c>
      <c r="DBW1" t="s">
        <v>9334</v>
      </c>
      <c r="DBX1" t="s">
        <v>9335</v>
      </c>
      <c r="DBY1" t="s">
        <v>9336</v>
      </c>
      <c r="DBZ1" t="s">
        <v>9337</v>
      </c>
      <c r="DCA1" t="s">
        <v>9338</v>
      </c>
      <c r="DCB1" t="s">
        <v>9339</v>
      </c>
      <c r="DCC1" t="s">
        <v>9340</v>
      </c>
      <c r="DCD1" t="s">
        <v>9341</v>
      </c>
      <c r="DCE1" t="s">
        <v>9342</v>
      </c>
      <c r="DCF1" t="s">
        <v>9343</v>
      </c>
      <c r="DCG1" t="s">
        <v>9344</v>
      </c>
      <c r="DCH1" t="s">
        <v>9345</v>
      </c>
      <c r="DCI1" t="s">
        <v>9346</v>
      </c>
      <c r="DCJ1" t="s">
        <v>9347</v>
      </c>
      <c r="DCK1" t="s">
        <v>9348</v>
      </c>
      <c r="DCL1" t="s">
        <v>9349</v>
      </c>
      <c r="DCM1" t="s">
        <v>9350</v>
      </c>
      <c r="DCN1" t="s">
        <v>9351</v>
      </c>
      <c r="DCO1" t="s">
        <v>9352</v>
      </c>
      <c r="DCP1" t="s">
        <v>9353</v>
      </c>
      <c r="DCQ1" t="s">
        <v>9354</v>
      </c>
      <c r="DCR1" t="s">
        <v>9355</v>
      </c>
      <c r="DCS1" t="s">
        <v>9356</v>
      </c>
      <c r="DCT1" t="s">
        <v>9357</v>
      </c>
      <c r="DCU1" t="s">
        <v>9358</v>
      </c>
      <c r="DCV1" t="s">
        <v>9359</v>
      </c>
      <c r="DCW1" t="s">
        <v>9360</v>
      </c>
      <c r="DCX1" t="s">
        <v>9361</v>
      </c>
      <c r="DCY1" t="s">
        <v>9362</v>
      </c>
      <c r="DCZ1" t="s">
        <v>9363</v>
      </c>
      <c r="DDA1" t="s">
        <v>9364</v>
      </c>
      <c r="DDB1" t="s">
        <v>9365</v>
      </c>
      <c r="DDC1" t="s">
        <v>9366</v>
      </c>
      <c r="DDD1" t="s">
        <v>9367</v>
      </c>
      <c r="DDE1" t="s">
        <v>9368</v>
      </c>
      <c r="DDF1" t="s">
        <v>9369</v>
      </c>
      <c r="DDG1" t="s">
        <v>9370</v>
      </c>
      <c r="DDH1" t="s">
        <v>9371</v>
      </c>
      <c r="DDI1" t="s">
        <v>9372</v>
      </c>
      <c r="DDJ1" t="s">
        <v>9373</v>
      </c>
      <c r="DDK1" t="s">
        <v>9374</v>
      </c>
      <c r="DDL1" t="s">
        <v>9375</v>
      </c>
      <c r="DDM1" t="s">
        <v>9376</v>
      </c>
      <c r="DDN1" t="s">
        <v>9377</v>
      </c>
      <c r="DDO1" t="s">
        <v>9378</v>
      </c>
      <c r="DDP1" t="s">
        <v>9379</v>
      </c>
      <c r="DDQ1" t="s">
        <v>9380</v>
      </c>
      <c r="DDR1" t="s">
        <v>9381</v>
      </c>
      <c r="DDS1" t="s">
        <v>9382</v>
      </c>
      <c r="DDT1" t="s">
        <v>9383</v>
      </c>
      <c r="DDU1" t="s">
        <v>9384</v>
      </c>
      <c r="DDV1" t="s">
        <v>9385</v>
      </c>
      <c r="DDW1" t="s">
        <v>9386</v>
      </c>
      <c r="DDX1" t="s">
        <v>9387</v>
      </c>
      <c r="DDY1" t="s">
        <v>9388</v>
      </c>
      <c r="DDZ1" t="s">
        <v>9389</v>
      </c>
      <c r="DEA1" t="s">
        <v>9390</v>
      </c>
      <c r="DEB1" t="s">
        <v>9391</v>
      </c>
      <c r="DEC1" t="s">
        <v>9392</v>
      </c>
      <c r="DED1" t="s">
        <v>9393</v>
      </c>
      <c r="DEE1" t="s">
        <v>9394</v>
      </c>
      <c r="DEF1" t="s">
        <v>9395</v>
      </c>
      <c r="DEG1" t="s">
        <v>9396</v>
      </c>
      <c r="DEH1" t="s">
        <v>9397</v>
      </c>
      <c r="DEI1" t="s">
        <v>9398</v>
      </c>
      <c r="DEJ1" t="s">
        <v>9399</v>
      </c>
      <c r="DEK1" t="s">
        <v>9400</v>
      </c>
      <c r="DEL1" t="s">
        <v>9401</v>
      </c>
      <c r="DEM1" t="s">
        <v>9402</v>
      </c>
      <c r="DEN1" t="s">
        <v>9403</v>
      </c>
      <c r="DEO1" t="s">
        <v>9404</v>
      </c>
      <c r="DEP1" t="s">
        <v>9405</v>
      </c>
      <c r="DEQ1" t="s">
        <v>9406</v>
      </c>
      <c r="DER1" t="s">
        <v>9407</v>
      </c>
      <c r="DES1" t="s">
        <v>9408</v>
      </c>
      <c r="DET1" t="s">
        <v>9409</v>
      </c>
      <c r="DEU1" t="s">
        <v>9410</v>
      </c>
      <c r="DEV1" t="s">
        <v>9411</v>
      </c>
      <c r="DEW1" t="s">
        <v>9412</v>
      </c>
      <c r="DEX1" t="s">
        <v>9413</v>
      </c>
      <c r="DEY1" t="s">
        <v>9414</v>
      </c>
      <c r="DEZ1" t="s">
        <v>9415</v>
      </c>
      <c r="DFA1" t="s">
        <v>9416</v>
      </c>
      <c r="DFB1" t="s">
        <v>9417</v>
      </c>
      <c r="DFC1" t="s">
        <v>9418</v>
      </c>
      <c r="DFD1" t="s">
        <v>9419</v>
      </c>
      <c r="DFE1" t="s">
        <v>9420</v>
      </c>
      <c r="DFF1" t="s">
        <v>9421</v>
      </c>
      <c r="DFG1" t="s">
        <v>9422</v>
      </c>
      <c r="DFH1" t="s">
        <v>9423</v>
      </c>
      <c r="DFI1" t="s">
        <v>9424</v>
      </c>
      <c r="DFJ1" t="s">
        <v>9425</v>
      </c>
      <c r="DFK1" t="s">
        <v>9426</v>
      </c>
      <c r="DFL1" t="s">
        <v>9427</v>
      </c>
      <c r="DFM1" t="s">
        <v>9428</v>
      </c>
      <c r="DFN1" t="s">
        <v>9429</v>
      </c>
      <c r="DFO1" t="s">
        <v>9430</v>
      </c>
      <c r="DFP1" t="s">
        <v>9431</v>
      </c>
      <c r="DFQ1" t="s">
        <v>9432</v>
      </c>
      <c r="DFR1" t="s">
        <v>9433</v>
      </c>
      <c r="DFS1" t="s">
        <v>9434</v>
      </c>
      <c r="DFT1" t="s">
        <v>9435</v>
      </c>
      <c r="DFU1" t="s">
        <v>9436</v>
      </c>
      <c r="DFV1" t="s">
        <v>9437</v>
      </c>
      <c r="DFW1" t="s">
        <v>9438</v>
      </c>
      <c r="DFX1" t="s">
        <v>9439</v>
      </c>
      <c r="DFY1" t="s">
        <v>9440</v>
      </c>
      <c r="DFZ1" t="s">
        <v>9441</v>
      </c>
      <c r="DGA1" t="s">
        <v>9442</v>
      </c>
      <c r="DGB1" t="s">
        <v>9443</v>
      </c>
      <c r="DGC1" t="s">
        <v>9444</v>
      </c>
      <c r="DGD1" t="s">
        <v>9445</v>
      </c>
      <c r="DGE1" t="s">
        <v>9446</v>
      </c>
      <c r="DGF1" t="s">
        <v>9447</v>
      </c>
      <c r="DGG1" t="s">
        <v>9448</v>
      </c>
      <c r="DGH1" t="s">
        <v>9449</v>
      </c>
      <c r="DGI1" t="s">
        <v>9450</v>
      </c>
      <c r="DGJ1" t="s">
        <v>9451</v>
      </c>
      <c r="DGK1" t="s">
        <v>9452</v>
      </c>
      <c r="DGL1" t="s">
        <v>9453</v>
      </c>
      <c r="DGM1" t="s">
        <v>9454</v>
      </c>
      <c r="DGN1" t="s">
        <v>9455</v>
      </c>
      <c r="DGO1" t="s">
        <v>9456</v>
      </c>
      <c r="DGP1" t="s">
        <v>9457</v>
      </c>
      <c r="DGQ1" t="s">
        <v>9458</v>
      </c>
      <c r="DGR1" t="s">
        <v>9459</v>
      </c>
      <c r="DGS1" t="s">
        <v>9460</v>
      </c>
      <c r="DGT1" t="s">
        <v>9461</v>
      </c>
      <c r="DGU1" t="s">
        <v>9462</v>
      </c>
      <c r="DGV1" t="s">
        <v>9463</v>
      </c>
      <c r="DGW1" t="s">
        <v>9464</v>
      </c>
      <c r="DGX1" t="s">
        <v>9465</v>
      </c>
      <c r="DGY1" t="s">
        <v>9466</v>
      </c>
      <c r="DGZ1" t="s">
        <v>9467</v>
      </c>
      <c r="DHA1" t="s">
        <v>9468</v>
      </c>
      <c r="DHB1" t="s">
        <v>9469</v>
      </c>
      <c r="DHC1" t="s">
        <v>9470</v>
      </c>
      <c r="DHD1" t="s">
        <v>9471</v>
      </c>
      <c r="DHE1" t="s">
        <v>9472</v>
      </c>
      <c r="DHF1" t="s">
        <v>9473</v>
      </c>
      <c r="DHG1" t="s">
        <v>9474</v>
      </c>
      <c r="DHH1" t="s">
        <v>9475</v>
      </c>
      <c r="DHI1" t="s">
        <v>9476</v>
      </c>
      <c r="DHJ1" t="s">
        <v>9477</v>
      </c>
      <c r="DHK1" t="s">
        <v>9478</v>
      </c>
      <c r="DHL1" t="s">
        <v>9479</v>
      </c>
      <c r="DHM1" t="s">
        <v>9480</v>
      </c>
      <c r="DHN1" t="s">
        <v>9481</v>
      </c>
      <c r="DHO1" t="s">
        <v>9482</v>
      </c>
      <c r="DHP1" t="s">
        <v>9483</v>
      </c>
      <c r="DHQ1" t="s">
        <v>9484</v>
      </c>
      <c r="DHR1" t="s">
        <v>9485</v>
      </c>
      <c r="DHS1" t="s">
        <v>9486</v>
      </c>
      <c r="DHT1" t="s">
        <v>9487</v>
      </c>
      <c r="DHU1" t="s">
        <v>9488</v>
      </c>
      <c r="DHV1" t="s">
        <v>9489</v>
      </c>
      <c r="DHW1" t="s">
        <v>9490</v>
      </c>
      <c r="DHX1" t="s">
        <v>9491</v>
      </c>
      <c r="DHY1" t="s">
        <v>9492</v>
      </c>
      <c r="DHZ1" t="s">
        <v>9493</v>
      </c>
      <c r="DIA1" t="s">
        <v>9494</v>
      </c>
      <c r="DIB1" t="s">
        <v>9495</v>
      </c>
      <c r="DIC1" t="s">
        <v>9496</v>
      </c>
      <c r="DID1" t="s">
        <v>9497</v>
      </c>
      <c r="DIE1" t="s">
        <v>9498</v>
      </c>
      <c r="DIF1" t="s">
        <v>9499</v>
      </c>
      <c r="DIG1" t="s">
        <v>9500</v>
      </c>
      <c r="DIH1" t="s">
        <v>9501</v>
      </c>
      <c r="DII1" t="s">
        <v>9502</v>
      </c>
      <c r="DIJ1" t="s">
        <v>9503</v>
      </c>
      <c r="DIK1" t="s">
        <v>9504</v>
      </c>
      <c r="DIL1" t="s">
        <v>9505</v>
      </c>
      <c r="DIM1" t="s">
        <v>9506</v>
      </c>
      <c r="DIN1" t="s">
        <v>9507</v>
      </c>
      <c r="DIO1" t="s">
        <v>9508</v>
      </c>
      <c r="DIP1" t="s">
        <v>9509</v>
      </c>
      <c r="DIQ1" t="s">
        <v>9510</v>
      </c>
      <c r="DIR1" t="s">
        <v>9511</v>
      </c>
      <c r="DIS1" t="s">
        <v>9512</v>
      </c>
      <c r="DIT1" t="s">
        <v>9513</v>
      </c>
      <c r="DIU1" t="s">
        <v>9514</v>
      </c>
      <c r="DIV1" t="s">
        <v>9515</v>
      </c>
      <c r="DIW1" t="s">
        <v>9516</v>
      </c>
      <c r="DIX1" t="s">
        <v>9517</v>
      </c>
      <c r="DIY1" t="s">
        <v>9518</v>
      </c>
      <c r="DIZ1" t="s">
        <v>9519</v>
      </c>
      <c r="DJA1" t="s">
        <v>9520</v>
      </c>
      <c r="DJB1" t="s">
        <v>9521</v>
      </c>
      <c r="DJC1" t="s">
        <v>9522</v>
      </c>
      <c r="DJD1" t="s">
        <v>9523</v>
      </c>
      <c r="DJE1" t="s">
        <v>9524</v>
      </c>
      <c r="DJF1" t="s">
        <v>9525</v>
      </c>
      <c r="DJG1" t="s">
        <v>9526</v>
      </c>
      <c r="DJH1" t="s">
        <v>9527</v>
      </c>
      <c r="DJI1" t="s">
        <v>9528</v>
      </c>
      <c r="DJJ1" t="s">
        <v>9529</v>
      </c>
      <c r="DJK1" t="s">
        <v>9530</v>
      </c>
      <c r="DJL1" t="s">
        <v>9531</v>
      </c>
      <c r="DJM1" t="s">
        <v>9532</v>
      </c>
      <c r="DJN1" t="s">
        <v>9533</v>
      </c>
      <c r="DJO1" t="s">
        <v>9534</v>
      </c>
      <c r="DJP1" t="s">
        <v>9535</v>
      </c>
      <c r="DJQ1" t="s">
        <v>9536</v>
      </c>
      <c r="DJR1" t="s">
        <v>9537</v>
      </c>
      <c r="DJS1" t="s">
        <v>9538</v>
      </c>
      <c r="DJT1" t="s">
        <v>9539</v>
      </c>
      <c r="DJU1" t="s">
        <v>9540</v>
      </c>
      <c r="DJV1" t="s">
        <v>9541</v>
      </c>
      <c r="DJW1" t="s">
        <v>9542</v>
      </c>
      <c r="DJX1" t="s">
        <v>9543</v>
      </c>
      <c r="DJY1" t="s">
        <v>9544</v>
      </c>
      <c r="DJZ1" t="s">
        <v>9545</v>
      </c>
      <c r="DKA1" t="s">
        <v>9546</v>
      </c>
      <c r="DKB1" t="s">
        <v>9547</v>
      </c>
      <c r="DKC1" t="s">
        <v>9548</v>
      </c>
      <c r="DKD1" t="s">
        <v>9549</v>
      </c>
      <c r="DKE1" t="s">
        <v>9550</v>
      </c>
      <c r="DKF1" t="s">
        <v>9551</v>
      </c>
      <c r="DKG1" t="s">
        <v>9552</v>
      </c>
      <c r="DKH1" t="s">
        <v>9553</v>
      </c>
      <c r="DKI1" t="s">
        <v>9554</v>
      </c>
      <c r="DKJ1" t="s">
        <v>9555</v>
      </c>
      <c r="DKK1" t="s">
        <v>9556</v>
      </c>
      <c r="DKL1" t="s">
        <v>9557</v>
      </c>
      <c r="DKM1" t="s">
        <v>9558</v>
      </c>
      <c r="DKN1" t="s">
        <v>9559</v>
      </c>
      <c r="DKO1" t="s">
        <v>9560</v>
      </c>
      <c r="DKP1" t="s">
        <v>9561</v>
      </c>
      <c r="DKQ1" t="s">
        <v>9562</v>
      </c>
      <c r="DKR1" t="s">
        <v>9563</v>
      </c>
      <c r="DKS1" t="s">
        <v>9564</v>
      </c>
      <c r="DKT1" t="s">
        <v>9565</v>
      </c>
      <c r="DKU1" t="s">
        <v>9566</v>
      </c>
      <c r="DKV1" t="s">
        <v>9567</v>
      </c>
      <c r="DKW1" t="s">
        <v>9568</v>
      </c>
      <c r="DKX1" t="s">
        <v>9569</v>
      </c>
      <c r="DKY1" t="s">
        <v>9570</v>
      </c>
      <c r="DKZ1" t="s">
        <v>9571</v>
      </c>
      <c r="DLA1" t="s">
        <v>9572</v>
      </c>
      <c r="DLB1" t="s">
        <v>9573</v>
      </c>
      <c r="DLC1" t="s">
        <v>9574</v>
      </c>
      <c r="DLD1" t="s">
        <v>9575</v>
      </c>
      <c r="DLE1" t="s">
        <v>9576</v>
      </c>
      <c r="DLF1" t="s">
        <v>9577</v>
      </c>
      <c r="DLG1" t="s">
        <v>9578</v>
      </c>
      <c r="DLH1" t="s">
        <v>9579</v>
      </c>
      <c r="DLI1" t="s">
        <v>9580</v>
      </c>
      <c r="DLJ1" t="s">
        <v>9581</v>
      </c>
      <c r="DLK1" t="s">
        <v>9582</v>
      </c>
      <c r="DLL1" t="s">
        <v>9583</v>
      </c>
      <c r="DLM1" t="s">
        <v>9584</v>
      </c>
      <c r="DLN1" t="s">
        <v>9585</v>
      </c>
      <c r="DLO1" t="s">
        <v>9586</v>
      </c>
      <c r="DLP1" t="s">
        <v>9587</v>
      </c>
      <c r="DLQ1" t="s">
        <v>9588</v>
      </c>
      <c r="DLR1" t="s">
        <v>9589</v>
      </c>
      <c r="DLS1" t="s">
        <v>9590</v>
      </c>
      <c r="DLT1" t="s">
        <v>9591</v>
      </c>
      <c r="DLU1" t="s">
        <v>9592</v>
      </c>
      <c r="DLV1" t="s">
        <v>9593</v>
      </c>
      <c r="DLW1" t="s">
        <v>9594</v>
      </c>
      <c r="DLX1" t="s">
        <v>9595</v>
      </c>
      <c r="DLY1" t="s">
        <v>9596</v>
      </c>
      <c r="DLZ1" t="s">
        <v>9597</v>
      </c>
      <c r="DMA1" t="s">
        <v>9598</v>
      </c>
      <c r="DMB1" t="s">
        <v>9599</v>
      </c>
      <c r="DMC1" t="s">
        <v>9600</v>
      </c>
      <c r="DMD1" t="s">
        <v>9601</v>
      </c>
      <c r="DME1" t="s">
        <v>9602</v>
      </c>
      <c r="DMF1" t="s">
        <v>9603</v>
      </c>
      <c r="DMG1" t="s">
        <v>9604</v>
      </c>
      <c r="DMH1" t="s">
        <v>9605</v>
      </c>
      <c r="DMI1" t="s">
        <v>9606</v>
      </c>
      <c r="DMJ1" t="s">
        <v>9607</v>
      </c>
      <c r="DMK1" t="s">
        <v>9608</v>
      </c>
      <c r="DML1" t="s">
        <v>9609</v>
      </c>
      <c r="DMM1" t="s">
        <v>9610</v>
      </c>
      <c r="DMN1" t="s">
        <v>9611</v>
      </c>
      <c r="DMO1" t="s">
        <v>9612</v>
      </c>
      <c r="DMP1" t="s">
        <v>9613</v>
      </c>
      <c r="DMQ1" t="s">
        <v>9614</v>
      </c>
      <c r="DMR1" t="s">
        <v>9615</v>
      </c>
      <c r="DMS1" t="s">
        <v>9616</v>
      </c>
      <c r="DMT1" t="s">
        <v>9617</v>
      </c>
      <c r="DMU1" t="s">
        <v>9618</v>
      </c>
      <c r="DMV1" t="s">
        <v>9619</v>
      </c>
      <c r="DMW1" t="s">
        <v>9620</v>
      </c>
      <c r="DMX1" t="s">
        <v>9621</v>
      </c>
      <c r="DMY1" t="s">
        <v>9622</v>
      </c>
      <c r="DMZ1" t="s">
        <v>9623</v>
      </c>
      <c r="DNA1" t="s">
        <v>9624</v>
      </c>
      <c r="DNB1" t="s">
        <v>9625</v>
      </c>
      <c r="DNC1" t="s">
        <v>9626</v>
      </c>
      <c r="DND1" t="s">
        <v>9627</v>
      </c>
      <c r="DNE1" t="s">
        <v>9628</v>
      </c>
      <c r="DNF1" t="s">
        <v>9629</v>
      </c>
      <c r="DNG1" t="s">
        <v>9630</v>
      </c>
      <c r="DNH1" t="s">
        <v>9631</v>
      </c>
      <c r="DNI1" t="s">
        <v>9632</v>
      </c>
      <c r="DNJ1" t="s">
        <v>9633</v>
      </c>
      <c r="DNK1" t="s">
        <v>9634</v>
      </c>
      <c r="DNL1" t="s">
        <v>9635</v>
      </c>
      <c r="DNM1" t="s">
        <v>9636</v>
      </c>
      <c r="DNN1" t="s">
        <v>9637</v>
      </c>
      <c r="DNO1" t="s">
        <v>9638</v>
      </c>
      <c r="DNP1" t="s">
        <v>9639</v>
      </c>
      <c r="DNQ1" t="s">
        <v>9640</v>
      </c>
      <c r="DNR1" t="s">
        <v>9641</v>
      </c>
      <c r="DNS1" t="s">
        <v>9642</v>
      </c>
      <c r="DNT1" t="s">
        <v>9643</v>
      </c>
      <c r="DNU1" t="s">
        <v>9644</v>
      </c>
      <c r="DNV1" t="s">
        <v>9645</v>
      </c>
      <c r="DNW1" t="s">
        <v>9646</v>
      </c>
      <c r="DNX1" t="s">
        <v>9647</v>
      </c>
      <c r="DNY1" t="s">
        <v>9648</v>
      </c>
      <c r="DNZ1" t="s">
        <v>9649</v>
      </c>
      <c r="DOA1" t="s">
        <v>9650</v>
      </c>
      <c r="DOB1" t="s">
        <v>9651</v>
      </c>
      <c r="DOC1" t="s">
        <v>9652</v>
      </c>
      <c r="DOD1" t="s">
        <v>9653</v>
      </c>
      <c r="DOE1" t="s">
        <v>9654</v>
      </c>
      <c r="DOF1" t="s">
        <v>9655</v>
      </c>
      <c r="DOG1" t="s">
        <v>9656</v>
      </c>
      <c r="DOH1" t="s">
        <v>9657</v>
      </c>
      <c r="DOI1" t="s">
        <v>9658</v>
      </c>
      <c r="DOJ1" t="s">
        <v>9659</v>
      </c>
      <c r="DOK1" t="s">
        <v>9660</v>
      </c>
      <c r="DOL1" t="s">
        <v>9661</v>
      </c>
      <c r="DOM1" t="s">
        <v>9662</v>
      </c>
      <c r="DON1" t="s">
        <v>9663</v>
      </c>
      <c r="DOO1" t="s">
        <v>9664</v>
      </c>
      <c r="DOP1" t="s">
        <v>9665</v>
      </c>
      <c r="DOQ1" t="s">
        <v>9666</v>
      </c>
      <c r="DOR1" t="s">
        <v>9667</v>
      </c>
      <c r="DOS1" t="s">
        <v>9668</v>
      </c>
      <c r="DOT1" t="s">
        <v>9669</v>
      </c>
      <c r="DOU1" t="s">
        <v>9670</v>
      </c>
      <c r="DOV1" t="s">
        <v>9671</v>
      </c>
      <c r="DOW1" t="s">
        <v>9672</v>
      </c>
      <c r="DOX1" t="s">
        <v>9673</v>
      </c>
      <c r="DOY1" t="s">
        <v>9674</v>
      </c>
      <c r="DOZ1" t="s">
        <v>9675</v>
      </c>
      <c r="DPA1" t="s">
        <v>9676</v>
      </c>
      <c r="DPB1" t="s">
        <v>9677</v>
      </c>
    </row>
    <row r="2" spans="1:3122" x14ac:dyDescent="0.45">
      <c r="A2">
        <v>3737</v>
      </c>
      <c r="B2">
        <v>3067</v>
      </c>
      <c r="C2">
        <v>3040</v>
      </c>
      <c r="D2">
        <v>3825</v>
      </c>
      <c r="E2">
        <v>3714</v>
      </c>
      <c r="F2">
        <v>3833</v>
      </c>
      <c r="G2">
        <v>3984</v>
      </c>
      <c r="H2">
        <v>3352</v>
      </c>
      <c r="I2">
        <v>3465</v>
      </c>
      <c r="J2">
        <v>3962</v>
      </c>
      <c r="K2">
        <v>3237</v>
      </c>
      <c r="L2">
        <v>3231</v>
      </c>
      <c r="M2">
        <v>3851</v>
      </c>
      <c r="N2">
        <v>3042</v>
      </c>
      <c r="O2">
        <v>3424</v>
      </c>
      <c r="P2">
        <v>3021</v>
      </c>
      <c r="Q2">
        <v>3206</v>
      </c>
      <c r="R2">
        <v>3971</v>
      </c>
      <c r="S2">
        <v>3971</v>
      </c>
      <c r="T2">
        <v>3020</v>
      </c>
      <c r="U2">
        <v>3714</v>
      </c>
      <c r="V2">
        <v>3350</v>
      </c>
      <c r="W2">
        <v>3823</v>
      </c>
      <c r="X2">
        <v>3871</v>
      </c>
      <c r="Y2">
        <v>3871</v>
      </c>
      <c r="Z2">
        <v>3691</v>
      </c>
      <c r="AA2">
        <v>3277</v>
      </c>
      <c r="AB2">
        <v>3364</v>
      </c>
      <c r="AC2">
        <v>3305</v>
      </c>
      <c r="AD2">
        <v>3465</v>
      </c>
      <c r="AE2">
        <v>3727</v>
      </c>
      <c r="AF2">
        <v>3979</v>
      </c>
      <c r="AG2">
        <v>3078</v>
      </c>
      <c r="AH2">
        <v>3018</v>
      </c>
      <c r="AI2">
        <v>3025</v>
      </c>
      <c r="AJ2">
        <v>3025</v>
      </c>
      <c r="AK2">
        <v>3028</v>
      </c>
      <c r="AL2">
        <v>3025</v>
      </c>
      <c r="AM2">
        <v>3249</v>
      </c>
      <c r="AN2">
        <v>3371</v>
      </c>
      <c r="AO2">
        <v>3825</v>
      </c>
      <c r="AP2">
        <v>3468</v>
      </c>
      <c r="AQ2">
        <v>3213</v>
      </c>
      <c r="AR2">
        <v>3715</v>
      </c>
      <c r="AS2">
        <v>3995</v>
      </c>
      <c r="AT2">
        <v>3898</v>
      </c>
      <c r="AU2">
        <v>3230</v>
      </c>
      <c r="AV2">
        <v>3549</v>
      </c>
      <c r="AW2">
        <v>3414</v>
      </c>
      <c r="AX2">
        <v>3233</v>
      </c>
      <c r="AY2">
        <v>3579</v>
      </c>
      <c r="AZ2">
        <v>3579</v>
      </c>
      <c r="BA2">
        <v>3319</v>
      </c>
      <c r="BB2">
        <v>3409</v>
      </c>
      <c r="BC2">
        <v>3377</v>
      </c>
      <c r="BD2">
        <v>3951</v>
      </c>
      <c r="BE2">
        <v>3858</v>
      </c>
      <c r="BF2">
        <v>3631</v>
      </c>
      <c r="BG2">
        <v>3631</v>
      </c>
      <c r="BH2">
        <v>3475</v>
      </c>
      <c r="BI2">
        <v>3475</v>
      </c>
      <c r="BJ2">
        <v>3723</v>
      </c>
      <c r="BK2">
        <v>3995</v>
      </c>
      <c r="BL2">
        <v>3022</v>
      </c>
      <c r="BM2">
        <v>3629</v>
      </c>
      <c r="BN2">
        <v>3480</v>
      </c>
      <c r="BO2">
        <v>3523</v>
      </c>
      <c r="BP2">
        <v>3143</v>
      </c>
      <c r="BQ2">
        <v>3143</v>
      </c>
      <c r="BR2">
        <v>3377</v>
      </c>
      <c r="BS2">
        <v>3217</v>
      </c>
      <c r="BT2">
        <v>3551</v>
      </c>
      <c r="BU2">
        <v>3551</v>
      </c>
      <c r="BV2">
        <v>3099</v>
      </c>
      <c r="BW2">
        <v>3936</v>
      </c>
      <c r="BX2">
        <v>3364</v>
      </c>
      <c r="BY2">
        <v>3032</v>
      </c>
      <c r="BZ2">
        <v>3442</v>
      </c>
      <c r="CA2">
        <v>3147</v>
      </c>
      <c r="CB2">
        <v>3147</v>
      </c>
      <c r="CC2">
        <v>3195</v>
      </c>
      <c r="CD2">
        <v>3195</v>
      </c>
      <c r="CE2">
        <v>3818</v>
      </c>
      <c r="CF2">
        <v>3049</v>
      </c>
      <c r="CG2">
        <v>3393</v>
      </c>
      <c r="CH2">
        <v>3123</v>
      </c>
      <c r="CI2">
        <v>3122</v>
      </c>
      <c r="CJ2">
        <v>3570</v>
      </c>
      <c r="CK2">
        <v>3212</v>
      </c>
      <c r="CL2">
        <v>3664</v>
      </c>
      <c r="CM2">
        <v>3467</v>
      </c>
      <c r="CN2">
        <v>3477</v>
      </c>
      <c r="CO2">
        <v>3034</v>
      </c>
      <c r="CP2">
        <v>3559</v>
      </c>
      <c r="CQ2">
        <v>3782</v>
      </c>
      <c r="CR2">
        <v>3551</v>
      </c>
      <c r="CS2">
        <v>3551</v>
      </c>
      <c r="CT2">
        <v>3268</v>
      </c>
      <c r="CU2">
        <v>3340</v>
      </c>
      <c r="CV2">
        <v>3670</v>
      </c>
      <c r="CW2">
        <v>3777</v>
      </c>
      <c r="CX2">
        <v>3579</v>
      </c>
      <c r="CY2">
        <v>3551</v>
      </c>
      <c r="CZ2">
        <v>3551</v>
      </c>
      <c r="DA2">
        <v>3312</v>
      </c>
      <c r="DB2">
        <v>3608</v>
      </c>
      <c r="DC2">
        <v>3875</v>
      </c>
      <c r="DD2">
        <v>3350</v>
      </c>
      <c r="DE2">
        <v>3183</v>
      </c>
      <c r="DF2">
        <v>3364</v>
      </c>
      <c r="DG2">
        <v>3249</v>
      </c>
      <c r="DH2">
        <v>3342</v>
      </c>
      <c r="DI2">
        <v>3279</v>
      </c>
      <c r="DJ2">
        <v>3483</v>
      </c>
      <c r="DK2">
        <v>3350</v>
      </c>
      <c r="DL2">
        <v>3350</v>
      </c>
      <c r="DM2">
        <v>3350</v>
      </c>
      <c r="DN2">
        <v>3350</v>
      </c>
      <c r="DO2">
        <v>3350</v>
      </c>
      <c r="DP2">
        <v>3561</v>
      </c>
      <c r="DQ2">
        <v>3340</v>
      </c>
      <c r="DR2">
        <v>3340</v>
      </c>
      <c r="DS2">
        <v>3375</v>
      </c>
      <c r="DT2">
        <v>3666</v>
      </c>
      <c r="DU2">
        <v>3407</v>
      </c>
      <c r="DV2">
        <v>3926</v>
      </c>
      <c r="DW2">
        <v>3926</v>
      </c>
      <c r="DX2">
        <v>3971</v>
      </c>
      <c r="DY2">
        <v>3103</v>
      </c>
      <c r="DZ2">
        <v>3103</v>
      </c>
      <c r="EA2">
        <v>3104</v>
      </c>
      <c r="EB2">
        <v>3561</v>
      </c>
      <c r="EC2">
        <v>3564</v>
      </c>
      <c r="ED2">
        <v>3241</v>
      </c>
      <c r="EE2">
        <v>3333</v>
      </c>
      <c r="EF2">
        <v>3691</v>
      </c>
      <c r="EG2">
        <v>3393</v>
      </c>
      <c r="EH2">
        <v>3175</v>
      </c>
      <c r="EI2">
        <v>3875</v>
      </c>
      <c r="EJ2">
        <v>3549</v>
      </c>
      <c r="EK2">
        <v>3331</v>
      </c>
      <c r="EL2">
        <v>3485</v>
      </c>
      <c r="EM2">
        <v>3388</v>
      </c>
      <c r="EN2">
        <v>3084</v>
      </c>
      <c r="EO2">
        <v>3691</v>
      </c>
      <c r="EP2">
        <v>3220</v>
      </c>
      <c r="EQ2">
        <v>3444</v>
      </c>
      <c r="ER2">
        <v>3463</v>
      </c>
      <c r="ES2">
        <v>3463</v>
      </c>
      <c r="ET2">
        <v>3723</v>
      </c>
      <c r="EU2">
        <v>3451</v>
      </c>
      <c r="EV2">
        <v>3384</v>
      </c>
      <c r="EW2">
        <v>3364</v>
      </c>
      <c r="EX2">
        <v>3639</v>
      </c>
      <c r="EY2">
        <v>3557</v>
      </c>
      <c r="EZ2">
        <v>3688</v>
      </c>
      <c r="FA2">
        <v>3691</v>
      </c>
      <c r="FB2">
        <v>3871</v>
      </c>
      <c r="FC2">
        <v>3249</v>
      </c>
      <c r="FD2">
        <v>3249</v>
      </c>
      <c r="FE2">
        <v>3644</v>
      </c>
      <c r="FF2">
        <v>3221</v>
      </c>
      <c r="FG2">
        <v>3525</v>
      </c>
      <c r="FH2">
        <v>3249</v>
      </c>
      <c r="FI2">
        <v>3537</v>
      </c>
      <c r="FJ2">
        <v>3537</v>
      </c>
      <c r="FK2">
        <v>3458</v>
      </c>
      <c r="FL2">
        <v>3329</v>
      </c>
      <c r="FM2">
        <v>3329</v>
      </c>
      <c r="FN2">
        <v>3737</v>
      </c>
      <c r="FO2">
        <v>3722</v>
      </c>
      <c r="FP2">
        <v>3243</v>
      </c>
      <c r="FQ2">
        <v>3227</v>
      </c>
      <c r="FR2">
        <v>3460</v>
      </c>
      <c r="FS2">
        <v>3991</v>
      </c>
      <c r="FT2">
        <v>3213</v>
      </c>
      <c r="FU2">
        <v>3730</v>
      </c>
      <c r="FV2">
        <v>3058</v>
      </c>
      <c r="FW2">
        <v>3833</v>
      </c>
      <c r="FX2">
        <v>3833</v>
      </c>
      <c r="FY2">
        <v>3911</v>
      </c>
      <c r="FZ2">
        <v>3375</v>
      </c>
      <c r="GA2">
        <v>3981</v>
      </c>
      <c r="GB2">
        <v>3444</v>
      </c>
      <c r="GC2">
        <v>3444</v>
      </c>
      <c r="GD2">
        <v>3153</v>
      </c>
      <c r="GE2">
        <v>3153</v>
      </c>
      <c r="GF2">
        <v>3807</v>
      </c>
      <c r="GG2">
        <v>3808</v>
      </c>
      <c r="GH2">
        <v>3475</v>
      </c>
      <c r="GI2">
        <v>3641</v>
      </c>
      <c r="GJ2">
        <v>3517</v>
      </c>
      <c r="GK2">
        <v>3579</v>
      </c>
      <c r="GL2">
        <v>3373</v>
      </c>
      <c r="GM2">
        <v>3193</v>
      </c>
      <c r="GN2">
        <v>3477</v>
      </c>
      <c r="GO2">
        <v>3135</v>
      </c>
      <c r="GP2">
        <v>3251</v>
      </c>
      <c r="GQ2">
        <v>3237</v>
      </c>
      <c r="GR2">
        <v>3747</v>
      </c>
      <c r="GS2">
        <v>3139</v>
      </c>
      <c r="GT2">
        <v>3160</v>
      </c>
      <c r="GU2">
        <v>3160</v>
      </c>
      <c r="GV2">
        <v>3160</v>
      </c>
      <c r="GW2">
        <v>3215</v>
      </c>
      <c r="GX2">
        <v>3215</v>
      </c>
      <c r="GY2">
        <v>3223</v>
      </c>
      <c r="GZ2">
        <v>3889</v>
      </c>
      <c r="HA2">
        <v>3228</v>
      </c>
      <c r="HB2">
        <v>3691</v>
      </c>
      <c r="HC2">
        <v>3381</v>
      </c>
      <c r="HD2">
        <v>3081</v>
      </c>
      <c r="HE2">
        <v>3228</v>
      </c>
      <c r="HF2">
        <v>3216</v>
      </c>
      <c r="HG2">
        <v>3889</v>
      </c>
      <c r="HH2">
        <v>3946</v>
      </c>
      <c r="HI2">
        <v>3672</v>
      </c>
      <c r="HJ2">
        <v>3900</v>
      </c>
      <c r="HK2">
        <v>3319</v>
      </c>
      <c r="HL2">
        <v>3097</v>
      </c>
      <c r="HM2">
        <v>3550</v>
      </c>
      <c r="HN2">
        <v>3551</v>
      </c>
      <c r="HO2">
        <v>3550</v>
      </c>
      <c r="HP2">
        <v>3888</v>
      </c>
      <c r="HQ2">
        <v>3875</v>
      </c>
      <c r="HR2">
        <v>3579</v>
      </c>
      <c r="HS2">
        <v>3435</v>
      </c>
      <c r="HT2">
        <v>3125</v>
      </c>
      <c r="HU2">
        <v>3960</v>
      </c>
      <c r="HV2">
        <v>3204</v>
      </c>
      <c r="HW2">
        <v>3165</v>
      </c>
      <c r="HX2">
        <v>3235</v>
      </c>
      <c r="HY2">
        <v>3342</v>
      </c>
      <c r="HZ2">
        <v>3518</v>
      </c>
      <c r="IA2">
        <v>3351</v>
      </c>
      <c r="IB2">
        <v>3691</v>
      </c>
      <c r="IC2">
        <v>3531</v>
      </c>
      <c r="ID2">
        <v>3323</v>
      </c>
      <c r="IE2">
        <v>3953</v>
      </c>
      <c r="IF2">
        <v>3806</v>
      </c>
      <c r="IG2">
        <v>3304</v>
      </c>
      <c r="IH2">
        <v>3472</v>
      </c>
      <c r="II2">
        <v>3888</v>
      </c>
      <c r="IJ2">
        <v>3888</v>
      </c>
      <c r="IK2">
        <v>3691</v>
      </c>
      <c r="IL2">
        <v>3472</v>
      </c>
      <c r="IM2">
        <v>3395</v>
      </c>
      <c r="IN2">
        <v>3590</v>
      </c>
      <c r="IO2">
        <v>3753</v>
      </c>
      <c r="IP2">
        <v>3490</v>
      </c>
      <c r="IQ2">
        <v>3231</v>
      </c>
      <c r="IR2">
        <v>3799</v>
      </c>
      <c r="IS2">
        <v>3707</v>
      </c>
      <c r="IT2">
        <v>3858</v>
      </c>
      <c r="IU2">
        <v>3533</v>
      </c>
      <c r="IV2">
        <v>3896</v>
      </c>
      <c r="IW2">
        <v>3966</v>
      </c>
      <c r="IX2">
        <v>3898</v>
      </c>
      <c r="IY2">
        <v>3483</v>
      </c>
      <c r="IZ2">
        <v>3483</v>
      </c>
      <c r="JA2">
        <v>3505</v>
      </c>
      <c r="JB2">
        <v>3242</v>
      </c>
      <c r="JC2">
        <v>3918</v>
      </c>
      <c r="JD2">
        <v>3350</v>
      </c>
      <c r="JE2">
        <v>3381</v>
      </c>
      <c r="JF2">
        <v>3193</v>
      </c>
      <c r="JG2">
        <v>3193</v>
      </c>
      <c r="JH2">
        <v>3130</v>
      </c>
      <c r="JI2">
        <v>3130</v>
      </c>
      <c r="JJ2">
        <v>3130</v>
      </c>
      <c r="JK2">
        <v>3401</v>
      </c>
      <c r="JL2">
        <v>3844</v>
      </c>
      <c r="JM2">
        <v>3458</v>
      </c>
      <c r="JN2">
        <v>3992</v>
      </c>
      <c r="JO2">
        <v>3942</v>
      </c>
      <c r="JP2">
        <v>3342</v>
      </c>
      <c r="JQ2">
        <v>3364</v>
      </c>
      <c r="JR2">
        <v>3980</v>
      </c>
      <c r="JS2">
        <v>3352</v>
      </c>
      <c r="JT2">
        <v>3351</v>
      </c>
      <c r="JU2">
        <v>3678</v>
      </c>
      <c r="JV2">
        <v>3301</v>
      </c>
      <c r="JW2">
        <v>3699</v>
      </c>
      <c r="JX2">
        <v>3669</v>
      </c>
      <c r="JY2">
        <v>3669</v>
      </c>
      <c r="JZ2">
        <v>3531</v>
      </c>
      <c r="KA2">
        <v>3490</v>
      </c>
      <c r="KB2">
        <v>3860</v>
      </c>
      <c r="KC2">
        <v>3387</v>
      </c>
      <c r="KD2">
        <v>3432</v>
      </c>
      <c r="KE2">
        <v>3546</v>
      </c>
      <c r="KF2">
        <v>3305</v>
      </c>
      <c r="KG2">
        <v>3352</v>
      </c>
      <c r="KH2">
        <v>3820</v>
      </c>
      <c r="KI2">
        <v>3888</v>
      </c>
      <c r="KJ2">
        <v>3196</v>
      </c>
      <c r="KK2">
        <v>3691</v>
      </c>
      <c r="KL2">
        <v>3939</v>
      </c>
      <c r="KM2">
        <v>3561</v>
      </c>
      <c r="KN2">
        <v>3720</v>
      </c>
      <c r="KO2">
        <v>3352</v>
      </c>
      <c r="KP2">
        <v>3260</v>
      </c>
      <c r="KQ2">
        <v>3825</v>
      </c>
      <c r="KR2">
        <v>3960</v>
      </c>
      <c r="KS2">
        <v>3870</v>
      </c>
      <c r="KT2">
        <v>3870</v>
      </c>
      <c r="KU2">
        <v>3880</v>
      </c>
      <c r="KV2">
        <v>3392</v>
      </c>
      <c r="KW2">
        <v>3728</v>
      </c>
      <c r="KX2">
        <v>3235</v>
      </c>
      <c r="KY2">
        <v>3163</v>
      </c>
      <c r="KZ2">
        <v>3265</v>
      </c>
      <c r="LA2">
        <v>3678</v>
      </c>
      <c r="LB2">
        <v>3678</v>
      </c>
      <c r="LC2">
        <v>3685</v>
      </c>
      <c r="LD2">
        <v>3723</v>
      </c>
      <c r="LE2">
        <v>3953</v>
      </c>
      <c r="LF2">
        <v>3537</v>
      </c>
      <c r="LG2">
        <v>3730</v>
      </c>
      <c r="LH2">
        <v>3682</v>
      </c>
      <c r="LI2">
        <v>3379</v>
      </c>
      <c r="LJ2">
        <v>3155</v>
      </c>
      <c r="LK2">
        <v>3518</v>
      </c>
      <c r="LL2">
        <v>3260</v>
      </c>
      <c r="LM2">
        <v>3977</v>
      </c>
      <c r="LN2">
        <v>3599</v>
      </c>
      <c r="LO2">
        <v>3465</v>
      </c>
      <c r="LP2">
        <v>3675</v>
      </c>
      <c r="LQ2">
        <v>3675</v>
      </c>
      <c r="LR2">
        <v>3735</v>
      </c>
      <c r="LS2">
        <v>3678</v>
      </c>
      <c r="LT2">
        <v>3128</v>
      </c>
      <c r="LU2">
        <v>3128</v>
      </c>
      <c r="LV2">
        <v>3129</v>
      </c>
      <c r="LW2">
        <v>3128</v>
      </c>
      <c r="LX2">
        <v>3725</v>
      </c>
      <c r="LY2">
        <v>3463</v>
      </c>
      <c r="LZ2">
        <v>3361</v>
      </c>
      <c r="MA2">
        <v>3195</v>
      </c>
      <c r="MB2">
        <v>3630</v>
      </c>
      <c r="MC2">
        <v>3150</v>
      </c>
      <c r="MD2">
        <v>3821</v>
      </c>
      <c r="ME2">
        <v>3302</v>
      </c>
      <c r="MF2">
        <v>3821</v>
      </c>
      <c r="MG2">
        <v>3019</v>
      </c>
      <c r="MH2">
        <v>3303</v>
      </c>
      <c r="MI2">
        <v>3219</v>
      </c>
      <c r="MJ2">
        <v>3227</v>
      </c>
      <c r="MK2">
        <v>3517</v>
      </c>
      <c r="ML2">
        <v>3131</v>
      </c>
      <c r="MM2">
        <v>3352</v>
      </c>
      <c r="MN2">
        <v>3860</v>
      </c>
      <c r="MO2">
        <v>3088</v>
      </c>
      <c r="MP2">
        <v>3723</v>
      </c>
      <c r="MQ2">
        <v>3516</v>
      </c>
      <c r="MR2">
        <v>3516</v>
      </c>
      <c r="MS2">
        <v>3516</v>
      </c>
      <c r="MT2">
        <v>3741</v>
      </c>
      <c r="MU2">
        <v>3186</v>
      </c>
      <c r="MV2">
        <v>3187</v>
      </c>
      <c r="MW2">
        <v>3186</v>
      </c>
      <c r="MX2">
        <v>3184</v>
      </c>
      <c r="MY2">
        <v>3391</v>
      </c>
      <c r="MZ2">
        <v>3312</v>
      </c>
      <c r="NA2">
        <v>3685</v>
      </c>
      <c r="NB2">
        <v>3401</v>
      </c>
      <c r="NC2">
        <v>3319</v>
      </c>
      <c r="ND2">
        <v>3707</v>
      </c>
      <c r="NE2">
        <v>3315</v>
      </c>
      <c r="NF2">
        <v>3658</v>
      </c>
      <c r="NG2">
        <v>3875</v>
      </c>
      <c r="NH2">
        <v>3047</v>
      </c>
      <c r="NI2">
        <v>3301</v>
      </c>
      <c r="NJ2">
        <v>3888</v>
      </c>
      <c r="NK2">
        <v>3673</v>
      </c>
      <c r="NL2">
        <v>3472</v>
      </c>
      <c r="NM2">
        <v>3338</v>
      </c>
      <c r="NN2">
        <v>3012</v>
      </c>
      <c r="NO2">
        <v>3896</v>
      </c>
      <c r="NP2">
        <v>3364</v>
      </c>
      <c r="NQ2">
        <v>3418</v>
      </c>
      <c r="NR2">
        <v>3350</v>
      </c>
      <c r="NS2">
        <v>3685</v>
      </c>
      <c r="NT2">
        <v>3749</v>
      </c>
      <c r="NU2">
        <v>3268</v>
      </c>
      <c r="NV2">
        <v>3885</v>
      </c>
      <c r="NW2">
        <v>3056</v>
      </c>
      <c r="NX2">
        <v>3057</v>
      </c>
      <c r="NY2">
        <v>3056</v>
      </c>
      <c r="NZ2">
        <v>3056</v>
      </c>
      <c r="OA2">
        <v>3055</v>
      </c>
      <c r="OB2">
        <v>3055</v>
      </c>
      <c r="OC2">
        <v>3885</v>
      </c>
      <c r="OD2">
        <v>3375</v>
      </c>
      <c r="OE2">
        <v>3885</v>
      </c>
      <c r="OF2">
        <v>3885</v>
      </c>
      <c r="OG2">
        <v>3740</v>
      </c>
      <c r="OH2">
        <v>3240</v>
      </c>
      <c r="OI2">
        <v>3301</v>
      </c>
      <c r="OJ2">
        <v>3525</v>
      </c>
      <c r="OK2">
        <v>3862</v>
      </c>
      <c r="OL2">
        <v>3870</v>
      </c>
      <c r="OM2">
        <v>3579</v>
      </c>
      <c r="ON2">
        <v>3958</v>
      </c>
      <c r="OO2">
        <v>3737</v>
      </c>
      <c r="OP2">
        <v>3314</v>
      </c>
      <c r="OQ2">
        <v>3890</v>
      </c>
      <c r="OR2">
        <v>3586</v>
      </c>
      <c r="OS2">
        <v>3377</v>
      </c>
      <c r="OT2">
        <v>3428</v>
      </c>
      <c r="OU2">
        <v>3266</v>
      </c>
      <c r="OV2">
        <v>3352</v>
      </c>
      <c r="OW2">
        <v>3461</v>
      </c>
      <c r="OX2">
        <v>3461</v>
      </c>
      <c r="OY2">
        <v>3105</v>
      </c>
      <c r="OZ2">
        <v>3437</v>
      </c>
      <c r="PA2">
        <v>3700</v>
      </c>
      <c r="PB2">
        <v>3875</v>
      </c>
      <c r="PC2">
        <v>3821</v>
      </c>
      <c r="PD2">
        <v>3821</v>
      </c>
      <c r="PE2">
        <v>3902</v>
      </c>
      <c r="PF2">
        <v>3634</v>
      </c>
      <c r="PG2">
        <v>3851</v>
      </c>
      <c r="PH2">
        <v>3730</v>
      </c>
      <c r="PI2">
        <v>3730</v>
      </c>
      <c r="PJ2">
        <v>3898</v>
      </c>
      <c r="PK2">
        <v>3342</v>
      </c>
      <c r="PL2">
        <v>3083</v>
      </c>
      <c r="PM2">
        <v>3465</v>
      </c>
      <c r="PN2">
        <v>3260</v>
      </c>
      <c r="PO2">
        <v>3334</v>
      </c>
      <c r="PP2">
        <v>3401</v>
      </c>
      <c r="PQ2">
        <v>3352</v>
      </c>
      <c r="PR2">
        <v>3726</v>
      </c>
      <c r="PS2">
        <v>3726</v>
      </c>
      <c r="PT2">
        <v>3691</v>
      </c>
      <c r="PU2">
        <v>3527</v>
      </c>
      <c r="PV2">
        <v>3357</v>
      </c>
      <c r="PW2">
        <v>3352</v>
      </c>
      <c r="PX2">
        <v>3815</v>
      </c>
      <c r="PY2">
        <v>3815</v>
      </c>
      <c r="PZ2">
        <v>3858</v>
      </c>
      <c r="QA2">
        <v>3568</v>
      </c>
      <c r="QB2">
        <v>3475</v>
      </c>
      <c r="QC2">
        <v>3371</v>
      </c>
      <c r="QD2">
        <v>3558</v>
      </c>
      <c r="QE2">
        <v>3121</v>
      </c>
      <c r="QF2">
        <v>3121</v>
      </c>
      <c r="QG2">
        <v>3023</v>
      </c>
      <c r="QH2">
        <v>3023</v>
      </c>
      <c r="QI2">
        <v>3559</v>
      </c>
      <c r="QJ2">
        <v>3730</v>
      </c>
      <c r="QK2">
        <v>3730</v>
      </c>
      <c r="QL2">
        <v>3709</v>
      </c>
      <c r="QM2">
        <v>3352</v>
      </c>
      <c r="QN2">
        <v>3125</v>
      </c>
      <c r="QO2">
        <v>3151</v>
      </c>
      <c r="QP2">
        <v>3151</v>
      </c>
      <c r="QQ2">
        <v>3281</v>
      </c>
      <c r="QR2">
        <v>3860</v>
      </c>
      <c r="QS2">
        <v>3885</v>
      </c>
      <c r="QT2">
        <v>3711</v>
      </c>
      <c r="QU2">
        <v>3301</v>
      </c>
      <c r="QV2">
        <v>3300</v>
      </c>
      <c r="QW2">
        <v>3678</v>
      </c>
      <c r="QX2">
        <v>3762</v>
      </c>
      <c r="QY2">
        <v>3617</v>
      </c>
      <c r="QZ2">
        <v>3505</v>
      </c>
      <c r="RA2">
        <v>3364</v>
      </c>
      <c r="RB2">
        <v>3889</v>
      </c>
      <c r="RC2">
        <v>3442</v>
      </c>
      <c r="RD2">
        <v>3023</v>
      </c>
      <c r="RE2">
        <v>3037</v>
      </c>
      <c r="RF2">
        <v>3984</v>
      </c>
      <c r="RG2">
        <v>3556</v>
      </c>
      <c r="RH2">
        <v>3573</v>
      </c>
      <c r="RI2">
        <v>3387</v>
      </c>
      <c r="RJ2">
        <v>3844</v>
      </c>
      <c r="RK2">
        <v>3844</v>
      </c>
      <c r="RL2">
        <v>3844</v>
      </c>
      <c r="RM2">
        <v>3971</v>
      </c>
      <c r="RN2">
        <v>3875</v>
      </c>
      <c r="RO2">
        <v>3779</v>
      </c>
      <c r="RP2">
        <v>3124</v>
      </c>
      <c r="RQ2">
        <v>3126</v>
      </c>
      <c r="RR2">
        <v>3124</v>
      </c>
      <c r="RS2">
        <v>3124</v>
      </c>
      <c r="RT2">
        <v>3124</v>
      </c>
      <c r="RU2">
        <v>3352</v>
      </c>
      <c r="RV2">
        <v>3061</v>
      </c>
      <c r="RW2">
        <v>3387</v>
      </c>
      <c r="RX2">
        <v>3451</v>
      </c>
      <c r="RY2">
        <v>3556</v>
      </c>
      <c r="RZ2">
        <v>3364</v>
      </c>
      <c r="SA2">
        <v>3260</v>
      </c>
      <c r="SB2">
        <v>3350</v>
      </c>
      <c r="SC2">
        <v>3537</v>
      </c>
      <c r="SD2">
        <v>3630</v>
      </c>
      <c r="SE2">
        <v>3890</v>
      </c>
      <c r="SF2">
        <v>3540</v>
      </c>
      <c r="SG2">
        <v>3977</v>
      </c>
      <c r="SH2">
        <v>3393</v>
      </c>
      <c r="SI2">
        <v>3126</v>
      </c>
      <c r="SJ2">
        <v>3305</v>
      </c>
      <c r="SK2">
        <v>3351</v>
      </c>
      <c r="SL2">
        <v>3888</v>
      </c>
      <c r="SM2">
        <v>3233</v>
      </c>
      <c r="SN2">
        <v>3995</v>
      </c>
      <c r="SO2">
        <v>3939</v>
      </c>
      <c r="SP2">
        <v>3925</v>
      </c>
      <c r="SQ2">
        <v>3579</v>
      </c>
      <c r="SR2">
        <v>3623</v>
      </c>
      <c r="SS2">
        <v>3371</v>
      </c>
      <c r="ST2">
        <v>3274</v>
      </c>
      <c r="SU2">
        <v>3477</v>
      </c>
      <c r="SV2">
        <v>3477</v>
      </c>
      <c r="SW2">
        <v>3312</v>
      </c>
      <c r="SX2">
        <v>3678</v>
      </c>
      <c r="SY2">
        <v>3352</v>
      </c>
      <c r="SZ2">
        <v>3352</v>
      </c>
      <c r="TA2">
        <v>3978</v>
      </c>
      <c r="TB2">
        <v>3496</v>
      </c>
      <c r="TC2">
        <v>3334</v>
      </c>
      <c r="TD2">
        <v>3512</v>
      </c>
      <c r="TE2">
        <v>3825</v>
      </c>
      <c r="TF2">
        <v>3464</v>
      </c>
      <c r="TG2">
        <v>3239</v>
      </c>
      <c r="TH2">
        <v>3442</v>
      </c>
      <c r="TI2">
        <v>3053</v>
      </c>
      <c r="TJ2">
        <v>3054</v>
      </c>
      <c r="TK2">
        <v>3053</v>
      </c>
      <c r="TL2">
        <v>3685</v>
      </c>
      <c r="TM2">
        <v>3163</v>
      </c>
      <c r="TN2">
        <v>3351</v>
      </c>
      <c r="TO2">
        <v>3023</v>
      </c>
      <c r="TP2">
        <v>3260</v>
      </c>
      <c r="TQ2">
        <v>3844</v>
      </c>
      <c r="TR2">
        <v>3844</v>
      </c>
      <c r="TS2">
        <v>3844</v>
      </c>
      <c r="TT2">
        <v>3361</v>
      </c>
      <c r="TU2">
        <v>3480</v>
      </c>
      <c r="TV2">
        <v>3197</v>
      </c>
      <c r="TW2">
        <v>3201</v>
      </c>
      <c r="TX2">
        <v>3494</v>
      </c>
      <c r="TY2">
        <v>3305</v>
      </c>
      <c r="TZ2">
        <v>3898</v>
      </c>
      <c r="UA2">
        <v>3777</v>
      </c>
      <c r="UB2">
        <v>3311</v>
      </c>
      <c r="UC2">
        <v>3691</v>
      </c>
      <c r="UD2">
        <v>3585</v>
      </c>
      <c r="UE2">
        <v>3450</v>
      </c>
      <c r="UF2">
        <v>3981</v>
      </c>
      <c r="UG2">
        <v>3377</v>
      </c>
      <c r="UH2">
        <v>3714</v>
      </c>
      <c r="UI2">
        <v>3537</v>
      </c>
      <c r="UJ2">
        <v>3162</v>
      </c>
      <c r="UK2">
        <v>3145</v>
      </c>
      <c r="UL2">
        <v>3161</v>
      </c>
      <c r="UM2">
        <v>3161</v>
      </c>
      <c r="UN2">
        <v>3162</v>
      </c>
      <c r="UO2">
        <v>3660</v>
      </c>
      <c r="UP2">
        <v>3314</v>
      </c>
      <c r="UQ2">
        <v>3145</v>
      </c>
      <c r="UR2">
        <v>3221</v>
      </c>
      <c r="US2">
        <v>3148</v>
      </c>
      <c r="UT2">
        <v>3148</v>
      </c>
      <c r="UU2">
        <v>3890</v>
      </c>
      <c r="UV2">
        <v>3352</v>
      </c>
      <c r="UW2">
        <v>3239</v>
      </c>
      <c r="UX2">
        <v>3318</v>
      </c>
      <c r="UY2">
        <v>3217</v>
      </c>
      <c r="UZ2">
        <v>3695</v>
      </c>
      <c r="VA2">
        <v>3525</v>
      </c>
      <c r="VB2">
        <v>3379</v>
      </c>
      <c r="VC2">
        <v>3196</v>
      </c>
      <c r="VD2">
        <v>3196</v>
      </c>
      <c r="VE2">
        <v>3192</v>
      </c>
      <c r="VF2">
        <v>3192</v>
      </c>
      <c r="VG2">
        <v>3351</v>
      </c>
      <c r="VH2">
        <v>3434</v>
      </c>
      <c r="VI2">
        <v>3401</v>
      </c>
      <c r="VJ2">
        <v>3678</v>
      </c>
      <c r="VK2">
        <v>3678</v>
      </c>
      <c r="VL2">
        <v>3725</v>
      </c>
      <c r="VM2">
        <v>3312</v>
      </c>
      <c r="VN2">
        <v>3451</v>
      </c>
      <c r="VO2">
        <v>3451</v>
      </c>
      <c r="VP2">
        <v>3824</v>
      </c>
      <c r="VQ2">
        <v>3585</v>
      </c>
      <c r="VR2">
        <v>3683</v>
      </c>
      <c r="VS2">
        <v>3683</v>
      </c>
      <c r="VT2">
        <v>3544</v>
      </c>
      <c r="VU2">
        <v>3546</v>
      </c>
      <c r="VV2">
        <v>3756</v>
      </c>
      <c r="VW2">
        <v>3116</v>
      </c>
      <c r="VX2">
        <v>3525</v>
      </c>
      <c r="VY2">
        <v>3260</v>
      </c>
      <c r="VZ2">
        <v>3775</v>
      </c>
      <c r="WA2">
        <v>3777</v>
      </c>
      <c r="WB2">
        <v>3842</v>
      </c>
      <c r="WC2">
        <v>3925</v>
      </c>
      <c r="WD2">
        <v>3373</v>
      </c>
      <c r="WE2">
        <v>3352</v>
      </c>
      <c r="WF2">
        <v>3352</v>
      </c>
      <c r="WG2">
        <v>3169</v>
      </c>
      <c r="WH2">
        <v>3430</v>
      </c>
      <c r="WI2">
        <v>3352</v>
      </c>
      <c r="WJ2">
        <v>3168</v>
      </c>
      <c r="WK2">
        <v>3169</v>
      </c>
      <c r="WL2">
        <v>3409</v>
      </c>
      <c r="WM2">
        <v>3782</v>
      </c>
      <c r="WN2">
        <v>3875</v>
      </c>
      <c r="WO2">
        <v>3068</v>
      </c>
      <c r="WP2">
        <v>3222</v>
      </c>
      <c r="WQ2">
        <v>3658</v>
      </c>
      <c r="WR2">
        <v>3315</v>
      </c>
      <c r="WS2">
        <v>3822</v>
      </c>
      <c r="WT2">
        <v>3889</v>
      </c>
      <c r="WU2">
        <v>3370</v>
      </c>
      <c r="WV2">
        <v>3978</v>
      </c>
      <c r="WW2">
        <v>3978</v>
      </c>
      <c r="WX2">
        <v>3851</v>
      </c>
      <c r="WY2">
        <v>3461</v>
      </c>
      <c r="WZ2">
        <v>3825</v>
      </c>
      <c r="XA2">
        <v>3851</v>
      </c>
      <c r="XB2">
        <v>3442</v>
      </c>
      <c r="XC2">
        <v>3862</v>
      </c>
      <c r="XD2">
        <v>3900</v>
      </c>
      <c r="XE2">
        <v>3266</v>
      </c>
      <c r="XF2">
        <v>3644</v>
      </c>
      <c r="XG2">
        <v>3644</v>
      </c>
      <c r="XH2">
        <v>3266</v>
      </c>
      <c r="XI2">
        <v>3898</v>
      </c>
      <c r="XJ2">
        <v>3058</v>
      </c>
      <c r="XK2">
        <v>3058</v>
      </c>
      <c r="XL2">
        <v>3546</v>
      </c>
      <c r="XM2">
        <v>3475</v>
      </c>
      <c r="XN2">
        <v>3781</v>
      </c>
      <c r="XO2">
        <v>3030</v>
      </c>
      <c r="XP2">
        <v>3285</v>
      </c>
      <c r="XQ2">
        <v>3364</v>
      </c>
      <c r="XR2">
        <v>3568</v>
      </c>
      <c r="XS2">
        <v>3340</v>
      </c>
      <c r="XT2">
        <v>3542</v>
      </c>
      <c r="XU2">
        <v>3250</v>
      </c>
      <c r="XV2">
        <v>3707</v>
      </c>
      <c r="XW2">
        <v>3250</v>
      </c>
      <c r="XX2">
        <v>3250</v>
      </c>
      <c r="XY2">
        <v>3559</v>
      </c>
      <c r="XZ2">
        <v>3342</v>
      </c>
      <c r="YA2">
        <v>3770</v>
      </c>
      <c r="YB2">
        <v>3315</v>
      </c>
      <c r="YC2">
        <v>3494</v>
      </c>
      <c r="YD2">
        <v>3066</v>
      </c>
      <c r="YE2">
        <v>3066</v>
      </c>
      <c r="YF2">
        <v>3630</v>
      </c>
      <c r="YG2">
        <v>3889</v>
      </c>
      <c r="YH2">
        <v>3384</v>
      </c>
      <c r="YI2">
        <v>3303</v>
      </c>
      <c r="YJ2">
        <v>3286</v>
      </c>
      <c r="YK2">
        <v>3633</v>
      </c>
      <c r="YL2">
        <v>3227</v>
      </c>
      <c r="YM2">
        <v>3318</v>
      </c>
      <c r="YN2">
        <v>3315</v>
      </c>
      <c r="YO2">
        <v>3048</v>
      </c>
      <c r="YP2">
        <v>3616</v>
      </c>
      <c r="YQ2">
        <v>3629</v>
      </c>
      <c r="YR2">
        <v>3461</v>
      </c>
      <c r="YS2">
        <v>3860</v>
      </c>
      <c r="YT2">
        <v>3477</v>
      </c>
      <c r="YU2">
        <v>3477</v>
      </c>
      <c r="YV2">
        <v>3825</v>
      </c>
      <c r="YW2">
        <v>3268</v>
      </c>
      <c r="YX2">
        <v>3480</v>
      </c>
      <c r="YY2">
        <v>3814</v>
      </c>
      <c r="YZ2">
        <v>3480</v>
      </c>
      <c r="ZA2">
        <v>3480</v>
      </c>
      <c r="ZB2">
        <v>3249</v>
      </c>
      <c r="ZC2">
        <v>3691</v>
      </c>
      <c r="ZD2">
        <v>3352</v>
      </c>
      <c r="ZE2">
        <v>3984</v>
      </c>
      <c r="ZF2">
        <v>3214</v>
      </c>
      <c r="ZG2">
        <v>3311</v>
      </c>
      <c r="ZH2">
        <v>3551</v>
      </c>
      <c r="ZI2">
        <v>3683</v>
      </c>
      <c r="ZJ2">
        <v>3984</v>
      </c>
      <c r="ZK2">
        <v>3559</v>
      </c>
      <c r="ZL2">
        <v>3558</v>
      </c>
      <c r="ZM2">
        <v>3254</v>
      </c>
      <c r="ZN2">
        <v>3888</v>
      </c>
      <c r="ZO2">
        <v>3707</v>
      </c>
      <c r="ZP2">
        <v>3249</v>
      </c>
      <c r="ZQ2">
        <v>3631</v>
      </c>
      <c r="ZR2">
        <v>3631</v>
      </c>
      <c r="ZS2">
        <v>3523</v>
      </c>
      <c r="ZT2">
        <v>3101</v>
      </c>
      <c r="ZU2">
        <v>3465</v>
      </c>
      <c r="ZV2">
        <v>3099</v>
      </c>
      <c r="ZW2">
        <v>3862</v>
      </c>
      <c r="ZX2">
        <v>3506</v>
      </c>
      <c r="ZY2">
        <v>3922</v>
      </c>
      <c r="ZZ2">
        <v>3268</v>
      </c>
      <c r="AAA2">
        <v>3857</v>
      </c>
      <c r="AAB2">
        <v>3465</v>
      </c>
      <c r="AAC2">
        <v>3064</v>
      </c>
      <c r="AAD2">
        <v>3977</v>
      </c>
      <c r="AAE2">
        <v>3977</v>
      </c>
      <c r="AAF2">
        <v>3977</v>
      </c>
      <c r="AAG2">
        <v>3977</v>
      </c>
      <c r="AAH2">
        <v>3977</v>
      </c>
      <c r="AAI2">
        <v>3669</v>
      </c>
      <c r="AAJ2">
        <v>3551</v>
      </c>
      <c r="AAK2">
        <v>3666</v>
      </c>
      <c r="AAL2">
        <v>3121</v>
      </c>
      <c r="AAM2">
        <v>3322</v>
      </c>
      <c r="AAN2">
        <v>3363</v>
      </c>
      <c r="AAO2">
        <v>3363</v>
      </c>
      <c r="AAP2">
        <v>3919</v>
      </c>
      <c r="AAQ2">
        <v>3193</v>
      </c>
      <c r="AAR2">
        <v>3858</v>
      </c>
      <c r="AAS2">
        <v>3862</v>
      </c>
      <c r="AAT2">
        <v>3041</v>
      </c>
      <c r="AAU2">
        <v>3373</v>
      </c>
      <c r="AAV2">
        <v>3283</v>
      </c>
      <c r="AAW2">
        <v>3821</v>
      </c>
      <c r="AAX2">
        <v>3377</v>
      </c>
      <c r="AAY2">
        <v>3301</v>
      </c>
      <c r="AAZ2">
        <v>3136</v>
      </c>
      <c r="ABA2">
        <v>3136</v>
      </c>
      <c r="ABB2">
        <v>3136</v>
      </c>
      <c r="ABC2">
        <v>3136</v>
      </c>
      <c r="ABD2">
        <v>3393</v>
      </c>
      <c r="ABE2">
        <v>3714</v>
      </c>
      <c r="ABF2">
        <v>3265</v>
      </c>
      <c r="ABG2">
        <v>3705</v>
      </c>
      <c r="ABH2">
        <v>3530</v>
      </c>
      <c r="ABI2">
        <v>3315</v>
      </c>
      <c r="ABJ2">
        <v>3568</v>
      </c>
      <c r="ABK2">
        <v>3496</v>
      </c>
      <c r="ABL2">
        <v>3251</v>
      </c>
      <c r="ABM2">
        <v>3251</v>
      </c>
      <c r="ABN2">
        <v>3268</v>
      </c>
      <c r="ABO2">
        <v>3268</v>
      </c>
      <c r="ABP2">
        <v>3222</v>
      </c>
      <c r="ABQ2">
        <v>3483</v>
      </c>
      <c r="ABR2">
        <v>3385</v>
      </c>
      <c r="ABS2">
        <v>3465</v>
      </c>
      <c r="ABT2">
        <v>3341</v>
      </c>
      <c r="ABU2">
        <v>3047</v>
      </c>
      <c r="ABV2">
        <v>3981</v>
      </c>
      <c r="ABW2">
        <v>3568</v>
      </c>
      <c r="ABX2">
        <v>3477</v>
      </c>
      <c r="ABY2">
        <v>3992</v>
      </c>
      <c r="ABZ2">
        <v>3175</v>
      </c>
      <c r="ACA2">
        <v>3175</v>
      </c>
      <c r="ACB2">
        <v>3175</v>
      </c>
      <c r="ACC2">
        <v>3175</v>
      </c>
      <c r="ACD2">
        <v>3737</v>
      </c>
      <c r="ACE2">
        <v>3862</v>
      </c>
      <c r="ACF2">
        <v>3340</v>
      </c>
      <c r="ACG2">
        <v>3871</v>
      </c>
      <c r="ACH2">
        <v>3145</v>
      </c>
      <c r="ACI2">
        <v>3145</v>
      </c>
      <c r="ACJ2">
        <v>3271</v>
      </c>
      <c r="ACK2">
        <v>3822</v>
      </c>
      <c r="ACL2">
        <v>3756</v>
      </c>
      <c r="ACM2">
        <v>3851</v>
      </c>
      <c r="ACN2">
        <v>3304</v>
      </c>
      <c r="ACO2">
        <v>3701</v>
      </c>
      <c r="ACP2">
        <v>3858</v>
      </c>
      <c r="ACQ2">
        <v>3460</v>
      </c>
      <c r="ACR2">
        <v>3363</v>
      </c>
      <c r="ACS2">
        <v>3235</v>
      </c>
      <c r="ACT2">
        <v>3888</v>
      </c>
      <c r="ACU2">
        <v>3691</v>
      </c>
      <c r="ACV2">
        <v>3385</v>
      </c>
      <c r="ACW2">
        <v>3103</v>
      </c>
      <c r="ACX2">
        <v>3023</v>
      </c>
      <c r="ACY2">
        <v>3022</v>
      </c>
      <c r="ACZ2">
        <v>3023</v>
      </c>
      <c r="ADA2">
        <v>3356</v>
      </c>
      <c r="ADB2">
        <v>3037</v>
      </c>
      <c r="ADC2">
        <v>3723</v>
      </c>
      <c r="ADD2">
        <v>3871</v>
      </c>
      <c r="ADE2">
        <v>3888</v>
      </c>
      <c r="ADF2">
        <v>3186</v>
      </c>
      <c r="ADG2">
        <v>3377</v>
      </c>
      <c r="ADH2">
        <v>3858</v>
      </c>
      <c r="ADI2">
        <v>3280</v>
      </c>
      <c r="ADJ2">
        <v>3461</v>
      </c>
      <c r="ADK2">
        <v>3875</v>
      </c>
      <c r="ADL2">
        <v>3516</v>
      </c>
      <c r="ADM2">
        <v>3352</v>
      </c>
      <c r="ADN2">
        <v>3312</v>
      </c>
      <c r="ADO2">
        <v>3030</v>
      </c>
      <c r="ADP2">
        <v>3523</v>
      </c>
      <c r="ADQ2">
        <v>3325</v>
      </c>
      <c r="ADR2">
        <v>3726</v>
      </c>
      <c r="ADS2">
        <v>3714</v>
      </c>
      <c r="ADT2">
        <v>3977</v>
      </c>
      <c r="ADU2">
        <v>3971</v>
      </c>
      <c r="ADV2">
        <v>3808</v>
      </c>
      <c r="ADW2">
        <v>3610</v>
      </c>
      <c r="ADX2">
        <v>3089</v>
      </c>
      <c r="ADY2">
        <v>3309</v>
      </c>
      <c r="ADZ2">
        <v>3427</v>
      </c>
      <c r="AEA2">
        <v>3561</v>
      </c>
      <c r="AEB2">
        <v>3414</v>
      </c>
      <c r="AEC2">
        <v>3571</v>
      </c>
      <c r="AED2">
        <v>3172</v>
      </c>
      <c r="AEE2">
        <v>3579</v>
      </c>
      <c r="AEF2">
        <v>3898</v>
      </c>
      <c r="AEG2">
        <v>3265</v>
      </c>
      <c r="AEH2">
        <v>3775</v>
      </c>
      <c r="AEI2">
        <v>3377</v>
      </c>
      <c r="AEJ2">
        <v>3678</v>
      </c>
      <c r="AEK2">
        <v>3678</v>
      </c>
      <c r="AEL2">
        <v>3008</v>
      </c>
      <c r="AEM2">
        <v>3895</v>
      </c>
      <c r="AEN2">
        <v>3871</v>
      </c>
      <c r="AEO2">
        <v>3139</v>
      </c>
      <c r="AEP2">
        <v>3480</v>
      </c>
      <c r="AEQ2">
        <v>3108</v>
      </c>
      <c r="AER2">
        <v>3109</v>
      </c>
      <c r="AES2">
        <v>3109</v>
      </c>
      <c r="AET2">
        <v>3064</v>
      </c>
      <c r="AEU2">
        <v>3111</v>
      </c>
      <c r="AEV2">
        <v>3478</v>
      </c>
      <c r="AEW2">
        <v>3401</v>
      </c>
      <c r="AEX2">
        <v>3646</v>
      </c>
      <c r="AEY2">
        <v>3647</v>
      </c>
      <c r="AEZ2">
        <v>3754</v>
      </c>
      <c r="AFA2">
        <v>3312</v>
      </c>
      <c r="AFB2">
        <v>3893</v>
      </c>
      <c r="AFC2">
        <v>3409</v>
      </c>
      <c r="AFD2">
        <v>3177</v>
      </c>
      <c r="AFE2">
        <v>3249</v>
      </c>
      <c r="AFF2">
        <v>3249</v>
      </c>
      <c r="AFG2">
        <v>3840</v>
      </c>
      <c r="AFH2">
        <v>3304</v>
      </c>
      <c r="AFI2">
        <v>3936</v>
      </c>
      <c r="AFJ2">
        <v>3660</v>
      </c>
      <c r="AFK2">
        <v>3818</v>
      </c>
      <c r="AFL2">
        <v>3818</v>
      </c>
      <c r="AFM2">
        <v>3818</v>
      </c>
      <c r="AFN2">
        <v>3818</v>
      </c>
      <c r="AFO2">
        <v>3636</v>
      </c>
      <c r="AFP2">
        <v>3304</v>
      </c>
      <c r="AFQ2">
        <v>3215</v>
      </c>
      <c r="AFR2">
        <v>3570</v>
      </c>
      <c r="AFS2">
        <v>3461</v>
      </c>
      <c r="AFT2">
        <v>3446</v>
      </c>
      <c r="AFU2">
        <v>3401</v>
      </c>
      <c r="AFV2">
        <v>3461</v>
      </c>
      <c r="AFW2">
        <v>3222</v>
      </c>
      <c r="AFX2">
        <v>3409</v>
      </c>
      <c r="AFY2">
        <v>3956</v>
      </c>
      <c r="AFZ2">
        <v>3956</v>
      </c>
      <c r="AGA2">
        <v>3527</v>
      </c>
      <c r="AGB2">
        <v>3371</v>
      </c>
      <c r="AGC2">
        <v>3271</v>
      </c>
      <c r="AGD2">
        <v>3175</v>
      </c>
      <c r="AGE2">
        <v>3294</v>
      </c>
      <c r="AGF2">
        <v>3630</v>
      </c>
      <c r="AGG2">
        <v>3472</v>
      </c>
      <c r="AGH2">
        <v>3377</v>
      </c>
      <c r="AGI2">
        <v>3352</v>
      </c>
      <c r="AGJ2">
        <v>3472</v>
      </c>
      <c r="AGK2">
        <v>3312</v>
      </c>
      <c r="AGL2">
        <v>3342</v>
      </c>
      <c r="AGM2">
        <v>3352</v>
      </c>
      <c r="AGN2">
        <v>3576</v>
      </c>
      <c r="AGO2">
        <v>3851</v>
      </c>
      <c r="AGP2">
        <v>3851</v>
      </c>
      <c r="AGQ2">
        <v>3305</v>
      </c>
      <c r="AGR2">
        <v>3323</v>
      </c>
      <c r="AGS2">
        <v>3878</v>
      </c>
      <c r="AGT2">
        <v>3556</v>
      </c>
      <c r="AGU2">
        <v>3556</v>
      </c>
      <c r="AGV2">
        <v>3084</v>
      </c>
      <c r="AGW2">
        <v>3669</v>
      </c>
      <c r="AGX2">
        <v>3875</v>
      </c>
      <c r="AGY2">
        <v>3550</v>
      </c>
      <c r="AGZ2">
        <v>3219</v>
      </c>
      <c r="AHA2">
        <v>3002</v>
      </c>
      <c r="AHB2">
        <v>3852</v>
      </c>
      <c r="AHC2">
        <v>3678</v>
      </c>
      <c r="AHD2">
        <v>3799</v>
      </c>
      <c r="AHE2">
        <v>3231</v>
      </c>
      <c r="AHF2">
        <v>3463</v>
      </c>
      <c r="AHG2">
        <v>3875</v>
      </c>
      <c r="AHH2">
        <v>3691</v>
      </c>
      <c r="AHI2">
        <v>3564</v>
      </c>
      <c r="AHJ2">
        <v>3564</v>
      </c>
      <c r="AHK2">
        <v>3564</v>
      </c>
      <c r="AHL2">
        <v>3564</v>
      </c>
      <c r="AHM2">
        <v>3265</v>
      </c>
      <c r="AHN2">
        <v>3472</v>
      </c>
      <c r="AHO2">
        <v>3757</v>
      </c>
      <c r="AHP2">
        <v>3318</v>
      </c>
      <c r="AHQ2">
        <v>3444</v>
      </c>
      <c r="AHR2">
        <v>3678</v>
      </c>
      <c r="AHS2">
        <v>3678</v>
      </c>
      <c r="AHT2">
        <v>3196</v>
      </c>
      <c r="AHU2">
        <v>3461</v>
      </c>
      <c r="AHV2">
        <v>3713</v>
      </c>
      <c r="AHW2">
        <v>3334</v>
      </c>
      <c r="AHX2">
        <v>3746</v>
      </c>
      <c r="AHY2">
        <v>3461</v>
      </c>
      <c r="AHZ2">
        <v>3266</v>
      </c>
      <c r="AIA2">
        <v>3266</v>
      </c>
      <c r="AIB2">
        <v>3921</v>
      </c>
      <c r="AIC2">
        <v>3875</v>
      </c>
      <c r="AID2">
        <v>3265</v>
      </c>
      <c r="AIE2">
        <v>3250</v>
      </c>
      <c r="AIF2">
        <v>3821</v>
      </c>
      <c r="AIG2">
        <v>3469</v>
      </c>
      <c r="AIH2">
        <v>3558</v>
      </c>
      <c r="AII2">
        <v>3448</v>
      </c>
      <c r="AIJ2">
        <v>3185</v>
      </c>
      <c r="AIK2">
        <v>3095</v>
      </c>
      <c r="AIL2">
        <v>3095</v>
      </c>
      <c r="AIM2">
        <v>3184</v>
      </c>
      <c r="AIN2">
        <v>3782</v>
      </c>
      <c r="AIO2">
        <v>3475</v>
      </c>
      <c r="AIP2">
        <v>3551</v>
      </c>
      <c r="AIQ2">
        <v>3802</v>
      </c>
      <c r="AIR2">
        <v>3352</v>
      </c>
      <c r="AIS2">
        <v>3407</v>
      </c>
      <c r="AIT2">
        <v>3723</v>
      </c>
      <c r="AIU2">
        <v>3895</v>
      </c>
      <c r="AIV2">
        <v>3895</v>
      </c>
      <c r="AIW2">
        <v>3551</v>
      </c>
      <c r="AIX2">
        <v>3076</v>
      </c>
      <c r="AIY2">
        <v>3551</v>
      </c>
      <c r="AIZ2">
        <v>3352</v>
      </c>
      <c r="AJA2">
        <v>3825</v>
      </c>
      <c r="AJB2">
        <v>3889</v>
      </c>
      <c r="AJC2">
        <v>3701</v>
      </c>
      <c r="AJD2">
        <v>3730</v>
      </c>
      <c r="AJE2">
        <v>3040</v>
      </c>
      <c r="AJF2">
        <v>3041</v>
      </c>
      <c r="AJG2">
        <v>3041</v>
      </c>
      <c r="AJH2">
        <v>3040</v>
      </c>
      <c r="AJI2">
        <v>3177</v>
      </c>
      <c r="AJJ2">
        <v>3251</v>
      </c>
      <c r="AJK2">
        <v>3350</v>
      </c>
      <c r="AJL2">
        <v>3666</v>
      </c>
      <c r="AJM2">
        <v>3739</v>
      </c>
      <c r="AJN2">
        <v>3371</v>
      </c>
      <c r="AJO2">
        <v>3377</v>
      </c>
      <c r="AJP2">
        <v>3678</v>
      </c>
      <c r="AJQ2">
        <v>3678</v>
      </c>
      <c r="AJR2">
        <v>3338</v>
      </c>
      <c r="AJS2">
        <v>3338</v>
      </c>
      <c r="AJT2">
        <v>3951</v>
      </c>
      <c r="AJU2">
        <v>3078</v>
      </c>
      <c r="AJV2">
        <v>3231</v>
      </c>
      <c r="AJW2">
        <v>3579</v>
      </c>
      <c r="AJX2">
        <v>3561</v>
      </c>
      <c r="AJY2">
        <v>3699</v>
      </c>
      <c r="AJZ2">
        <v>3451</v>
      </c>
      <c r="AKA2">
        <v>3714</v>
      </c>
      <c r="AKB2">
        <v>3060</v>
      </c>
      <c r="AKC2">
        <v>3518</v>
      </c>
      <c r="AKD2">
        <v>3237</v>
      </c>
      <c r="AKE2">
        <v>3458</v>
      </c>
      <c r="AKF2">
        <v>3864</v>
      </c>
      <c r="AKG2">
        <v>3821</v>
      </c>
      <c r="AKH2">
        <v>3518</v>
      </c>
      <c r="AKI2">
        <v>3778</v>
      </c>
      <c r="AKJ2">
        <v>3156</v>
      </c>
      <c r="AKK2">
        <v>3786</v>
      </c>
      <c r="AKL2">
        <v>3518</v>
      </c>
      <c r="AKM2">
        <v>3939</v>
      </c>
      <c r="AKN2">
        <v>3959</v>
      </c>
      <c r="AKO2">
        <v>3585</v>
      </c>
      <c r="AKP2">
        <v>3342</v>
      </c>
      <c r="AKQ2">
        <v>3065</v>
      </c>
      <c r="AKR2">
        <v>3068</v>
      </c>
      <c r="AKS2">
        <v>3875</v>
      </c>
      <c r="AKT2">
        <v>3465</v>
      </c>
      <c r="AKU2">
        <v>3851</v>
      </c>
      <c r="AKV2">
        <v>3031</v>
      </c>
      <c r="AKW2">
        <v>3929</v>
      </c>
      <c r="AKX2">
        <v>3550</v>
      </c>
      <c r="AKY2">
        <v>3717</v>
      </c>
      <c r="AKZ2">
        <v>3844</v>
      </c>
      <c r="ALA2">
        <v>3844</v>
      </c>
      <c r="ALB2">
        <v>3011</v>
      </c>
      <c r="ALC2">
        <v>3764</v>
      </c>
      <c r="ALD2">
        <v>3131</v>
      </c>
      <c r="ALE2">
        <v>3875</v>
      </c>
      <c r="ALF2">
        <v>3236</v>
      </c>
      <c r="ALG2">
        <v>3960</v>
      </c>
      <c r="ALH2">
        <v>3960</v>
      </c>
      <c r="ALI2">
        <v>3557</v>
      </c>
      <c r="ALJ2">
        <v>3805</v>
      </c>
      <c r="ALK2">
        <v>3323</v>
      </c>
      <c r="ALL2">
        <v>3265</v>
      </c>
      <c r="ALM2">
        <v>3265</v>
      </c>
      <c r="ALN2">
        <v>3461</v>
      </c>
      <c r="ALO2">
        <v>3199</v>
      </c>
      <c r="ALP2">
        <v>3199</v>
      </c>
      <c r="ALQ2">
        <v>3199</v>
      </c>
      <c r="ALR2">
        <v>3200</v>
      </c>
      <c r="ALS2">
        <v>3199</v>
      </c>
      <c r="ALT2">
        <v>3741</v>
      </c>
      <c r="ALU2">
        <v>3921</v>
      </c>
      <c r="ALV2">
        <v>3384</v>
      </c>
      <c r="ALW2">
        <v>3217</v>
      </c>
      <c r="ALX2">
        <v>3451</v>
      </c>
      <c r="ALY2">
        <v>3851</v>
      </c>
      <c r="ALZ2">
        <v>3825</v>
      </c>
      <c r="AMA2">
        <v>3825</v>
      </c>
      <c r="AMB2">
        <v>3381</v>
      </c>
      <c r="AMC2">
        <v>3218</v>
      </c>
      <c r="AMD2">
        <v>3723</v>
      </c>
      <c r="AME2">
        <v>3822</v>
      </c>
      <c r="AMF2">
        <v>3568</v>
      </c>
      <c r="AMG2">
        <v>3737</v>
      </c>
      <c r="AMH2">
        <v>3207</v>
      </c>
      <c r="AMI2">
        <v>3185</v>
      </c>
      <c r="AMJ2">
        <v>3814</v>
      </c>
      <c r="AMK2">
        <v>3814</v>
      </c>
      <c r="AML2">
        <v>3352</v>
      </c>
      <c r="AMM2">
        <v>3265</v>
      </c>
      <c r="AMN2">
        <v>3691</v>
      </c>
      <c r="AMO2">
        <v>3407</v>
      </c>
      <c r="AMP2">
        <v>3289</v>
      </c>
      <c r="AMQ2">
        <v>3220</v>
      </c>
      <c r="AMR2">
        <v>3221</v>
      </c>
      <c r="AMS2">
        <v>3215</v>
      </c>
      <c r="AMT2">
        <v>3218</v>
      </c>
      <c r="AMU2">
        <v>3885</v>
      </c>
      <c r="AMV2">
        <v>3239</v>
      </c>
      <c r="AMW2">
        <v>3237</v>
      </c>
      <c r="AMX2">
        <v>3971</v>
      </c>
      <c r="AMY2">
        <v>3783</v>
      </c>
      <c r="AMZ2">
        <v>3891</v>
      </c>
      <c r="ANA2">
        <v>3833</v>
      </c>
      <c r="ANB2">
        <v>3700</v>
      </c>
      <c r="ANC2">
        <v>3546</v>
      </c>
      <c r="AND2">
        <v>3418</v>
      </c>
      <c r="ANE2">
        <v>3249</v>
      </c>
      <c r="ANF2">
        <v>3387</v>
      </c>
      <c r="ANG2">
        <v>3741</v>
      </c>
      <c r="ANH2">
        <v>3289</v>
      </c>
      <c r="ANI2">
        <v>3240</v>
      </c>
      <c r="ANJ2">
        <v>3331</v>
      </c>
      <c r="ANK2">
        <v>3717</v>
      </c>
      <c r="ANL2">
        <v>3851</v>
      </c>
      <c r="ANM2">
        <v>3851</v>
      </c>
      <c r="ANN2">
        <v>3480</v>
      </c>
      <c r="ANO2">
        <v>3072</v>
      </c>
      <c r="ANP2">
        <v>3797</v>
      </c>
      <c r="ANQ2">
        <v>3616</v>
      </c>
      <c r="ANR2">
        <v>3858</v>
      </c>
      <c r="ANS2">
        <v>3891</v>
      </c>
      <c r="ANT2">
        <v>3624</v>
      </c>
      <c r="ANU2">
        <v>3616</v>
      </c>
      <c r="ANV2">
        <v>3437</v>
      </c>
      <c r="ANW2">
        <v>3437</v>
      </c>
      <c r="ANX2">
        <v>3575</v>
      </c>
      <c r="ANY2">
        <v>3043</v>
      </c>
      <c r="ANZ2">
        <v>3797</v>
      </c>
      <c r="AOA2">
        <v>3979</v>
      </c>
      <c r="AOB2">
        <v>3691</v>
      </c>
      <c r="AOC2">
        <v>3990</v>
      </c>
      <c r="AOD2">
        <v>3163</v>
      </c>
      <c r="AOE2">
        <v>3146</v>
      </c>
      <c r="AOF2">
        <v>3352</v>
      </c>
      <c r="AOG2">
        <v>3898</v>
      </c>
      <c r="AOH2">
        <v>3150</v>
      </c>
      <c r="AOI2">
        <v>3898</v>
      </c>
      <c r="AOJ2">
        <v>3238</v>
      </c>
      <c r="AOK2">
        <v>3864</v>
      </c>
      <c r="AOL2">
        <v>3517</v>
      </c>
      <c r="AOM2">
        <v>3764</v>
      </c>
      <c r="AON2">
        <v>3352</v>
      </c>
      <c r="AOO2">
        <v>3717</v>
      </c>
      <c r="AOP2">
        <v>3363</v>
      </c>
      <c r="AOQ2">
        <v>3364</v>
      </c>
      <c r="AOR2">
        <v>3858</v>
      </c>
      <c r="AOS2">
        <v>3122</v>
      </c>
      <c r="AOT2">
        <v>3266</v>
      </c>
      <c r="AOU2">
        <v>3020</v>
      </c>
      <c r="AOV2">
        <v>3854</v>
      </c>
      <c r="AOW2">
        <v>3854</v>
      </c>
      <c r="AOX2">
        <v>3854</v>
      </c>
      <c r="AOY2">
        <v>3370</v>
      </c>
      <c r="AOZ2">
        <v>3444</v>
      </c>
      <c r="APA2">
        <v>3522</v>
      </c>
      <c r="APB2">
        <v>3314</v>
      </c>
      <c r="APC2">
        <v>3418</v>
      </c>
      <c r="APD2">
        <v>3469</v>
      </c>
      <c r="APE2">
        <v>3469</v>
      </c>
      <c r="APF2">
        <v>3527</v>
      </c>
      <c r="APG2">
        <v>3527</v>
      </c>
      <c r="APH2">
        <v>3451</v>
      </c>
      <c r="API2">
        <v>3461</v>
      </c>
      <c r="APJ2">
        <v>3858</v>
      </c>
      <c r="APK2">
        <v>3340</v>
      </c>
      <c r="APL2">
        <v>3385</v>
      </c>
      <c r="APM2">
        <v>3265</v>
      </c>
      <c r="APN2">
        <v>3265</v>
      </c>
      <c r="APO2">
        <v>3265</v>
      </c>
      <c r="APP2">
        <v>3469</v>
      </c>
      <c r="APQ2">
        <v>3675</v>
      </c>
      <c r="APR2">
        <v>3675</v>
      </c>
      <c r="APS2">
        <v>3046</v>
      </c>
      <c r="APT2">
        <v>3293</v>
      </c>
      <c r="APU2">
        <v>3851</v>
      </c>
      <c r="APV2">
        <v>3221</v>
      </c>
      <c r="APW2">
        <v>3260</v>
      </c>
      <c r="APX2">
        <v>3559</v>
      </c>
      <c r="APY2">
        <v>3719</v>
      </c>
      <c r="APZ2">
        <v>3851</v>
      </c>
      <c r="AQA2">
        <v>3555</v>
      </c>
      <c r="AQB2">
        <v>3350</v>
      </c>
      <c r="AQC2">
        <v>3555</v>
      </c>
      <c r="AQD2">
        <v>3435</v>
      </c>
      <c r="AQE2">
        <v>3472</v>
      </c>
      <c r="AQF2">
        <v>3352</v>
      </c>
      <c r="AQG2">
        <v>3579</v>
      </c>
      <c r="AQH2">
        <v>3673</v>
      </c>
      <c r="AQI2">
        <v>3875</v>
      </c>
      <c r="AQJ2">
        <v>3888</v>
      </c>
      <c r="AQK2">
        <v>3666</v>
      </c>
      <c r="AQL2">
        <v>3685</v>
      </c>
      <c r="AQM2">
        <v>3725</v>
      </c>
      <c r="AQN2">
        <v>3557</v>
      </c>
      <c r="AQO2">
        <v>3477</v>
      </c>
      <c r="AQP2">
        <v>3305</v>
      </c>
      <c r="AQQ2">
        <v>3305</v>
      </c>
      <c r="AQR2">
        <v>3345</v>
      </c>
      <c r="AQS2">
        <v>3873</v>
      </c>
      <c r="AQT2">
        <v>3412</v>
      </c>
      <c r="AQU2">
        <v>3585</v>
      </c>
      <c r="AQV2">
        <v>3723</v>
      </c>
      <c r="AQW2">
        <v>3608</v>
      </c>
      <c r="AQX2">
        <v>3043</v>
      </c>
      <c r="AQY2">
        <v>3544</v>
      </c>
      <c r="AQZ2">
        <v>3669</v>
      </c>
      <c r="ARA2">
        <v>3477</v>
      </c>
      <c r="ARB2">
        <v>3463</v>
      </c>
      <c r="ARC2">
        <v>3631</v>
      </c>
      <c r="ARD2">
        <v>3314</v>
      </c>
      <c r="ARE2">
        <v>3870</v>
      </c>
      <c r="ARF2">
        <v>3525</v>
      </c>
      <c r="ARG2">
        <v>3875</v>
      </c>
      <c r="ARH2">
        <v>3984</v>
      </c>
      <c r="ARI2">
        <v>3701</v>
      </c>
      <c r="ARJ2">
        <v>3409</v>
      </c>
      <c r="ARK2">
        <v>3302</v>
      </c>
      <c r="ARL2">
        <v>3281</v>
      </c>
      <c r="ARM2">
        <v>3477</v>
      </c>
      <c r="ARN2">
        <v>3608</v>
      </c>
      <c r="ARO2">
        <v>3477</v>
      </c>
      <c r="ARP2">
        <v>3477</v>
      </c>
      <c r="ARQ2">
        <v>3477</v>
      </c>
      <c r="ARR2">
        <v>3685</v>
      </c>
      <c r="ARS2">
        <v>3374</v>
      </c>
      <c r="ART2">
        <v>3537</v>
      </c>
      <c r="ARU2">
        <v>3462</v>
      </c>
      <c r="ARV2">
        <v>3341</v>
      </c>
      <c r="ARW2">
        <v>3444</v>
      </c>
      <c r="ARX2">
        <v>3387</v>
      </c>
      <c r="ARY2">
        <v>3088</v>
      </c>
      <c r="ARZ2">
        <v>3059</v>
      </c>
      <c r="ASA2">
        <v>3304</v>
      </c>
      <c r="ASB2">
        <v>3352</v>
      </c>
      <c r="ASC2">
        <v>3675</v>
      </c>
      <c r="ASD2">
        <v>3675</v>
      </c>
      <c r="ASE2">
        <v>3675</v>
      </c>
      <c r="ASF2">
        <v>3234</v>
      </c>
      <c r="ASG2">
        <v>3104</v>
      </c>
      <c r="ASH2">
        <v>3315</v>
      </c>
      <c r="ASI2">
        <v>3315</v>
      </c>
      <c r="ASJ2">
        <v>3216</v>
      </c>
      <c r="ASK2">
        <v>3216</v>
      </c>
      <c r="ASL2">
        <v>3770</v>
      </c>
      <c r="ASM2">
        <v>3451</v>
      </c>
      <c r="ASN2">
        <v>3566</v>
      </c>
      <c r="ASO2">
        <v>3691</v>
      </c>
      <c r="ASP2">
        <v>3960</v>
      </c>
      <c r="ASQ2">
        <v>3709</v>
      </c>
      <c r="ASR2">
        <v>3807</v>
      </c>
      <c r="ASS2">
        <v>3401</v>
      </c>
      <c r="AST2">
        <v>3351</v>
      </c>
      <c r="ASU2">
        <v>3046</v>
      </c>
      <c r="ASV2">
        <v>3803</v>
      </c>
      <c r="ASW2">
        <v>3818</v>
      </c>
      <c r="ASX2">
        <v>3381</v>
      </c>
      <c r="ASY2">
        <v>3953</v>
      </c>
      <c r="ASZ2">
        <v>3300</v>
      </c>
      <c r="ATA2">
        <v>3215</v>
      </c>
      <c r="ATB2">
        <v>3188</v>
      </c>
      <c r="ATC2">
        <v>3188</v>
      </c>
      <c r="ATD2">
        <v>3188</v>
      </c>
      <c r="ATE2">
        <v>3976</v>
      </c>
      <c r="ATF2">
        <v>3675</v>
      </c>
      <c r="ATG2">
        <v>3360</v>
      </c>
      <c r="ATH2">
        <v>3453</v>
      </c>
      <c r="ATI2">
        <v>3453</v>
      </c>
      <c r="ATJ2">
        <v>3806</v>
      </c>
      <c r="ATK2">
        <v>3995</v>
      </c>
      <c r="ATL2">
        <v>3741</v>
      </c>
      <c r="ATM2">
        <v>3317</v>
      </c>
      <c r="ATN2">
        <v>3616</v>
      </c>
      <c r="ATO2">
        <v>3124</v>
      </c>
      <c r="ATP2">
        <v>3915</v>
      </c>
      <c r="ATQ2">
        <v>3501</v>
      </c>
      <c r="ATR2">
        <v>3465</v>
      </c>
      <c r="ATS2">
        <v>3401</v>
      </c>
      <c r="ATT2">
        <v>3737</v>
      </c>
      <c r="ATU2">
        <v>3287</v>
      </c>
      <c r="ATV2">
        <v>3862</v>
      </c>
      <c r="ATW2">
        <v>3142</v>
      </c>
      <c r="ATX2">
        <v>3122</v>
      </c>
      <c r="ATY2">
        <v>3123</v>
      </c>
      <c r="ATZ2">
        <v>3122</v>
      </c>
      <c r="AUA2">
        <v>3122</v>
      </c>
      <c r="AUB2">
        <v>3888</v>
      </c>
      <c r="AUC2">
        <v>3966</v>
      </c>
      <c r="AUD2">
        <v>3658</v>
      </c>
      <c r="AUE2">
        <v>3840</v>
      </c>
      <c r="AUF2">
        <v>3840</v>
      </c>
      <c r="AUG2">
        <v>3840</v>
      </c>
      <c r="AUH2">
        <v>3777</v>
      </c>
      <c r="AUI2">
        <v>3777</v>
      </c>
      <c r="AUJ2">
        <v>3981</v>
      </c>
      <c r="AUK2">
        <v>3523</v>
      </c>
      <c r="AUL2">
        <v>3758</v>
      </c>
      <c r="AUM2">
        <v>3523</v>
      </c>
      <c r="AUN2">
        <v>3202</v>
      </c>
      <c r="AUO2">
        <v>3305</v>
      </c>
      <c r="AUP2">
        <v>3135</v>
      </c>
      <c r="AUQ2">
        <v>3134</v>
      </c>
      <c r="AUR2">
        <v>3967</v>
      </c>
      <c r="AUS2">
        <v>3084</v>
      </c>
      <c r="AUT2">
        <v>3081</v>
      </c>
      <c r="AUU2">
        <v>3081</v>
      </c>
      <c r="AUV2">
        <v>3081</v>
      </c>
      <c r="AUW2">
        <v>3301</v>
      </c>
      <c r="AUX2">
        <v>3312</v>
      </c>
      <c r="AUY2">
        <v>3461</v>
      </c>
      <c r="AUZ2">
        <v>3461</v>
      </c>
      <c r="AVA2">
        <v>3218</v>
      </c>
      <c r="AVB2">
        <v>3825</v>
      </c>
      <c r="AVC2">
        <v>3442</v>
      </c>
      <c r="AVD2">
        <v>3321</v>
      </c>
      <c r="AVE2">
        <v>3273</v>
      </c>
      <c r="AVF2">
        <v>3858</v>
      </c>
      <c r="AVG2">
        <v>3268</v>
      </c>
      <c r="AVH2">
        <v>3304</v>
      </c>
      <c r="AVI2">
        <v>3847</v>
      </c>
      <c r="AVJ2">
        <v>3971</v>
      </c>
      <c r="AVK2">
        <v>3764</v>
      </c>
      <c r="AVL2">
        <v>3190</v>
      </c>
      <c r="AVM2">
        <v>3660</v>
      </c>
      <c r="AVN2">
        <v>3032</v>
      </c>
      <c r="AVO2">
        <v>3216</v>
      </c>
      <c r="AVP2">
        <v>3315</v>
      </c>
      <c r="AVQ2">
        <v>3825</v>
      </c>
      <c r="AVR2">
        <v>3351</v>
      </c>
      <c r="AVS2">
        <v>3660</v>
      </c>
      <c r="AVT2">
        <v>3037</v>
      </c>
      <c r="AVU2">
        <v>3898</v>
      </c>
      <c r="AVV2">
        <v>3920</v>
      </c>
      <c r="AVW2">
        <v>3139</v>
      </c>
      <c r="AVX2">
        <v>3862</v>
      </c>
      <c r="AVY2">
        <v>3148</v>
      </c>
      <c r="AVZ2">
        <v>3465</v>
      </c>
      <c r="AWA2">
        <v>3304</v>
      </c>
      <c r="AWB2">
        <v>3717</v>
      </c>
      <c r="AWC2">
        <v>3396</v>
      </c>
      <c r="AWD2">
        <v>3162</v>
      </c>
      <c r="AWE2">
        <v>3340</v>
      </c>
      <c r="AWF2">
        <v>3029</v>
      </c>
      <c r="AWG2">
        <v>3238</v>
      </c>
      <c r="AWH2">
        <v>3567</v>
      </c>
      <c r="AWI2">
        <v>3400</v>
      </c>
      <c r="AWJ2">
        <v>3741</v>
      </c>
      <c r="AWK2">
        <v>3051</v>
      </c>
      <c r="AWL2">
        <v>3303</v>
      </c>
      <c r="AWM2">
        <v>3128</v>
      </c>
      <c r="AWN2">
        <v>3723</v>
      </c>
      <c r="AWO2">
        <v>3858</v>
      </c>
      <c r="AWP2">
        <v>3723</v>
      </c>
      <c r="AWQ2">
        <v>3723</v>
      </c>
      <c r="AWR2">
        <v>3723</v>
      </c>
      <c r="AWS2">
        <v>3166</v>
      </c>
      <c r="AWT2">
        <v>3757</v>
      </c>
      <c r="AWU2">
        <v>3558</v>
      </c>
      <c r="AWV2">
        <v>3971</v>
      </c>
      <c r="AWW2">
        <v>3166</v>
      </c>
      <c r="AWX2">
        <v>3551</v>
      </c>
      <c r="AWY2">
        <v>3551</v>
      </c>
      <c r="AWZ2">
        <v>3695</v>
      </c>
      <c r="AXA2">
        <v>3691</v>
      </c>
      <c r="AXB2">
        <v>3099</v>
      </c>
      <c r="AXC2">
        <v>3833</v>
      </c>
      <c r="AXD2">
        <v>3875</v>
      </c>
      <c r="AXE2">
        <v>3351</v>
      </c>
      <c r="AXF2">
        <v>3381</v>
      </c>
      <c r="AXG2">
        <v>3282</v>
      </c>
      <c r="AXH2">
        <v>3223</v>
      </c>
      <c r="AXI2">
        <v>3688</v>
      </c>
      <c r="AXJ2">
        <v>3517</v>
      </c>
      <c r="AXK2">
        <v>3342</v>
      </c>
      <c r="AXL2">
        <v>3472</v>
      </c>
      <c r="AXM2">
        <v>3636</v>
      </c>
      <c r="AXN2">
        <v>3321</v>
      </c>
      <c r="AXO2">
        <v>3996</v>
      </c>
      <c r="AXP2">
        <v>3352</v>
      </c>
      <c r="AXQ2">
        <v>3350</v>
      </c>
      <c r="AXR2">
        <v>3815</v>
      </c>
      <c r="AXS2">
        <v>3494</v>
      </c>
      <c r="AXT2">
        <v>3451</v>
      </c>
      <c r="AXU2">
        <v>3550</v>
      </c>
      <c r="AXV2">
        <v>3249</v>
      </c>
      <c r="AXW2">
        <v>3249</v>
      </c>
      <c r="AXX2">
        <v>3249</v>
      </c>
      <c r="AXY2">
        <v>3498</v>
      </c>
      <c r="AXZ2">
        <v>3079</v>
      </c>
      <c r="AYA2">
        <v>3079</v>
      </c>
      <c r="AYB2">
        <v>3079</v>
      </c>
      <c r="AYC2">
        <v>3047</v>
      </c>
      <c r="AYD2">
        <v>3971</v>
      </c>
      <c r="AYE2">
        <v>3556</v>
      </c>
      <c r="AYF2">
        <v>3825</v>
      </c>
      <c r="AYG2">
        <v>3984</v>
      </c>
      <c r="AYH2">
        <v>3723</v>
      </c>
      <c r="AYI2">
        <v>3228</v>
      </c>
      <c r="AYJ2">
        <v>3266</v>
      </c>
      <c r="AYK2">
        <v>3266</v>
      </c>
      <c r="AYL2">
        <v>3517</v>
      </c>
      <c r="AYM2">
        <v>3888</v>
      </c>
      <c r="AYN2">
        <v>3700</v>
      </c>
      <c r="AYO2">
        <v>3840</v>
      </c>
      <c r="AYP2">
        <v>3840</v>
      </c>
      <c r="AYQ2">
        <v>3945</v>
      </c>
      <c r="AYR2">
        <v>3480</v>
      </c>
      <c r="AYS2">
        <v>3480</v>
      </c>
      <c r="AYT2">
        <v>3423</v>
      </c>
      <c r="AYU2">
        <v>3825</v>
      </c>
      <c r="AYV2">
        <v>3527</v>
      </c>
      <c r="AYW2">
        <v>3483</v>
      </c>
      <c r="AYX2">
        <v>3409</v>
      </c>
      <c r="AYY2">
        <v>3818</v>
      </c>
      <c r="AYZ2">
        <v>3384</v>
      </c>
      <c r="AZA2">
        <v>3384</v>
      </c>
      <c r="AZB2">
        <v>3238</v>
      </c>
      <c r="AZC2">
        <v>3902</v>
      </c>
      <c r="AZD2">
        <v>3870</v>
      </c>
      <c r="AZE2">
        <v>3148</v>
      </c>
      <c r="AZF2">
        <v>3364</v>
      </c>
      <c r="AZG2">
        <v>3869</v>
      </c>
      <c r="AZH2">
        <v>3951</v>
      </c>
      <c r="AZI2">
        <v>3977</v>
      </c>
      <c r="AZJ2">
        <v>3401</v>
      </c>
      <c r="AZK2">
        <v>3575</v>
      </c>
      <c r="AZL2">
        <v>3551</v>
      </c>
      <c r="AZM2">
        <v>3635</v>
      </c>
      <c r="AZN2">
        <v>3318</v>
      </c>
      <c r="AZO2">
        <v>3909</v>
      </c>
      <c r="AZP2">
        <v>3909</v>
      </c>
      <c r="AZQ2">
        <v>3064</v>
      </c>
      <c r="AZR2">
        <v>3401</v>
      </c>
      <c r="AZS2">
        <v>3791</v>
      </c>
      <c r="AZT2">
        <v>3766</v>
      </c>
      <c r="AZU2">
        <v>3529</v>
      </c>
      <c r="AZV2">
        <v>3570</v>
      </c>
      <c r="AZW2">
        <v>3571</v>
      </c>
      <c r="AZX2">
        <v>3401</v>
      </c>
      <c r="AZY2">
        <v>3691</v>
      </c>
      <c r="AZZ2">
        <v>3555</v>
      </c>
      <c r="BAA2">
        <v>3097</v>
      </c>
      <c r="BAB2">
        <v>3419</v>
      </c>
      <c r="BAC2">
        <v>3719</v>
      </c>
      <c r="BAD2">
        <v>3387</v>
      </c>
      <c r="BAE2">
        <v>3564</v>
      </c>
      <c r="BAF2">
        <v>3294</v>
      </c>
      <c r="BAG2">
        <v>3951</v>
      </c>
      <c r="BAH2">
        <v>3950</v>
      </c>
      <c r="BAI2">
        <v>3260</v>
      </c>
      <c r="BAJ2">
        <v>3199</v>
      </c>
      <c r="BAK2">
        <v>3199</v>
      </c>
      <c r="BAL2">
        <v>3401</v>
      </c>
      <c r="BAM2">
        <v>3631</v>
      </c>
      <c r="BAN2">
        <v>3483</v>
      </c>
      <c r="BAO2">
        <v>3649</v>
      </c>
      <c r="BAP2">
        <v>3649</v>
      </c>
      <c r="BAQ2">
        <v>3634</v>
      </c>
      <c r="BAR2">
        <v>3634</v>
      </c>
      <c r="BAS2">
        <v>3640</v>
      </c>
      <c r="BAT2">
        <v>3249</v>
      </c>
      <c r="BAU2">
        <v>3021</v>
      </c>
      <c r="BAV2">
        <v>3568</v>
      </c>
      <c r="BAW2">
        <v>3036</v>
      </c>
      <c r="BAX2">
        <v>3038</v>
      </c>
      <c r="BAY2">
        <v>3033</v>
      </c>
      <c r="BAZ2">
        <v>3038</v>
      </c>
      <c r="BBA2">
        <v>3036</v>
      </c>
      <c r="BBB2">
        <v>3042</v>
      </c>
      <c r="BBC2">
        <v>3393</v>
      </c>
      <c r="BBD2">
        <v>3666</v>
      </c>
      <c r="BBE2">
        <v>3597</v>
      </c>
      <c r="BBF2">
        <v>3395</v>
      </c>
      <c r="BBG2">
        <v>3239</v>
      </c>
      <c r="BBH2">
        <v>3234</v>
      </c>
      <c r="BBI2">
        <v>3550</v>
      </c>
      <c r="BBJ2">
        <v>3031</v>
      </c>
      <c r="BBK2">
        <v>3579</v>
      </c>
      <c r="BBL2">
        <v>3579</v>
      </c>
      <c r="BBM2">
        <v>3691</v>
      </c>
      <c r="BBN2">
        <v>3691</v>
      </c>
      <c r="BBO2">
        <v>3979</v>
      </c>
      <c r="BBP2">
        <v>3434</v>
      </c>
      <c r="BBQ2">
        <v>3129</v>
      </c>
      <c r="BBR2">
        <v>3660</v>
      </c>
      <c r="BBS2">
        <v>3723</v>
      </c>
      <c r="BBT2">
        <v>3101</v>
      </c>
      <c r="BBU2">
        <v>3102</v>
      </c>
      <c r="BBV2">
        <v>3390</v>
      </c>
      <c r="BBW2">
        <v>3173</v>
      </c>
      <c r="BBX2">
        <v>3631</v>
      </c>
      <c r="BBY2">
        <v>3631</v>
      </c>
      <c r="BBZ2">
        <v>3631</v>
      </c>
      <c r="BCA2">
        <v>3418</v>
      </c>
      <c r="BCB2">
        <v>3691</v>
      </c>
      <c r="BCC2">
        <v>3995</v>
      </c>
      <c r="BCD2">
        <v>3312</v>
      </c>
      <c r="BCE2">
        <v>3283</v>
      </c>
      <c r="BCF2">
        <v>3678</v>
      </c>
      <c r="BCG2">
        <v>3717</v>
      </c>
      <c r="BCH2">
        <v>3851</v>
      </c>
      <c r="BCI2">
        <v>3764</v>
      </c>
      <c r="BCJ2">
        <v>3764</v>
      </c>
      <c r="BCK2">
        <v>3137</v>
      </c>
      <c r="BCL2">
        <v>3137</v>
      </c>
      <c r="BCM2">
        <v>3551</v>
      </c>
      <c r="BCN2">
        <v>3678</v>
      </c>
      <c r="BCO2">
        <v>3763</v>
      </c>
      <c r="BCP2">
        <v>3757</v>
      </c>
      <c r="BCQ2">
        <v>3757</v>
      </c>
      <c r="BCR2">
        <v>3517</v>
      </c>
      <c r="BCS2">
        <v>3021</v>
      </c>
      <c r="BCT2">
        <v>3083</v>
      </c>
      <c r="BCU2">
        <v>3364</v>
      </c>
      <c r="BCV2">
        <v>3012</v>
      </c>
      <c r="BCW2">
        <v>3483</v>
      </c>
      <c r="BCX2">
        <v>3520</v>
      </c>
      <c r="BCY2">
        <v>3283</v>
      </c>
      <c r="BCZ2">
        <v>3608</v>
      </c>
      <c r="BDA2">
        <v>3666</v>
      </c>
      <c r="BDB2">
        <v>3286</v>
      </c>
      <c r="BDC2">
        <v>3723</v>
      </c>
      <c r="BDD2">
        <v>3523</v>
      </c>
      <c r="BDE2">
        <v>3152</v>
      </c>
      <c r="BDF2">
        <v>3180</v>
      </c>
      <c r="BDG2">
        <v>3260</v>
      </c>
      <c r="BDH2">
        <v>3704</v>
      </c>
      <c r="BDI2">
        <v>3265</v>
      </c>
      <c r="BDJ2">
        <v>3951</v>
      </c>
      <c r="BDK2">
        <v>3315</v>
      </c>
      <c r="BDL2">
        <v>3981</v>
      </c>
      <c r="BDM2">
        <v>3981</v>
      </c>
      <c r="BDN2">
        <v>3597</v>
      </c>
      <c r="BDO2">
        <v>3669</v>
      </c>
      <c r="BDP2">
        <v>3580</v>
      </c>
      <c r="BDQ2">
        <v>3644</v>
      </c>
      <c r="BDR2">
        <v>3954</v>
      </c>
      <c r="BDS2">
        <v>3477</v>
      </c>
      <c r="BDT2">
        <v>3501</v>
      </c>
      <c r="BDU2">
        <v>3844</v>
      </c>
      <c r="BDV2">
        <v>3364</v>
      </c>
      <c r="BDW2">
        <v>3860</v>
      </c>
      <c r="BDX2">
        <v>3953</v>
      </c>
      <c r="BDY2">
        <v>3144</v>
      </c>
      <c r="BDZ2">
        <v>3714</v>
      </c>
      <c r="BEA2">
        <v>3341</v>
      </c>
      <c r="BEB2">
        <v>3282</v>
      </c>
      <c r="BEC2">
        <v>3520</v>
      </c>
      <c r="BED2">
        <v>3579</v>
      </c>
      <c r="BEE2">
        <v>3950</v>
      </c>
      <c r="BEF2">
        <v>3950</v>
      </c>
      <c r="BEG2">
        <v>3461</v>
      </c>
      <c r="BEH2">
        <v>3565</v>
      </c>
      <c r="BEI2">
        <v>3638</v>
      </c>
      <c r="BEJ2">
        <v>3622</v>
      </c>
      <c r="BEK2">
        <v>3945</v>
      </c>
      <c r="BEL2">
        <v>3490</v>
      </c>
      <c r="BEM2">
        <v>3585</v>
      </c>
      <c r="BEN2">
        <v>3930</v>
      </c>
      <c r="BEO2">
        <v>3518</v>
      </c>
      <c r="BEP2">
        <v>3518</v>
      </c>
      <c r="BEQ2">
        <v>3517</v>
      </c>
      <c r="BER2">
        <v>3337</v>
      </c>
      <c r="BES2">
        <v>3620</v>
      </c>
      <c r="BET2">
        <v>3620</v>
      </c>
      <c r="BEU2">
        <v>3444</v>
      </c>
      <c r="BEV2">
        <v>3444</v>
      </c>
      <c r="BEW2">
        <v>3621</v>
      </c>
      <c r="BEX2">
        <v>3083</v>
      </c>
      <c r="BEY2">
        <v>3463</v>
      </c>
      <c r="BEZ2">
        <v>3265</v>
      </c>
      <c r="BFA2">
        <v>3816</v>
      </c>
      <c r="BFB2">
        <v>3130</v>
      </c>
      <c r="BFC2">
        <v>3678</v>
      </c>
      <c r="BFD2">
        <v>3523</v>
      </c>
      <c r="BFE2">
        <v>3480</v>
      </c>
      <c r="BFF2">
        <v>3480</v>
      </c>
      <c r="BFG2">
        <v>3480</v>
      </c>
      <c r="BFH2">
        <v>3393</v>
      </c>
      <c r="BFI2">
        <v>3401</v>
      </c>
      <c r="BFJ2">
        <v>3584</v>
      </c>
      <c r="BFK2">
        <v>3351</v>
      </c>
      <c r="BFL2">
        <v>3909</v>
      </c>
      <c r="BFM2">
        <v>3581</v>
      </c>
      <c r="BFN2">
        <v>3303</v>
      </c>
      <c r="BFO2">
        <v>3713</v>
      </c>
      <c r="BFP2">
        <v>3551</v>
      </c>
      <c r="BFQ2">
        <v>3381</v>
      </c>
      <c r="BFR2">
        <v>3355</v>
      </c>
      <c r="BFS2">
        <v>3373</v>
      </c>
      <c r="BFT2">
        <v>3691</v>
      </c>
      <c r="BFU2">
        <v>3381</v>
      </c>
      <c r="BFV2">
        <v>3525</v>
      </c>
      <c r="BFW2">
        <v>3579</v>
      </c>
      <c r="BFX2">
        <v>3312</v>
      </c>
      <c r="BFY2">
        <v>3597</v>
      </c>
      <c r="BFZ2">
        <v>3727</v>
      </c>
      <c r="BGA2">
        <v>3887</v>
      </c>
      <c r="BGB2">
        <v>3909</v>
      </c>
      <c r="BGC2">
        <v>3533</v>
      </c>
      <c r="BGD2">
        <v>3851</v>
      </c>
      <c r="BGE2">
        <v>3350</v>
      </c>
      <c r="BGF2">
        <v>3373</v>
      </c>
      <c r="BGG2">
        <v>3909</v>
      </c>
      <c r="BGH2">
        <v>3352</v>
      </c>
      <c r="BGI2">
        <v>3644</v>
      </c>
      <c r="BGJ2">
        <v>3542</v>
      </c>
      <c r="BGK2">
        <v>3075</v>
      </c>
      <c r="BGL2">
        <v>3352</v>
      </c>
      <c r="BGM2">
        <v>3620</v>
      </c>
      <c r="BGN2">
        <v>3995</v>
      </c>
      <c r="BGO2">
        <v>3435</v>
      </c>
      <c r="BGP2">
        <v>3384</v>
      </c>
      <c r="BGQ2">
        <v>3384</v>
      </c>
      <c r="BGR2">
        <v>3984</v>
      </c>
      <c r="BGS2">
        <v>3984</v>
      </c>
      <c r="BGT2">
        <v>3363</v>
      </c>
      <c r="BGU2">
        <v>3352</v>
      </c>
      <c r="BGV2">
        <v>3377</v>
      </c>
      <c r="BGW2">
        <v>3318</v>
      </c>
      <c r="BGX2">
        <v>3444</v>
      </c>
      <c r="BGY2">
        <v>3971</v>
      </c>
      <c r="BGZ2">
        <v>3910</v>
      </c>
      <c r="BHA2">
        <v>3911</v>
      </c>
      <c r="BHB2">
        <v>3555</v>
      </c>
      <c r="BHC2">
        <v>3212</v>
      </c>
      <c r="BHD2">
        <v>3821</v>
      </c>
      <c r="BHE2">
        <v>3249</v>
      </c>
      <c r="BHF2">
        <v>3325</v>
      </c>
      <c r="BHG2">
        <v>3487</v>
      </c>
      <c r="BHH2">
        <v>3139</v>
      </c>
      <c r="BHI2">
        <v>3444</v>
      </c>
      <c r="BHJ2">
        <v>3238</v>
      </c>
      <c r="BHK2">
        <v>3028</v>
      </c>
      <c r="BHL2">
        <v>3026</v>
      </c>
      <c r="BHM2">
        <v>3480</v>
      </c>
      <c r="BHN2">
        <v>3418</v>
      </c>
      <c r="BHO2">
        <v>3364</v>
      </c>
      <c r="BHP2">
        <v>3537</v>
      </c>
      <c r="BHQ2">
        <v>3352</v>
      </c>
      <c r="BHR2">
        <v>3385</v>
      </c>
      <c r="BHS2">
        <v>3516</v>
      </c>
      <c r="BHT2">
        <v>3352</v>
      </c>
      <c r="BHU2">
        <v>3567</v>
      </c>
      <c r="BHV2">
        <v>3631</v>
      </c>
      <c r="BHW2">
        <v>3691</v>
      </c>
      <c r="BHX2">
        <v>3461</v>
      </c>
      <c r="BHY2">
        <v>3953</v>
      </c>
      <c r="BHZ2">
        <v>3953</v>
      </c>
      <c r="BIA2">
        <v>3953</v>
      </c>
      <c r="BIB2">
        <v>3224</v>
      </c>
      <c r="BIC2">
        <v>3458</v>
      </c>
      <c r="BID2">
        <v>3260</v>
      </c>
      <c r="BIE2">
        <v>3332</v>
      </c>
      <c r="BIF2">
        <v>3352</v>
      </c>
      <c r="BIG2">
        <v>3858</v>
      </c>
      <c r="BIH2">
        <v>3858</v>
      </c>
      <c r="BII2">
        <v>3820</v>
      </c>
      <c r="BIJ2">
        <v>3371</v>
      </c>
      <c r="BIK2">
        <v>3420</v>
      </c>
      <c r="BIL2">
        <v>3682</v>
      </c>
      <c r="BIM2">
        <v>3140</v>
      </c>
      <c r="BIN2">
        <v>3673</v>
      </c>
      <c r="BIO2">
        <v>3673</v>
      </c>
      <c r="BIP2">
        <v>3673</v>
      </c>
      <c r="BIQ2">
        <v>3717</v>
      </c>
      <c r="BIR2">
        <v>3865</v>
      </c>
      <c r="BIS2">
        <v>3875</v>
      </c>
      <c r="BIT2">
        <v>3312</v>
      </c>
      <c r="BIU2">
        <v>3496</v>
      </c>
      <c r="BIV2">
        <v>3509</v>
      </c>
      <c r="BIW2">
        <v>3360</v>
      </c>
      <c r="BIX2">
        <v>3549</v>
      </c>
      <c r="BIY2">
        <v>3324</v>
      </c>
      <c r="BIZ2">
        <v>3480</v>
      </c>
      <c r="BJA2">
        <v>3418</v>
      </c>
      <c r="BJB2">
        <v>3458</v>
      </c>
      <c r="BJC2">
        <v>3211</v>
      </c>
      <c r="BJD2">
        <v>3551</v>
      </c>
      <c r="BJE2">
        <v>3862</v>
      </c>
      <c r="BJF2">
        <v>3945</v>
      </c>
      <c r="BJG2">
        <v>3851</v>
      </c>
      <c r="BJH2">
        <v>3833</v>
      </c>
      <c r="BJI2">
        <v>3563</v>
      </c>
      <c r="BJJ2">
        <v>3665</v>
      </c>
      <c r="BJK2">
        <v>3551</v>
      </c>
      <c r="BJL2">
        <v>3551</v>
      </c>
      <c r="BJM2">
        <v>3575</v>
      </c>
      <c r="BJN2">
        <v>3475</v>
      </c>
      <c r="BJO2">
        <v>3678</v>
      </c>
      <c r="BJP2">
        <v>3340</v>
      </c>
      <c r="BJQ2">
        <v>3550</v>
      </c>
      <c r="BJR2">
        <v>3401</v>
      </c>
      <c r="BJS2">
        <v>3851</v>
      </c>
      <c r="BJT2">
        <v>3551</v>
      </c>
      <c r="BJU2">
        <v>3816</v>
      </c>
      <c r="BJV2">
        <v>3816</v>
      </c>
      <c r="BJW2">
        <v>3665</v>
      </c>
      <c r="BJX2">
        <v>3666</v>
      </c>
      <c r="BJY2">
        <v>3232</v>
      </c>
      <c r="BJZ2">
        <v>3418</v>
      </c>
      <c r="BKA2">
        <v>3213</v>
      </c>
      <c r="BKB2">
        <v>3639</v>
      </c>
      <c r="BKC2">
        <v>3401</v>
      </c>
      <c r="BKD2">
        <v>3093</v>
      </c>
      <c r="BKE2">
        <v>3844</v>
      </c>
      <c r="BKF2">
        <v>3385</v>
      </c>
      <c r="BKG2">
        <v>3350</v>
      </c>
      <c r="BKH2">
        <v>3875</v>
      </c>
      <c r="BKI2">
        <v>3691</v>
      </c>
      <c r="BKJ2">
        <v>3673</v>
      </c>
      <c r="BKK2">
        <v>3444</v>
      </c>
      <c r="BKL2">
        <v>3975</v>
      </c>
      <c r="BKM2">
        <v>3975</v>
      </c>
      <c r="BKN2">
        <v>3304</v>
      </c>
      <c r="BKO2">
        <v>3461</v>
      </c>
      <c r="BKP2">
        <v>3156</v>
      </c>
      <c r="BKQ2">
        <v>3156</v>
      </c>
      <c r="BKR2">
        <v>3286</v>
      </c>
      <c r="BKS2">
        <v>3782</v>
      </c>
      <c r="BKT2">
        <v>3440</v>
      </c>
      <c r="BKU2">
        <v>3971</v>
      </c>
      <c r="BKV2">
        <v>3085</v>
      </c>
      <c r="BKW2">
        <v>3085</v>
      </c>
      <c r="BKX2">
        <v>3579</v>
      </c>
      <c r="BKY2">
        <v>3568</v>
      </c>
      <c r="BKZ2">
        <v>3723</v>
      </c>
      <c r="BLA2">
        <v>3971</v>
      </c>
      <c r="BLB2">
        <v>3340</v>
      </c>
      <c r="BLC2">
        <v>3379</v>
      </c>
      <c r="BLD2">
        <v>3860</v>
      </c>
      <c r="BLE2">
        <v>3859</v>
      </c>
      <c r="BLF2">
        <v>3352</v>
      </c>
      <c r="BLG2">
        <v>3551</v>
      </c>
      <c r="BLH2">
        <v>3012</v>
      </c>
      <c r="BLI2">
        <v>3275</v>
      </c>
      <c r="BLJ2">
        <v>3373</v>
      </c>
      <c r="BLK2">
        <v>3928</v>
      </c>
      <c r="BLL2">
        <v>3723</v>
      </c>
      <c r="BLM2">
        <v>3714</v>
      </c>
      <c r="BLN2">
        <v>3725</v>
      </c>
      <c r="BLO2">
        <v>3465</v>
      </c>
      <c r="BLP2">
        <v>3463</v>
      </c>
      <c r="BLQ2">
        <v>3892</v>
      </c>
      <c r="BLR2">
        <v>3446</v>
      </c>
      <c r="BLS2">
        <v>3144</v>
      </c>
      <c r="BLT2">
        <v>3145</v>
      </c>
      <c r="BLU2">
        <v>3144</v>
      </c>
      <c r="BLV2">
        <v>3024</v>
      </c>
      <c r="BLW2">
        <v>3546</v>
      </c>
      <c r="BLX2">
        <v>3551</v>
      </c>
      <c r="BLY2">
        <v>3551</v>
      </c>
      <c r="BLZ2">
        <v>3663</v>
      </c>
      <c r="BMA2">
        <v>3218</v>
      </c>
      <c r="BMB2">
        <v>3222</v>
      </c>
      <c r="BMC2">
        <v>3360</v>
      </c>
      <c r="BMD2">
        <v>3971</v>
      </c>
      <c r="BME2">
        <v>3024</v>
      </c>
      <c r="BMF2">
        <v>3889</v>
      </c>
      <c r="BMG2">
        <v>3722</v>
      </c>
      <c r="BMH2">
        <v>3891</v>
      </c>
      <c r="BMI2">
        <v>3222</v>
      </c>
      <c r="BMJ2">
        <v>3953</v>
      </c>
      <c r="BMK2">
        <v>3233</v>
      </c>
      <c r="BML2">
        <v>3032</v>
      </c>
      <c r="BMM2">
        <v>3634</v>
      </c>
      <c r="BMN2">
        <v>3678</v>
      </c>
      <c r="BMO2">
        <v>3483</v>
      </c>
      <c r="BMP2">
        <v>3888</v>
      </c>
      <c r="BMQ2">
        <v>3387</v>
      </c>
      <c r="BMR2">
        <v>3477</v>
      </c>
      <c r="BMS2">
        <v>3387</v>
      </c>
      <c r="BMT2">
        <v>3515</v>
      </c>
      <c r="BMU2">
        <v>3377</v>
      </c>
      <c r="BMV2">
        <v>3669</v>
      </c>
      <c r="BMW2">
        <v>3216</v>
      </c>
      <c r="BMX2">
        <v>3875</v>
      </c>
      <c r="BMY2">
        <v>3634</v>
      </c>
      <c r="BMZ2">
        <v>3465</v>
      </c>
      <c r="BNA2">
        <v>3812</v>
      </c>
      <c r="BNB2">
        <v>3779</v>
      </c>
      <c r="BNC2">
        <v>3840</v>
      </c>
      <c r="BND2">
        <v>3482</v>
      </c>
      <c r="BNE2">
        <v>3723</v>
      </c>
      <c r="BNF2">
        <v>3331</v>
      </c>
      <c r="BNG2">
        <v>3938</v>
      </c>
      <c r="BNH2">
        <v>3472</v>
      </c>
      <c r="BNI2">
        <v>3401</v>
      </c>
      <c r="BNJ2">
        <v>3451</v>
      </c>
      <c r="BNK2">
        <v>3204</v>
      </c>
      <c r="BNL2">
        <v>3874</v>
      </c>
      <c r="BNM2">
        <v>3799</v>
      </c>
      <c r="BNN2">
        <v>3568</v>
      </c>
      <c r="BNO2">
        <v>3568</v>
      </c>
      <c r="BNP2">
        <v>3678</v>
      </c>
      <c r="BNQ2">
        <v>3048</v>
      </c>
      <c r="BNR2">
        <v>3585</v>
      </c>
      <c r="BNS2">
        <v>3478</v>
      </c>
      <c r="BNT2">
        <v>3956</v>
      </c>
      <c r="BNU2">
        <v>3579</v>
      </c>
      <c r="BNV2">
        <v>3862</v>
      </c>
      <c r="BNW2">
        <v>3000</v>
      </c>
      <c r="BNX2">
        <v>3045</v>
      </c>
      <c r="BNY2">
        <v>3052</v>
      </c>
      <c r="BNZ2">
        <v>3337</v>
      </c>
      <c r="BOA2">
        <v>3338</v>
      </c>
      <c r="BOB2">
        <v>3337</v>
      </c>
      <c r="BOC2">
        <v>3315</v>
      </c>
      <c r="BOD2">
        <v>3875</v>
      </c>
      <c r="BOE2">
        <v>3373</v>
      </c>
      <c r="BOF2">
        <v>3194</v>
      </c>
      <c r="BOG2">
        <v>3194</v>
      </c>
      <c r="BOH2">
        <v>3159</v>
      </c>
      <c r="BOI2">
        <v>3277</v>
      </c>
      <c r="BOJ2">
        <v>3277</v>
      </c>
      <c r="BOK2">
        <v>3277</v>
      </c>
      <c r="BOL2">
        <v>3505</v>
      </c>
      <c r="BOM2">
        <v>3505</v>
      </c>
      <c r="BON2">
        <v>3505</v>
      </c>
      <c r="BOO2">
        <v>3333</v>
      </c>
      <c r="BOP2">
        <v>3496</v>
      </c>
      <c r="BOQ2">
        <v>3310</v>
      </c>
      <c r="BOR2">
        <v>3058</v>
      </c>
      <c r="BOS2">
        <v>3754</v>
      </c>
      <c r="BOT2">
        <v>3737</v>
      </c>
      <c r="BOU2">
        <v>3737</v>
      </c>
      <c r="BOV2">
        <v>3916</v>
      </c>
      <c r="BOW2">
        <v>3926</v>
      </c>
      <c r="BOX2">
        <v>3926</v>
      </c>
      <c r="BOY2">
        <v>3618</v>
      </c>
      <c r="BOZ2">
        <v>3723</v>
      </c>
      <c r="BPA2">
        <v>3340</v>
      </c>
      <c r="BPB2">
        <v>3496</v>
      </c>
      <c r="BPC2">
        <v>3715</v>
      </c>
      <c r="BPD2">
        <v>3448</v>
      </c>
      <c r="BPE2">
        <v>3444</v>
      </c>
      <c r="BPF2">
        <v>3904</v>
      </c>
      <c r="BPG2">
        <v>3444</v>
      </c>
      <c r="BPH2">
        <v>3064</v>
      </c>
      <c r="BPI2">
        <v>3124</v>
      </c>
      <c r="BPJ2">
        <v>3375</v>
      </c>
      <c r="BPK2">
        <v>3206</v>
      </c>
      <c r="BPL2">
        <v>3956</v>
      </c>
      <c r="BPM2">
        <v>3666</v>
      </c>
      <c r="BPN2">
        <v>3409</v>
      </c>
      <c r="BPO2">
        <v>3678</v>
      </c>
      <c r="BPP2">
        <v>3500</v>
      </c>
      <c r="BPQ2">
        <v>3501</v>
      </c>
      <c r="BPR2">
        <v>3501</v>
      </c>
      <c r="BPS2">
        <v>3500</v>
      </c>
      <c r="BPT2">
        <v>3082</v>
      </c>
      <c r="BPU2">
        <v>3352</v>
      </c>
      <c r="BPV2">
        <v>3799</v>
      </c>
      <c r="BPW2">
        <v>3572</v>
      </c>
      <c r="BPX2">
        <v>3304</v>
      </c>
      <c r="BPY2">
        <v>3579</v>
      </c>
      <c r="BPZ2">
        <v>3575</v>
      </c>
      <c r="BQA2">
        <v>3568</v>
      </c>
      <c r="BQB2">
        <v>3352</v>
      </c>
      <c r="BQC2">
        <v>3324</v>
      </c>
      <c r="BQD2">
        <v>3287</v>
      </c>
      <c r="BQE2">
        <v>3413</v>
      </c>
      <c r="BQF2">
        <v>3351</v>
      </c>
      <c r="BQG2">
        <v>3276</v>
      </c>
      <c r="BQH2">
        <v>3537</v>
      </c>
      <c r="BQI2">
        <v>3392</v>
      </c>
      <c r="BQJ2">
        <v>3862</v>
      </c>
      <c r="BQK2">
        <v>3596</v>
      </c>
      <c r="BQL2">
        <v>3415</v>
      </c>
      <c r="BQM2">
        <v>3871</v>
      </c>
      <c r="BQN2">
        <v>3871</v>
      </c>
      <c r="BQO2">
        <v>3722</v>
      </c>
      <c r="BQP2">
        <v>3294</v>
      </c>
      <c r="BQQ2">
        <v>3132</v>
      </c>
      <c r="BQR2">
        <v>3132</v>
      </c>
      <c r="BQS2">
        <v>3355</v>
      </c>
      <c r="BQT2">
        <v>3608</v>
      </c>
      <c r="BQU2">
        <v>3573</v>
      </c>
      <c r="BQV2">
        <v>3409</v>
      </c>
      <c r="BQW2">
        <v>3701</v>
      </c>
      <c r="BQX2">
        <v>3490</v>
      </c>
      <c r="BQY2">
        <v>3401</v>
      </c>
      <c r="BQZ2">
        <v>3816</v>
      </c>
      <c r="BRA2">
        <v>3240</v>
      </c>
      <c r="BRB2">
        <v>3825</v>
      </c>
      <c r="BRC2">
        <v>3825</v>
      </c>
      <c r="BRD2">
        <v>3231</v>
      </c>
      <c r="BRE2">
        <v>3666</v>
      </c>
      <c r="BRF2">
        <v>3381</v>
      </c>
      <c r="BRG2">
        <v>3718</v>
      </c>
      <c r="BRH2">
        <v>3472</v>
      </c>
      <c r="BRI2">
        <v>3666</v>
      </c>
      <c r="BRJ2">
        <v>3352</v>
      </c>
      <c r="BRK2">
        <v>3575</v>
      </c>
      <c r="BRL2">
        <v>3673</v>
      </c>
      <c r="BRM2">
        <v>3793</v>
      </c>
      <c r="BRN2">
        <v>3433</v>
      </c>
      <c r="BRO2">
        <v>3691</v>
      </c>
      <c r="BRP2">
        <v>3860</v>
      </c>
      <c r="BRQ2">
        <v>3984</v>
      </c>
      <c r="BRR2">
        <v>3127</v>
      </c>
      <c r="BRS2">
        <v>3129</v>
      </c>
      <c r="BRT2">
        <v>3851</v>
      </c>
      <c r="BRU2">
        <v>3094</v>
      </c>
      <c r="BRV2">
        <v>3765</v>
      </c>
      <c r="BRW2">
        <v>3224</v>
      </c>
      <c r="BRX2">
        <v>3477</v>
      </c>
      <c r="BRY2">
        <v>3465</v>
      </c>
      <c r="BRZ2">
        <v>3478</v>
      </c>
      <c r="BSA2">
        <v>3825</v>
      </c>
      <c r="BSB2">
        <v>3039</v>
      </c>
      <c r="BSC2">
        <v>3055</v>
      </c>
      <c r="BSD2">
        <v>3450</v>
      </c>
      <c r="BSE2">
        <v>3612</v>
      </c>
      <c r="BSF2">
        <v>3189</v>
      </c>
      <c r="BSG2">
        <v>3194</v>
      </c>
      <c r="BSH2">
        <v>3189</v>
      </c>
      <c r="BSI2">
        <v>3213</v>
      </c>
      <c r="BSJ2">
        <v>3314</v>
      </c>
      <c r="BSK2">
        <v>3610</v>
      </c>
      <c r="BSL2">
        <v>3523</v>
      </c>
      <c r="BSM2">
        <v>3862</v>
      </c>
      <c r="BSN2">
        <v>3673</v>
      </c>
      <c r="BSO2">
        <v>3933</v>
      </c>
      <c r="BSP2">
        <v>3138</v>
      </c>
      <c r="BSQ2">
        <v>3629</v>
      </c>
      <c r="BSR2">
        <v>3629</v>
      </c>
      <c r="BSS2">
        <v>3616</v>
      </c>
      <c r="BST2">
        <v>3764</v>
      </c>
      <c r="BSU2">
        <v>3195</v>
      </c>
      <c r="BSV2">
        <v>3058</v>
      </c>
      <c r="BSW2">
        <v>3055</v>
      </c>
      <c r="BSX2">
        <v>3301</v>
      </c>
      <c r="BSY2">
        <v>3240</v>
      </c>
      <c r="BSZ2">
        <v>3931</v>
      </c>
      <c r="BTA2">
        <v>3860</v>
      </c>
      <c r="BTB2">
        <v>3334</v>
      </c>
      <c r="BTC2">
        <v>3387</v>
      </c>
      <c r="BTD2">
        <v>3272</v>
      </c>
      <c r="BTE2">
        <v>3482</v>
      </c>
      <c r="BTF2">
        <v>3840</v>
      </c>
      <c r="BTG2">
        <v>3885</v>
      </c>
      <c r="BTH2">
        <v>3709</v>
      </c>
      <c r="BTI2">
        <v>3699</v>
      </c>
      <c r="BTJ2">
        <v>3363</v>
      </c>
      <c r="BTK2">
        <v>3960</v>
      </c>
      <c r="BTL2">
        <v>3352</v>
      </c>
      <c r="BTM2">
        <v>3675</v>
      </c>
      <c r="BTN2">
        <v>3740</v>
      </c>
      <c r="BTO2">
        <v>3723</v>
      </c>
      <c r="BTP2">
        <v>3781</v>
      </c>
      <c r="BTQ2">
        <v>3324</v>
      </c>
      <c r="BTR2">
        <v>3523</v>
      </c>
      <c r="BTS2">
        <v>3370</v>
      </c>
      <c r="BTT2">
        <v>3350</v>
      </c>
      <c r="BTU2">
        <v>3377</v>
      </c>
      <c r="BTV2">
        <v>3377</v>
      </c>
      <c r="BTW2">
        <v>3024</v>
      </c>
      <c r="BTX2">
        <v>3767</v>
      </c>
      <c r="BTY2">
        <v>3334</v>
      </c>
      <c r="BTZ2">
        <v>3381</v>
      </c>
      <c r="BUA2">
        <v>3217</v>
      </c>
      <c r="BUB2">
        <v>3953</v>
      </c>
      <c r="BUC2">
        <v>3953</v>
      </c>
      <c r="BUD2">
        <v>3352</v>
      </c>
      <c r="BUE2">
        <v>3930</v>
      </c>
      <c r="BUF2">
        <v>3351</v>
      </c>
      <c r="BUG2">
        <v>3796</v>
      </c>
      <c r="BUH2">
        <v>3461</v>
      </c>
      <c r="BUI2">
        <v>3371</v>
      </c>
      <c r="BUJ2">
        <v>3350</v>
      </c>
      <c r="BUK2">
        <v>3472</v>
      </c>
      <c r="BUL2">
        <v>3471</v>
      </c>
      <c r="BUM2">
        <v>3468</v>
      </c>
      <c r="BUN2">
        <v>3441</v>
      </c>
      <c r="BUO2">
        <v>3646</v>
      </c>
      <c r="BUP2">
        <v>3934</v>
      </c>
      <c r="BUQ2">
        <v>3352</v>
      </c>
      <c r="BUR2">
        <v>3240</v>
      </c>
      <c r="BUS2">
        <v>3301</v>
      </c>
      <c r="BUT2">
        <v>3350</v>
      </c>
      <c r="BUU2">
        <v>3364</v>
      </c>
      <c r="BUV2">
        <v>3305</v>
      </c>
      <c r="BUW2">
        <v>3352</v>
      </c>
      <c r="BUX2">
        <v>3236</v>
      </c>
      <c r="BUY2">
        <v>3844</v>
      </c>
      <c r="BUZ2">
        <v>3875</v>
      </c>
      <c r="BVA2">
        <v>3777</v>
      </c>
      <c r="BVB2">
        <v>3342</v>
      </c>
      <c r="BVC2">
        <v>3149</v>
      </c>
      <c r="BVD2">
        <v>3723</v>
      </c>
      <c r="BVE2">
        <v>3156</v>
      </c>
      <c r="BVF2">
        <v>3988</v>
      </c>
      <c r="BVG2">
        <v>3294</v>
      </c>
      <c r="BVH2">
        <v>3951</v>
      </c>
      <c r="BVI2">
        <v>3732</v>
      </c>
      <c r="BVJ2">
        <v>3477</v>
      </c>
      <c r="BVK2">
        <v>3377</v>
      </c>
      <c r="BVL2">
        <v>3644</v>
      </c>
      <c r="BVM2">
        <v>3451</v>
      </c>
      <c r="BVN2">
        <v>3462</v>
      </c>
      <c r="BVO2">
        <v>3737</v>
      </c>
      <c r="BVP2">
        <v>3170</v>
      </c>
      <c r="BVQ2">
        <v>3304</v>
      </c>
      <c r="BVR2">
        <v>3635</v>
      </c>
      <c r="BVS2">
        <v>3862</v>
      </c>
      <c r="BVT2">
        <v>3315</v>
      </c>
      <c r="BVU2">
        <v>3610</v>
      </c>
      <c r="BVV2">
        <v>3610</v>
      </c>
      <c r="BVW2">
        <v>3610</v>
      </c>
      <c r="BVX2">
        <v>3218</v>
      </c>
      <c r="BVY2">
        <v>3747</v>
      </c>
      <c r="BVZ2">
        <v>3544</v>
      </c>
      <c r="BWA2">
        <v>3551</v>
      </c>
      <c r="BWB2">
        <v>3401</v>
      </c>
      <c r="BWC2">
        <v>3579</v>
      </c>
      <c r="BWD2">
        <v>3579</v>
      </c>
      <c r="BWE2">
        <v>3586</v>
      </c>
      <c r="BWF2">
        <v>3490</v>
      </c>
      <c r="BWG2">
        <v>3586</v>
      </c>
      <c r="BWH2">
        <v>3512</v>
      </c>
      <c r="BWI2">
        <v>3885</v>
      </c>
      <c r="BWJ2">
        <v>3717</v>
      </c>
      <c r="BWK2">
        <v>3243</v>
      </c>
      <c r="BWL2">
        <v>3163</v>
      </c>
      <c r="BWM2">
        <v>3390</v>
      </c>
      <c r="BWN2">
        <v>3461</v>
      </c>
      <c r="BWO2">
        <v>3461</v>
      </c>
      <c r="BWP2">
        <v>3557</v>
      </c>
      <c r="BWQ2">
        <v>3533</v>
      </c>
      <c r="BWR2">
        <v>3304</v>
      </c>
      <c r="BWS2">
        <v>3556</v>
      </c>
      <c r="BWT2">
        <v>3551</v>
      </c>
      <c r="BWU2">
        <v>3341</v>
      </c>
      <c r="BWV2">
        <v>3732</v>
      </c>
      <c r="BWW2">
        <v>3551</v>
      </c>
      <c r="BWX2">
        <v>3851</v>
      </c>
      <c r="BWY2">
        <v>3737</v>
      </c>
      <c r="BWZ2">
        <v>3518</v>
      </c>
      <c r="BXA2">
        <v>3579</v>
      </c>
      <c r="BXB2">
        <v>3641</v>
      </c>
      <c r="BXC2">
        <v>3608</v>
      </c>
      <c r="BXD2">
        <v>3249</v>
      </c>
      <c r="BXE2">
        <v>3646</v>
      </c>
      <c r="BXF2">
        <v>3847</v>
      </c>
      <c r="BXG2">
        <v>3533</v>
      </c>
      <c r="BXH2">
        <v>3781</v>
      </c>
      <c r="BXI2">
        <v>3312</v>
      </c>
      <c r="BXJ2">
        <v>3494</v>
      </c>
      <c r="BXK2">
        <v>3561</v>
      </c>
      <c r="BXL2">
        <v>3860</v>
      </c>
      <c r="BXM2">
        <v>3352</v>
      </c>
      <c r="BXN2">
        <v>3812</v>
      </c>
      <c r="BXO2">
        <v>3812</v>
      </c>
      <c r="BXP2">
        <v>3778</v>
      </c>
      <c r="BXQ2">
        <v>3293</v>
      </c>
      <c r="BXR2">
        <v>3315</v>
      </c>
      <c r="BXS2">
        <v>3525</v>
      </c>
      <c r="BXT2">
        <v>3707</v>
      </c>
      <c r="BXU2">
        <v>3636</v>
      </c>
      <c r="BXV2">
        <v>3277</v>
      </c>
      <c r="BXW2">
        <v>3277</v>
      </c>
      <c r="BXX2">
        <v>3266</v>
      </c>
      <c r="BXY2">
        <v>3824</v>
      </c>
      <c r="BXZ2">
        <v>3483</v>
      </c>
      <c r="BYA2">
        <v>3293</v>
      </c>
      <c r="BYB2">
        <v>3285</v>
      </c>
      <c r="BYC2">
        <v>3805</v>
      </c>
      <c r="BYD2">
        <v>3804</v>
      </c>
      <c r="BYE2">
        <v>3804</v>
      </c>
      <c r="BYF2">
        <v>3805</v>
      </c>
      <c r="BYG2">
        <v>3597</v>
      </c>
      <c r="BYH2">
        <v>3638</v>
      </c>
      <c r="BYI2">
        <v>3409</v>
      </c>
      <c r="BYJ2">
        <v>3465</v>
      </c>
      <c r="BYK2">
        <v>3597</v>
      </c>
      <c r="BYL2">
        <v>3384</v>
      </c>
      <c r="BYM2">
        <v>3352</v>
      </c>
      <c r="BYN2">
        <v>3832</v>
      </c>
      <c r="BYO2">
        <v>3496</v>
      </c>
      <c r="BYP2">
        <v>3463</v>
      </c>
      <c r="BYQ2">
        <v>3831</v>
      </c>
      <c r="BYR2">
        <v>3831</v>
      </c>
      <c r="BYS2">
        <v>3832</v>
      </c>
      <c r="BYT2">
        <v>3832</v>
      </c>
      <c r="BYU2">
        <v>3831</v>
      </c>
      <c r="BYV2">
        <v>3570</v>
      </c>
      <c r="BYW2">
        <v>3699</v>
      </c>
      <c r="BYX2">
        <v>3292</v>
      </c>
      <c r="BYY2">
        <v>3953</v>
      </c>
      <c r="BYZ2">
        <v>3351</v>
      </c>
      <c r="BZA2">
        <v>3350</v>
      </c>
      <c r="BZB2">
        <v>3373</v>
      </c>
      <c r="BZC2">
        <v>3418</v>
      </c>
      <c r="BZD2">
        <v>3413</v>
      </c>
      <c r="BZE2">
        <v>3438</v>
      </c>
      <c r="BZF2">
        <v>3825</v>
      </c>
      <c r="BZG2">
        <v>3551</v>
      </c>
      <c r="BZH2">
        <v>3458</v>
      </c>
      <c r="BZI2">
        <v>3219</v>
      </c>
      <c r="BZJ2">
        <v>3268</v>
      </c>
      <c r="BZK2">
        <v>3442</v>
      </c>
      <c r="BZL2">
        <v>3925</v>
      </c>
      <c r="BZM2">
        <v>3350</v>
      </c>
      <c r="BZN2">
        <v>3875</v>
      </c>
      <c r="BZO2">
        <v>3364</v>
      </c>
      <c r="BZP2">
        <v>3364</v>
      </c>
      <c r="BZQ2">
        <v>3886</v>
      </c>
      <c r="BZR2">
        <v>3015</v>
      </c>
      <c r="BZS2">
        <v>3859</v>
      </c>
      <c r="BZT2">
        <v>3462</v>
      </c>
      <c r="BZU2">
        <v>3220</v>
      </c>
      <c r="BZV2">
        <v>3418</v>
      </c>
      <c r="BZW2">
        <v>3501</v>
      </c>
      <c r="BZX2">
        <v>3882</v>
      </c>
      <c r="BZY2">
        <v>3042</v>
      </c>
      <c r="BZZ2">
        <v>3042</v>
      </c>
      <c r="CAA2">
        <v>3821</v>
      </c>
      <c r="CAB2">
        <v>3821</v>
      </c>
      <c r="CAC2">
        <v>3533</v>
      </c>
      <c r="CAD2">
        <v>3518</v>
      </c>
      <c r="CAE2">
        <v>3351</v>
      </c>
      <c r="CAF2">
        <v>3527</v>
      </c>
      <c r="CAG2">
        <v>3268</v>
      </c>
      <c r="CAH2">
        <v>3268</v>
      </c>
      <c r="CAI2">
        <v>3268</v>
      </c>
      <c r="CAJ2">
        <v>3174</v>
      </c>
      <c r="CAK2">
        <v>3174</v>
      </c>
      <c r="CAL2">
        <v>3833</v>
      </c>
      <c r="CAM2">
        <v>3265</v>
      </c>
      <c r="CAN2">
        <v>3265</v>
      </c>
      <c r="CAO2">
        <v>3890</v>
      </c>
      <c r="CAP2">
        <v>3890</v>
      </c>
      <c r="CAQ2">
        <v>3409</v>
      </c>
      <c r="CAR2">
        <v>3214</v>
      </c>
      <c r="CAS2">
        <v>3579</v>
      </c>
      <c r="CAT2">
        <v>3682</v>
      </c>
      <c r="CAU2">
        <v>3550</v>
      </c>
      <c r="CAV2">
        <v>3458</v>
      </c>
      <c r="CAW2">
        <v>3215</v>
      </c>
      <c r="CAX2">
        <v>3051</v>
      </c>
      <c r="CAY2">
        <v>3187</v>
      </c>
      <c r="CAZ2">
        <v>3214</v>
      </c>
      <c r="CBA2">
        <v>3678</v>
      </c>
      <c r="CBB2">
        <v>3113</v>
      </c>
      <c r="CBC2">
        <v>3995</v>
      </c>
      <c r="CBD2">
        <v>3070</v>
      </c>
      <c r="CBE2">
        <v>3070</v>
      </c>
      <c r="CBF2">
        <v>3072</v>
      </c>
      <c r="CBG2">
        <v>3660</v>
      </c>
      <c r="CBH2">
        <v>3377</v>
      </c>
      <c r="CBI2">
        <v>3168</v>
      </c>
      <c r="CBJ2">
        <v>3887</v>
      </c>
      <c r="CBK2">
        <v>3469</v>
      </c>
      <c r="CBL2">
        <v>3585</v>
      </c>
      <c r="CBM2">
        <v>3737</v>
      </c>
      <c r="CBN2">
        <v>3463</v>
      </c>
      <c r="CBO2">
        <v>3435</v>
      </c>
      <c r="CBP2">
        <v>3268</v>
      </c>
      <c r="CBQ2">
        <v>3268</v>
      </c>
      <c r="CBR2">
        <v>3529</v>
      </c>
      <c r="CBS2">
        <v>3636</v>
      </c>
      <c r="CBT2">
        <v>3131</v>
      </c>
      <c r="CBU2">
        <v>3909</v>
      </c>
      <c r="CBV2">
        <v>3896</v>
      </c>
      <c r="CBW2">
        <v>3401</v>
      </c>
      <c r="CBX2">
        <v>3401</v>
      </c>
      <c r="CBY2">
        <v>3888</v>
      </c>
      <c r="CBZ2">
        <v>3099</v>
      </c>
      <c r="CCA2">
        <v>3594</v>
      </c>
      <c r="CCB2">
        <v>3595</v>
      </c>
      <c r="CCC2">
        <v>3533</v>
      </c>
      <c r="CCD2">
        <v>3909</v>
      </c>
      <c r="CCE2">
        <v>3987</v>
      </c>
      <c r="CCF2">
        <v>3585</v>
      </c>
      <c r="CCG2">
        <v>3046</v>
      </c>
      <c r="CCH2">
        <v>3063</v>
      </c>
      <c r="CCI2">
        <v>3166</v>
      </c>
      <c r="CCJ2">
        <v>3166</v>
      </c>
      <c r="CCK2">
        <v>3167</v>
      </c>
      <c r="CCL2">
        <v>3540</v>
      </c>
      <c r="CCM2">
        <v>3880</v>
      </c>
      <c r="CCN2">
        <v>3226</v>
      </c>
      <c r="CCO2">
        <v>3809</v>
      </c>
      <c r="CCP2">
        <v>3809</v>
      </c>
      <c r="CCQ2">
        <v>3701</v>
      </c>
      <c r="CCR2">
        <v>3788</v>
      </c>
      <c r="CCS2">
        <v>3241</v>
      </c>
      <c r="CCT2">
        <v>3898</v>
      </c>
      <c r="CCU2">
        <v>3898</v>
      </c>
      <c r="CCV2">
        <v>3249</v>
      </c>
      <c r="CCW2">
        <v>3888</v>
      </c>
      <c r="CCX2">
        <v>3284</v>
      </c>
      <c r="CCY2">
        <v>3204</v>
      </c>
      <c r="CCZ2">
        <v>3631</v>
      </c>
      <c r="CDA2">
        <v>3691</v>
      </c>
      <c r="CDB2">
        <v>3951</v>
      </c>
      <c r="CDC2">
        <v>3490</v>
      </c>
      <c r="CDD2">
        <v>3738</v>
      </c>
      <c r="CDE2">
        <v>3678</v>
      </c>
      <c r="CDF2">
        <v>3678</v>
      </c>
      <c r="CDG2">
        <v>3413</v>
      </c>
      <c r="CDH2">
        <v>3268</v>
      </c>
      <c r="CDI2">
        <v>3551</v>
      </c>
      <c r="CDJ2">
        <v>3810</v>
      </c>
      <c r="CDK2">
        <v>3810</v>
      </c>
      <c r="CDL2">
        <v>3810</v>
      </c>
      <c r="CDM2">
        <v>3512</v>
      </c>
      <c r="CDN2">
        <v>3265</v>
      </c>
      <c r="CDO2">
        <v>3759</v>
      </c>
      <c r="CDP2">
        <v>3477</v>
      </c>
      <c r="CDQ2">
        <v>3851</v>
      </c>
      <c r="CDR2">
        <v>3240</v>
      </c>
      <c r="CDS2">
        <v>3114</v>
      </c>
      <c r="CDT2">
        <v>3195</v>
      </c>
      <c r="CDU2">
        <v>3052</v>
      </c>
      <c r="CDV2">
        <v>3340</v>
      </c>
      <c r="CDW2">
        <v>3315</v>
      </c>
      <c r="CDX2">
        <v>3044</v>
      </c>
      <c r="CDY2">
        <v>3044</v>
      </c>
      <c r="CDZ2">
        <v>3444</v>
      </c>
      <c r="CEA2">
        <v>3444</v>
      </c>
      <c r="CEB2">
        <v>3491</v>
      </c>
      <c r="CEC2">
        <v>3564</v>
      </c>
      <c r="CED2">
        <v>3204</v>
      </c>
      <c r="CEE2">
        <v>3197</v>
      </c>
      <c r="CEF2">
        <v>3318</v>
      </c>
      <c r="CEG2">
        <v>3880</v>
      </c>
      <c r="CEH2">
        <v>3912</v>
      </c>
      <c r="CEI2">
        <v>3851</v>
      </c>
      <c r="CEJ2">
        <v>3678</v>
      </c>
      <c r="CEK2">
        <v>3678</v>
      </c>
      <c r="CEL2">
        <v>3727</v>
      </c>
      <c r="CEM2">
        <v>3235</v>
      </c>
      <c r="CEN2">
        <v>3289</v>
      </c>
      <c r="CEO2">
        <v>3586</v>
      </c>
      <c r="CEP2">
        <v>3341</v>
      </c>
      <c r="CEQ2">
        <v>3478</v>
      </c>
      <c r="CER2">
        <v>3413</v>
      </c>
      <c r="CES2">
        <v>3862</v>
      </c>
      <c r="CET2">
        <v>3270</v>
      </c>
      <c r="CEU2">
        <v>3233</v>
      </c>
      <c r="CEV2">
        <v>3757</v>
      </c>
      <c r="CEW2">
        <v>3597</v>
      </c>
      <c r="CEX2">
        <v>3572</v>
      </c>
      <c r="CEY2">
        <v>3639</v>
      </c>
      <c r="CEZ2">
        <v>3639</v>
      </c>
      <c r="CFA2">
        <v>3833</v>
      </c>
      <c r="CFB2">
        <v>3533</v>
      </c>
      <c r="CFC2">
        <v>3407</v>
      </c>
      <c r="CFD2">
        <v>3351</v>
      </c>
      <c r="CFE2">
        <v>3401</v>
      </c>
      <c r="CFF2">
        <v>3573</v>
      </c>
      <c r="CFG2">
        <v>3631</v>
      </c>
      <c r="CFH2">
        <v>3709</v>
      </c>
      <c r="CFI2">
        <v>3579</v>
      </c>
      <c r="CFJ2">
        <v>3200</v>
      </c>
      <c r="CFK2">
        <v>3149</v>
      </c>
      <c r="CFL2">
        <v>3984</v>
      </c>
      <c r="CFM2">
        <v>3444</v>
      </c>
      <c r="CFN2">
        <v>3585</v>
      </c>
      <c r="CFO2">
        <v>3723</v>
      </c>
      <c r="CFP2">
        <v>3249</v>
      </c>
      <c r="CFQ2">
        <v>3351</v>
      </c>
      <c r="CFR2">
        <v>3360</v>
      </c>
      <c r="CFS2">
        <v>3090</v>
      </c>
      <c r="CFT2">
        <v>3335</v>
      </c>
      <c r="CFU2">
        <v>3030</v>
      </c>
      <c r="CFV2">
        <v>3916</v>
      </c>
      <c r="CFW2">
        <v>3225</v>
      </c>
      <c r="CFX2">
        <v>3212</v>
      </c>
      <c r="CFY2">
        <v>3585</v>
      </c>
      <c r="CFZ2">
        <v>3260</v>
      </c>
      <c r="CGA2">
        <v>3249</v>
      </c>
      <c r="CGB2">
        <v>3260</v>
      </c>
      <c r="CGC2">
        <v>3381</v>
      </c>
      <c r="CGD2">
        <v>3571</v>
      </c>
      <c r="CGE2">
        <v>3312</v>
      </c>
      <c r="CGF2">
        <v>3352</v>
      </c>
      <c r="CGG2">
        <v>3988</v>
      </c>
      <c r="CGH2">
        <v>3988</v>
      </c>
      <c r="CGI2">
        <v>3988</v>
      </c>
      <c r="CGJ2">
        <v>3461</v>
      </c>
      <c r="CGK2">
        <v>3740</v>
      </c>
      <c r="CGL2">
        <v>3971</v>
      </c>
      <c r="CGM2">
        <v>3269</v>
      </c>
      <c r="CGN2">
        <v>3284</v>
      </c>
      <c r="CGO2">
        <v>3964</v>
      </c>
      <c r="CGP2">
        <v>3207</v>
      </c>
      <c r="CGQ2">
        <v>3965</v>
      </c>
      <c r="CGR2">
        <v>3223</v>
      </c>
      <c r="CGS2">
        <v>3305</v>
      </c>
      <c r="CGT2">
        <v>3305</v>
      </c>
      <c r="CGU2">
        <v>3305</v>
      </c>
      <c r="CGV2">
        <v>3944</v>
      </c>
      <c r="CGW2">
        <v>3996</v>
      </c>
      <c r="CGX2">
        <v>3797</v>
      </c>
      <c r="CGY2">
        <v>3312</v>
      </c>
      <c r="CGZ2">
        <v>3517</v>
      </c>
      <c r="CHA2">
        <v>3181</v>
      </c>
      <c r="CHB2">
        <v>3181</v>
      </c>
      <c r="CHC2">
        <v>3572</v>
      </c>
      <c r="CHD2">
        <v>3666</v>
      </c>
      <c r="CHE2">
        <v>3685</v>
      </c>
      <c r="CHF2">
        <v>3072</v>
      </c>
      <c r="CHG2">
        <v>3072</v>
      </c>
      <c r="CHH2">
        <v>3072</v>
      </c>
      <c r="CHI2">
        <v>3072</v>
      </c>
      <c r="CHJ2">
        <v>3054</v>
      </c>
      <c r="CHK2">
        <v>3269</v>
      </c>
      <c r="CHL2">
        <v>3662</v>
      </c>
      <c r="CHM2">
        <v>3271</v>
      </c>
      <c r="CHN2">
        <v>3289</v>
      </c>
      <c r="CHO2">
        <v>3278</v>
      </c>
      <c r="CHP2">
        <v>3278</v>
      </c>
      <c r="CHQ2">
        <v>3521</v>
      </c>
      <c r="CHR2">
        <v>3575</v>
      </c>
      <c r="CHS2">
        <v>3540</v>
      </c>
      <c r="CHT2">
        <v>3030</v>
      </c>
      <c r="CHU2">
        <v>3401</v>
      </c>
      <c r="CHV2">
        <v>3550</v>
      </c>
      <c r="CHW2">
        <v>3225</v>
      </c>
      <c r="CHX2">
        <v>3984</v>
      </c>
      <c r="CHY2">
        <v>3373</v>
      </c>
      <c r="CHZ2">
        <v>3424</v>
      </c>
      <c r="CIA2">
        <v>3951</v>
      </c>
      <c r="CIB2">
        <v>3132</v>
      </c>
      <c r="CIC2">
        <v>3465</v>
      </c>
      <c r="CID2">
        <v>3465</v>
      </c>
      <c r="CIE2">
        <v>3023</v>
      </c>
      <c r="CIF2">
        <v>3453</v>
      </c>
      <c r="CIG2">
        <v>3453</v>
      </c>
      <c r="CIH2">
        <v>3825</v>
      </c>
      <c r="CII2">
        <v>3880</v>
      </c>
      <c r="CIJ2">
        <v>3570</v>
      </c>
      <c r="CIK2">
        <v>3496</v>
      </c>
      <c r="CIL2">
        <v>3937</v>
      </c>
      <c r="CIM2">
        <v>3937</v>
      </c>
      <c r="CIN2">
        <v>3371</v>
      </c>
      <c r="CIO2">
        <v>3350</v>
      </c>
      <c r="CIP2">
        <v>3477</v>
      </c>
      <c r="CIQ2">
        <v>3523</v>
      </c>
      <c r="CIR2">
        <v>3444</v>
      </c>
      <c r="CIS2">
        <v>3658</v>
      </c>
      <c r="CIT2">
        <v>3395</v>
      </c>
      <c r="CIU2">
        <v>3895</v>
      </c>
      <c r="CIV2">
        <v>3579</v>
      </c>
      <c r="CIW2">
        <v>3799</v>
      </c>
      <c r="CIX2">
        <v>3072</v>
      </c>
      <c r="CIY2">
        <v>3095</v>
      </c>
      <c r="CIZ2">
        <v>3073</v>
      </c>
      <c r="CJA2">
        <v>3858</v>
      </c>
      <c r="CJB2">
        <v>3517</v>
      </c>
      <c r="CJC2">
        <v>3923</v>
      </c>
      <c r="CJD2">
        <v>3377</v>
      </c>
      <c r="CJE2">
        <v>3385</v>
      </c>
      <c r="CJF2">
        <v>3480</v>
      </c>
      <c r="CJG2">
        <v>3480</v>
      </c>
      <c r="CJH2">
        <v>3480</v>
      </c>
      <c r="CJI2">
        <v>3121</v>
      </c>
      <c r="CJJ2">
        <v>3121</v>
      </c>
      <c r="CJK2">
        <v>3121</v>
      </c>
      <c r="CJL2">
        <v>3518</v>
      </c>
      <c r="CJM2">
        <v>3121</v>
      </c>
      <c r="CJN2">
        <v>3431</v>
      </c>
      <c r="CJO2">
        <v>3666</v>
      </c>
      <c r="CJP2">
        <v>3134</v>
      </c>
      <c r="CJQ2">
        <v>3135</v>
      </c>
      <c r="CJR2">
        <v>3134</v>
      </c>
      <c r="CJS2">
        <v>3818</v>
      </c>
      <c r="CJT2">
        <v>3215</v>
      </c>
      <c r="CJU2">
        <v>3185</v>
      </c>
      <c r="CJV2">
        <v>3401</v>
      </c>
      <c r="CJW2">
        <v>3860</v>
      </c>
      <c r="CJX2">
        <v>3971</v>
      </c>
      <c r="CJY2">
        <v>3019</v>
      </c>
      <c r="CJZ2">
        <v>3549</v>
      </c>
      <c r="CKA2">
        <v>3549</v>
      </c>
      <c r="CKB2">
        <v>3549</v>
      </c>
      <c r="CKC2">
        <v>3549</v>
      </c>
      <c r="CKD2">
        <v>3549</v>
      </c>
      <c r="CKE2">
        <v>3561</v>
      </c>
      <c r="CKF2">
        <v>3442</v>
      </c>
      <c r="CKG2">
        <v>3335</v>
      </c>
      <c r="CKH2">
        <v>3401</v>
      </c>
      <c r="CKI2">
        <v>3364</v>
      </c>
      <c r="CKJ2">
        <v>3377</v>
      </c>
      <c r="CKK2">
        <v>3821</v>
      </c>
      <c r="CKL2">
        <v>3330</v>
      </c>
      <c r="CKM2">
        <v>3351</v>
      </c>
      <c r="CKN2">
        <v>3434</v>
      </c>
      <c r="CKO2">
        <v>3084</v>
      </c>
      <c r="CKP2">
        <v>3678</v>
      </c>
      <c r="CKQ2">
        <v>3395</v>
      </c>
      <c r="CKR2">
        <v>3285</v>
      </c>
      <c r="CKS2">
        <v>3939</v>
      </c>
      <c r="CKT2">
        <v>3939</v>
      </c>
      <c r="CKU2">
        <v>3940</v>
      </c>
      <c r="CKV2">
        <v>3847</v>
      </c>
      <c r="CKW2">
        <v>3385</v>
      </c>
      <c r="CKX2">
        <v>3737</v>
      </c>
      <c r="CKY2">
        <v>3564</v>
      </c>
      <c r="CKZ2">
        <v>3351</v>
      </c>
      <c r="CLA2">
        <v>3377</v>
      </c>
      <c r="CLB2">
        <v>3477</v>
      </c>
      <c r="CLC2">
        <v>3340</v>
      </c>
      <c r="CLD2">
        <v>3178</v>
      </c>
      <c r="CLE2">
        <v>3064</v>
      </c>
      <c r="CLF2">
        <v>3712</v>
      </c>
      <c r="CLG2">
        <v>3953</v>
      </c>
      <c r="CLH2">
        <v>3666</v>
      </c>
      <c r="CLI2">
        <v>3691</v>
      </c>
      <c r="CLJ2">
        <v>3558</v>
      </c>
      <c r="CLK2">
        <v>3388</v>
      </c>
      <c r="CLL2">
        <v>3612</v>
      </c>
      <c r="CLM2">
        <v>3331</v>
      </c>
      <c r="CLN2">
        <v>3685</v>
      </c>
      <c r="CLO2">
        <v>3875</v>
      </c>
      <c r="CLP2">
        <v>3992</v>
      </c>
      <c r="CLQ2">
        <v>3941</v>
      </c>
      <c r="CLR2">
        <v>3810</v>
      </c>
      <c r="CLS2">
        <v>3936</v>
      </c>
      <c r="CLT2">
        <v>3461</v>
      </c>
      <c r="CLU2">
        <v>3556</v>
      </c>
      <c r="CLV2">
        <v>3461</v>
      </c>
      <c r="CLW2">
        <v>3850</v>
      </c>
      <c r="CLX2">
        <v>3852</v>
      </c>
      <c r="CLY2">
        <v>3517</v>
      </c>
      <c r="CLZ2">
        <v>3673</v>
      </c>
      <c r="CMA2">
        <v>3925</v>
      </c>
      <c r="CMB2">
        <v>3312</v>
      </c>
      <c r="CMC2">
        <v>3579</v>
      </c>
      <c r="CMD2">
        <v>3977</v>
      </c>
      <c r="CME2">
        <v>3550</v>
      </c>
      <c r="CMF2">
        <v>3462</v>
      </c>
      <c r="CMG2">
        <v>3171</v>
      </c>
      <c r="CMH2">
        <v>3191</v>
      </c>
      <c r="CMI2">
        <v>3695</v>
      </c>
      <c r="CMJ2">
        <v>3959</v>
      </c>
      <c r="CMK2">
        <v>3858</v>
      </c>
      <c r="CML2">
        <v>3875</v>
      </c>
      <c r="CMM2">
        <v>3787</v>
      </c>
      <c r="CMN2">
        <v>3787</v>
      </c>
      <c r="CMO2">
        <v>3723</v>
      </c>
      <c r="CMP2">
        <v>3351</v>
      </c>
      <c r="CMQ2">
        <v>3179</v>
      </c>
      <c r="CMR2">
        <v>3352</v>
      </c>
      <c r="CMS2">
        <v>3352</v>
      </c>
      <c r="CMT2">
        <v>3267</v>
      </c>
      <c r="CMU2">
        <v>3533</v>
      </c>
      <c r="CMV2">
        <v>3028</v>
      </c>
      <c r="CMW2">
        <v>3851</v>
      </c>
      <c r="CMX2">
        <v>3198</v>
      </c>
      <c r="CMY2">
        <v>3018</v>
      </c>
      <c r="CMZ2">
        <v>3851</v>
      </c>
      <c r="CNA2">
        <v>3858</v>
      </c>
      <c r="CNB2">
        <v>3821</v>
      </c>
      <c r="CNC2">
        <v>3556</v>
      </c>
      <c r="CND2">
        <v>3356</v>
      </c>
      <c r="CNE2">
        <v>3011</v>
      </c>
      <c r="CNF2">
        <v>3011</v>
      </c>
      <c r="CNG2">
        <v>3551</v>
      </c>
      <c r="CNH2">
        <v>3159</v>
      </c>
      <c r="CNI2">
        <v>3737</v>
      </c>
      <c r="CNJ2">
        <v>3234</v>
      </c>
      <c r="CNK2">
        <v>3517</v>
      </c>
      <c r="CNL2">
        <v>3420</v>
      </c>
      <c r="CNM2">
        <v>3139</v>
      </c>
      <c r="CNN2">
        <v>3139</v>
      </c>
      <c r="CNO2">
        <v>3660</v>
      </c>
      <c r="CNP2">
        <v>3660</v>
      </c>
      <c r="CNQ2">
        <v>3821</v>
      </c>
      <c r="CNR2">
        <v>3960</v>
      </c>
      <c r="CNS2">
        <v>3898</v>
      </c>
      <c r="CNT2">
        <v>3377</v>
      </c>
      <c r="CNU2">
        <v>3331</v>
      </c>
      <c r="CNV2">
        <v>3666</v>
      </c>
      <c r="CNW2">
        <v>3392</v>
      </c>
      <c r="CNX2">
        <v>3515</v>
      </c>
      <c r="CNY2">
        <v>3329</v>
      </c>
      <c r="CNZ2">
        <v>3701</v>
      </c>
      <c r="COA2">
        <v>3461</v>
      </c>
      <c r="COB2">
        <v>3630</v>
      </c>
      <c r="COC2">
        <v>3631</v>
      </c>
      <c r="COD2">
        <v>3631</v>
      </c>
      <c r="COE2">
        <v>3630</v>
      </c>
      <c r="COF2">
        <v>3789</v>
      </c>
      <c r="COG2">
        <v>3916</v>
      </c>
      <c r="COH2">
        <v>3444</v>
      </c>
      <c r="COI2">
        <v>3795</v>
      </c>
      <c r="COJ2">
        <v>3922</v>
      </c>
      <c r="COK2">
        <v>3266</v>
      </c>
      <c r="COL2">
        <v>3888</v>
      </c>
      <c r="COM2">
        <v>3465</v>
      </c>
      <c r="CON2">
        <v>3233</v>
      </c>
      <c r="COO2">
        <v>3233</v>
      </c>
      <c r="COP2">
        <v>3260</v>
      </c>
      <c r="COQ2">
        <v>3518</v>
      </c>
      <c r="COR2">
        <v>3361</v>
      </c>
      <c r="COS2">
        <v>3977</v>
      </c>
      <c r="COT2">
        <v>3477</v>
      </c>
      <c r="COU2">
        <v>3364</v>
      </c>
      <c r="COV2">
        <v>3922</v>
      </c>
      <c r="COW2">
        <v>3760</v>
      </c>
      <c r="COX2">
        <v>3364</v>
      </c>
      <c r="COY2">
        <v>3741</v>
      </c>
      <c r="COZ2">
        <v>3351</v>
      </c>
      <c r="CPA2">
        <v>3351</v>
      </c>
      <c r="CPB2">
        <v>3971</v>
      </c>
      <c r="CPC2">
        <v>3351</v>
      </c>
      <c r="CPD2">
        <v>3350</v>
      </c>
      <c r="CPE2">
        <v>3927</v>
      </c>
      <c r="CPF2">
        <v>3062</v>
      </c>
      <c r="CPG2">
        <v>3851</v>
      </c>
      <c r="CPH2">
        <v>3912</v>
      </c>
      <c r="CPI2">
        <v>3943</v>
      </c>
      <c r="CPJ2">
        <v>3995</v>
      </c>
      <c r="CPK2">
        <v>3220</v>
      </c>
      <c r="CPL2">
        <v>3015</v>
      </c>
      <c r="CPM2">
        <v>3205</v>
      </c>
      <c r="CPN2">
        <v>3752</v>
      </c>
      <c r="CPO2">
        <v>3260</v>
      </c>
      <c r="CPP2">
        <v>3006</v>
      </c>
      <c r="CPQ2">
        <v>3141</v>
      </c>
      <c r="CPR2">
        <v>3006</v>
      </c>
      <c r="CPS2">
        <v>3283</v>
      </c>
      <c r="CPT2">
        <v>3192</v>
      </c>
      <c r="CPU2">
        <v>3461</v>
      </c>
      <c r="CPV2">
        <v>3488</v>
      </c>
      <c r="CPW2">
        <v>3585</v>
      </c>
      <c r="CPX2">
        <v>3015</v>
      </c>
      <c r="CPY2">
        <v>3550</v>
      </c>
      <c r="CPZ2">
        <v>3444</v>
      </c>
      <c r="CQA2">
        <v>3352</v>
      </c>
      <c r="CQB2">
        <v>3351</v>
      </c>
      <c r="CQC2">
        <v>3434</v>
      </c>
      <c r="CQD2">
        <v>3544</v>
      </c>
      <c r="CQE2">
        <v>3682</v>
      </c>
      <c r="CQF2">
        <v>3364</v>
      </c>
      <c r="CQG2">
        <v>3171</v>
      </c>
      <c r="CQH2">
        <v>3172</v>
      </c>
      <c r="CQI2">
        <v>3021</v>
      </c>
      <c r="CQJ2">
        <v>3219</v>
      </c>
      <c r="CQK2">
        <v>3761</v>
      </c>
      <c r="CQL2">
        <v>3941</v>
      </c>
      <c r="CQM2">
        <v>3478</v>
      </c>
      <c r="CQN2">
        <v>3477</v>
      </c>
      <c r="CQO2">
        <v>3477</v>
      </c>
      <c r="CQP2">
        <v>3995</v>
      </c>
      <c r="CQQ2">
        <v>3620</v>
      </c>
      <c r="CQR2">
        <v>3088</v>
      </c>
      <c r="CQS2">
        <v>3285</v>
      </c>
      <c r="CQT2">
        <v>3401</v>
      </c>
      <c r="CQU2">
        <v>3727</v>
      </c>
      <c r="CQV2">
        <v>3182</v>
      </c>
      <c r="CQW2">
        <v>3183</v>
      </c>
      <c r="CQX2">
        <v>3004</v>
      </c>
      <c r="CQY2">
        <v>3004</v>
      </c>
      <c r="CQZ2">
        <v>3182</v>
      </c>
      <c r="CRA2">
        <v>3182</v>
      </c>
      <c r="CRB2">
        <v>3223</v>
      </c>
      <c r="CRC2">
        <v>3971</v>
      </c>
      <c r="CRD2">
        <v>3351</v>
      </c>
      <c r="CRE2">
        <v>3691</v>
      </c>
      <c r="CRF2">
        <v>3623</v>
      </c>
      <c r="CRG2">
        <v>3623</v>
      </c>
      <c r="CRH2">
        <v>3747</v>
      </c>
      <c r="CRI2">
        <v>3340</v>
      </c>
      <c r="CRJ2">
        <v>3379</v>
      </c>
      <c r="CRK2">
        <v>3380</v>
      </c>
      <c r="CRL2">
        <v>3380</v>
      </c>
      <c r="CRM2">
        <v>3775</v>
      </c>
      <c r="CRN2">
        <v>3331</v>
      </c>
      <c r="CRO2">
        <v>3725</v>
      </c>
      <c r="CRP2">
        <v>3893</v>
      </c>
      <c r="CRQ2">
        <v>3862</v>
      </c>
      <c r="CRR2">
        <v>3373</v>
      </c>
      <c r="CRS2">
        <v>3218</v>
      </c>
      <c r="CRT2">
        <v>3373</v>
      </c>
      <c r="CRU2">
        <v>3371</v>
      </c>
      <c r="CRV2">
        <v>3260</v>
      </c>
      <c r="CRW2">
        <v>3851</v>
      </c>
      <c r="CRX2">
        <v>3103</v>
      </c>
      <c r="CRY2">
        <v>3461</v>
      </c>
      <c r="CRZ2">
        <v>3533</v>
      </c>
      <c r="CSA2">
        <v>3862</v>
      </c>
      <c r="CSB2">
        <v>3658</v>
      </c>
      <c r="CSC2">
        <v>3622</v>
      </c>
      <c r="CSD2">
        <v>3666</v>
      </c>
      <c r="CSE2">
        <v>3550</v>
      </c>
      <c r="CSF2">
        <v>3312</v>
      </c>
      <c r="CSG2">
        <v>3099</v>
      </c>
      <c r="CSH2">
        <v>3551</v>
      </c>
      <c r="CSI2">
        <v>3301</v>
      </c>
      <c r="CSJ2">
        <v>3364</v>
      </c>
      <c r="CSK2">
        <v>3641</v>
      </c>
      <c r="CSL2">
        <v>3041</v>
      </c>
      <c r="CSM2">
        <v>3041</v>
      </c>
      <c r="CSN2">
        <v>3351</v>
      </c>
      <c r="CSO2">
        <v>3950</v>
      </c>
      <c r="CSP2">
        <v>3477</v>
      </c>
      <c r="CSQ2">
        <v>3152</v>
      </c>
      <c r="CSR2">
        <v>3234</v>
      </c>
      <c r="CSS2">
        <v>3658</v>
      </c>
      <c r="CST2">
        <v>3885</v>
      </c>
      <c r="CSU2">
        <v>3352</v>
      </c>
      <c r="CSV2">
        <v>3922</v>
      </c>
      <c r="CSW2">
        <v>3057</v>
      </c>
      <c r="CSX2">
        <v>3429</v>
      </c>
      <c r="CSY2">
        <v>3658</v>
      </c>
      <c r="CSZ2">
        <v>3922</v>
      </c>
      <c r="CTA2">
        <v>3496</v>
      </c>
      <c r="CTB2">
        <v>3922</v>
      </c>
      <c r="CTC2">
        <v>3020</v>
      </c>
      <c r="CTD2">
        <v>3020</v>
      </c>
      <c r="CTE2">
        <v>3020</v>
      </c>
      <c r="CTF2">
        <v>3922</v>
      </c>
      <c r="CTG2">
        <v>3127</v>
      </c>
      <c r="CTH2">
        <v>3127</v>
      </c>
      <c r="CTI2">
        <v>3125</v>
      </c>
      <c r="CTJ2">
        <v>3477</v>
      </c>
      <c r="CTK2">
        <v>3331</v>
      </c>
      <c r="CTL2">
        <v>3530</v>
      </c>
      <c r="CTM2">
        <v>3448</v>
      </c>
      <c r="CTN2">
        <v>3225</v>
      </c>
      <c r="CTO2">
        <v>3585</v>
      </c>
      <c r="CTP2">
        <v>3585</v>
      </c>
      <c r="CTQ2">
        <v>3225</v>
      </c>
      <c r="CTR2">
        <v>3249</v>
      </c>
      <c r="CTS2">
        <v>3903</v>
      </c>
      <c r="CTT2">
        <v>3673</v>
      </c>
      <c r="CTU2">
        <v>3477</v>
      </c>
      <c r="CTV2">
        <v>3480</v>
      </c>
      <c r="CTW2">
        <v>3896</v>
      </c>
      <c r="CTX2">
        <v>3037</v>
      </c>
      <c r="CTY2">
        <v>3575</v>
      </c>
      <c r="CTZ2">
        <v>3149</v>
      </c>
      <c r="CUA2">
        <v>3875</v>
      </c>
      <c r="CUB2">
        <v>3607</v>
      </c>
      <c r="CUC2">
        <v>3289</v>
      </c>
      <c r="CUD2">
        <v>3714</v>
      </c>
      <c r="CUE2">
        <v>3301</v>
      </c>
      <c r="CUF2">
        <v>3315</v>
      </c>
      <c r="CUG2">
        <v>3310</v>
      </c>
      <c r="CUH2">
        <v>3371</v>
      </c>
      <c r="CUI2">
        <v>3691</v>
      </c>
      <c r="CUJ2">
        <v>3701</v>
      </c>
      <c r="CUK2">
        <v>3700</v>
      </c>
      <c r="CUL2">
        <v>3700</v>
      </c>
      <c r="CUM2">
        <v>3701</v>
      </c>
      <c r="CUN2">
        <v>3701</v>
      </c>
      <c r="CUO2">
        <v>3659</v>
      </c>
      <c r="CUP2">
        <v>3634</v>
      </c>
      <c r="CUQ2">
        <v>3893</v>
      </c>
      <c r="CUR2">
        <v>3885</v>
      </c>
      <c r="CUS2">
        <v>3890</v>
      </c>
      <c r="CUT2">
        <v>3858</v>
      </c>
      <c r="CUU2">
        <v>3675</v>
      </c>
      <c r="CUV2">
        <v>3669</v>
      </c>
      <c r="CUW2">
        <v>3669</v>
      </c>
      <c r="CUX2">
        <v>3260</v>
      </c>
      <c r="CUY2">
        <v>3571</v>
      </c>
      <c r="CUZ2">
        <v>3691</v>
      </c>
      <c r="CVA2">
        <v>3825</v>
      </c>
      <c r="CVB2">
        <v>3833</v>
      </c>
      <c r="CVC2">
        <v>3825</v>
      </c>
      <c r="CVD2">
        <v>3764</v>
      </c>
      <c r="CVE2">
        <v>3478</v>
      </c>
      <c r="CVF2">
        <v>3249</v>
      </c>
      <c r="CVG2">
        <v>3447</v>
      </c>
      <c r="CVH2">
        <v>3666</v>
      </c>
      <c r="CVI2">
        <v>3451</v>
      </c>
      <c r="CVJ2">
        <v>3551</v>
      </c>
      <c r="CVK2">
        <v>3029</v>
      </c>
      <c r="CVL2">
        <v>3670</v>
      </c>
      <c r="CVM2">
        <v>3265</v>
      </c>
      <c r="CVN2">
        <v>3971</v>
      </c>
      <c r="CVO2">
        <v>3414</v>
      </c>
      <c r="CVP2">
        <v>3971</v>
      </c>
      <c r="CVQ2">
        <v>3775</v>
      </c>
      <c r="CVR2">
        <v>3678</v>
      </c>
      <c r="CVS2">
        <v>3315</v>
      </c>
      <c r="CVT2">
        <v>3463</v>
      </c>
      <c r="CVU2">
        <v>3315</v>
      </c>
      <c r="CVV2">
        <v>3301</v>
      </c>
      <c r="CVW2">
        <v>3283</v>
      </c>
      <c r="CVX2">
        <v>3956</v>
      </c>
      <c r="CVY2">
        <v>3956</v>
      </c>
      <c r="CVZ2">
        <v>3673</v>
      </c>
      <c r="CWA2">
        <v>3616</v>
      </c>
      <c r="CWB2">
        <v>3616</v>
      </c>
      <c r="CWC2">
        <v>3378</v>
      </c>
      <c r="CWD2">
        <v>3697</v>
      </c>
      <c r="CWE2">
        <v>3698</v>
      </c>
      <c r="CWF2">
        <v>3713</v>
      </c>
      <c r="CWG2">
        <v>3037</v>
      </c>
      <c r="CWH2">
        <v>3038</v>
      </c>
      <c r="CWI2">
        <v>3579</v>
      </c>
      <c r="CWJ2">
        <v>3160</v>
      </c>
      <c r="CWK2">
        <v>3527</v>
      </c>
      <c r="CWL2">
        <v>3527</v>
      </c>
      <c r="CWM2">
        <v>3328</v>
      </c>
      <c r="CWN2">
        <v>3401</v>
      </c>
      <c r="CWO2">
        <v>3730</v>
      </c>
      <c r="CWP2">
        <v>3420</v>
      </c>
      <c r="CWQ2">
        <v>3106</v>
      </c>
      <c r="CWR2">
        <v>3107</v>
      </c>
      <c r="CWS2">
        <v>3489</v>
      </c>
      <c r="CWT2">
        <v>3984</v>
      </c>
      <c r="CWU2">
        <v>3572</v>
      </c>
      <c r="CWV2">
        <v>3264</v>
      </c>
      <c r="CWW2">
        <v>3719</v>
      </c>
      <c r="CWX2">
        <v>3525</v>
      </c>
      <c r="CWY2">
        <v>3575</v>
      </c>
      <c r="CWZ2">
        <v>3573</v>
      </c>
      <c r="CXA2">
        <v>3260</v>
      </c>
      <c r="CXB2">
        <v>3821</v>
      </c>
      <c r="CXC2">
        <v>3527</v>
      </c>
      <c r="CXD2">
        <v>3825</v>
      </c>
      <c r="CXE2">
        <v>3154</v>
      </c>
      <c r="CXF2">
        <v>3268</v>
      </c>
      <c r="CXG2">
        <v>3984</v>
      </c>
      <c r="CXH2">
        <v>3851</v>
      </c>
      <c r="CXI2">
        <v>3851</v>
      </c>
      <c r="CXJ2">
        <v>3792</v>
      </c>
      <c r="CXK2">
        <v>3265</v>
      </c>
      <c r="CXL2">
        <v>3691</v>
      </c>
      <c r="CXM2">
        <v>3074</v>
      </c>
      <c r="CXN2">
        <v>3219</v>
      </c>
      <c r="CXO2">
        <v>3825</v>
      </c>
      <c r="CXP2">
        <v>3726</v>
      </c>
      <c r="CXQ2">
        <v>3071</v>
      </c>
      <c r="CXR2">
        <v>3712</v>
      </c>
      <c r="CXS2">
        <v>3835</v>
      </c>
      <c r="CXT2">
        <v>3824</v>
      </c>
      <c r="CXU2">
        <v>3707</v>
      </c>
      <c r="CXV2">
        <v>3797</v>
      </c>
      <c r="CXW2">
        <v>3960</v>
      </c>
      <c r="CXX2">
        <v>3885</v>
      </c>
      <c r="CXY2">
        <v>3268</v>
      </c>
      <c r="CXZ2">
        <v>3268</v>
      </c>
      <c r="CYA2">
        <v>3561</v>
      </c>
      <c r="CYB2">
        <v>3465</v>
      </c>
      <c r="CYC2">
        <v>3465</v>
      </c>
      <c r="CYD2">
        <v>3859</v>
      </c>
      <c r="CYE2">
        <v>3859</v>
      </c>
      <c r="CYF2">
        <v>3708</v>
      </c>
      <c r="CYG2">
        <v>3542</v>
      </c>
      <c r="CYH2">
        <v>3549</v>
      </c>
      <c r="CYI2">
        <v>3723</v>
      </c>
      <c r="CYJ2">
        <v>3707</v>
      </c>
      <c r="CYK2">
        <v>3621</v>
      </c>
      <c r="CYL2">
        <v>3890</v>
      </c>
      <c r="CYM2">
        <v>3896</v>
      </c>
      <c r="CYN2">
        <v>3815</v>
      </c>
      <c r="CYO2">
        <v>3409</v>
      </c>
      <c r="CYP2">
        <v>3522</v>
      </c>
      <c r="CYQ2">
        <v>3614</v>
      </c>
      <c r="CYR2">
        <v>3614</v>
      </c>
      <c r="CYS2">
        <v>3777</v>
      </c>
      <c r="CYT2">
        <v>3337</v>
      </c>
      <c r="CYU2">
        <v>3551</v>
      </c>
      <c r="CYV2">
        <v>3860</v>
      </c>
      <c r="CYW2">
        <v>3401</v>
      </c>
      <c r="CYX2">
        <v>3285</v>
      </c>
      <c r="CYY2">
        <v>3825</v>
      </c>
      <c r="CYZ2">
        <v>3856</v>
      </c>
      <c r="CZA2">
        <v>3962</v>
      </c>
      <c r="CZB2">
        <v>3962</v>
      </c>
      <c r="CZC2">
        <v>3980</v>
      </c>
      <c r="CZD2">
        <v>3142</v>
      </c>
      <c r="CZE2">
        <v>3909</v>
      </c>
      <c r="CZF2">
        <v>3146</v>
      </c>
      <c r="CZG2">
        <v>3833</v>
      </c>
      <c r="CZH2">
        <v>3941</v>
      </c>
      <c r="CZI2">
        <v>3228</v>
      </c>
      <c r="CZJ2">
        <v>3490</v>
      </c>
      <c r="CZK2">
        <v>3562</v>
      </c>
      <c r="CZL2">
        <v>3821</v>
      </c>
      <c r="CZM2">
        <v>3888</v>
      </c>
      <c r="CZN2">
        <v>3012</v>
      </c>
      <c r="CZO2">
        <v>3477</v>
      </c>
      <c r="CZP2">
        <v>3363</v>
      </c>
      <c r="CZQ2">
        <v>3596</v>
      </c>
      <c r="CZR2">
        <v>3527</v>
      </c>
      <c r="CZS2">
        <v>3527</v>
      </c>
      <c r="CZT2">
        <v>3283</v>
      </c>
      <c r="CZU2">
        <v>3707</v>
      </c>
      <c r="CZV2">
        <v>3707</v>
      </c>
      <c r="CZW2">
        <v>3824</v>
      </c>
      <c r="CZX2">
        <v>3824</v>
      </c>
      <c r="CZY2">
        <v>3824</v>
      </c>
      <c r="CZZ2">
        <v>3579</v>
      </c>
      <c r="DAA2">
        <v>3844</v>
      </c>
      <c r="DAB2">
        <v>3844</v>
      </c>
      <c r="DAC2">
        <v>3844</v>
      </c>
      <c r="DAD2">
        <v>3032</v>
      </c>
      <c r="DAE2">
        <v>3373</v>
      </c>
      <c r="DAF2">
        <v>3660</v>
      </c>
      <c r="DAG2">
        <v>3477</v>
      </c>
      <c r="DAH2">
        <v>3785</v>
      </c>
      <c r="DAI2">
        <v>3458</v>
      </c>
      <c r="DAJ2">
        <v>3458</v>
      </c>
      <c r="DAK2">
        <v>3583</v>
      </c>
      <c r="DAL2">
        <v>3584</v>
      </c>
      <c r="DAM2">
        <v>3953</v>
      </c>
      <c r="DAN2">
        <v>3029</v>
      </c>
      <c r="DAO2">
        <v>3888</v>
      </c>
      <c r="DAP2">
        <v>3915</v>
      </c>
      <c r="DAQ2">
        <v>3384</v>
      </c>
      <c r="DAR2">
        <v>3043</v>
      </c>
      <c r="DAS2">
        <v>3728</v>
      </c>
      <c r="DAT2">
        <v>3546</v>
      </c>
      <c r="DAU2">
        <v>3488</v>
      </c>
      <c r="DAV2">
        <v>3488</v>
      </c>
      <c r="DAW2">
        <v>3960</v>
      </c>
      <c r="DAX2">
        <v>3490</v>
      </c>
      <c r="DAY2">
        <v>3658</v>
      </c>
      <c r="DAZ2">
        <v>3913</v>
      </c>
      <c r="DBA2">
        <v>3533</v>
      </c>
      <c r="DBB2">
        <v>3844</v>
      </c>
      <c r="DBC2">
        <v>3444</v>
      </c>
      <c r="DBD2">
        <v>3444</v>
      </c>
      <c r="DBE2">
        <v>3813</v>
      </c>
      <c r="DBF2">
        <v>3813</v>
      </c>
      <c r="DBG2">
        <v>3586</v>
      </c>
      <c r="DBH2">
        <v>3586</v>
      </c>
      <c r="DBI2">
        <v>3285</v>
      </c>
      <c r="DBJ2">
        <v>3285</v>
      </c>
      <c r="DBK2">
        <v>3533</v>
      </c>
      <c r="DBL2">
        <v>3533</v>
      </c>
      <c r="DBM2">
        <v>3370</v>
      </c>
      <c r="DBN2">
        <v>3318</v>
      </c>
      <c r="DBO2">
        <v>3544</v>
      </c>
      <c r="DBP2">
        <v>3544</v>
      </c>
      <c r="DBQ2">
        <v>3641</v>
      </c>
      <c r="DBR2">
        <v>3629</v>
      </c>
      <c r="DBS2">
        <v>3509</v>
      </c>
      <c r="DBT2">
        <v>3669</v>
      </c>
      <c r="DBU2">
        <v>3156</v>
      </c>
      <c r="DBV2">
        <v>3691</v>
      </c>
      <c r="DBW2">
        <v>3673</v>
      </c>
      <c r="DBX2">
        <v>3756</v>
      </c>
      <c r="DBY2">
        <v>3673</v>
      </c>
      <c r="DBZ2">
        <v>3664</v>
      </c>
      <c r="DCA2">
        <v>3158</v>
      </c>
      <c r="DCB2">
        <v>3860</v>
      </c>
      <c r="DCC2">
        <v>3407</v>
      </c>
      <c r="DCD2">
        <v>3451</v>
      </c>
      <c r="DCE2">
        <v>3401</v>
      </c>
      <c r="DCF2">
        <v>3922</v>
      </c>
      <c r="DCG2">
        <v>3956</v>
      </c>
      <c r="DCH2">
        <v>3133</v>
      </c>
      <c r="DCI2">
        <v>3133</v>
      </c>
      <c r="DCJ2">
        <v>3814</v>
      </c>
      <c r="DCK2">
        <v>3833</v>
      </c>
      <c r="DCL2">
        <v>3294</v>
      </c>
      <c r="DCM2">
        <v>3294</v>
      </c>
      <c r="DCN2">
        <v>3084</v>
      </c>
      <c r="DCO2">
        <v>3591</v>
      </c>
      <c r="DCP2">
        <v>3669</v>
      </c>
      <c r="DCQ2">
        <v>3325</v>
      </c>
      <c r="DCR2">
        <v>3325</v>
      </c>
      <c r="DCS2">
        <v>3885</v>
      </c>
      <c r="DCT2">
        <v>3637</v>
      </c>
      <c r="DCU2">
        <v>3551</v>
      </c>
      <c r="DCV2">
        <v>3269</v>
      </c>
      <c r="DCW2">
        <v>3678</v>
      </c>
      <c r="DCX2">
        <v>3646</v>
      </c>
      <c r="DCY2">
        <v>3687</v>
      </c>
      <c r="DCZ2">
        <v>3608</v>
      </c>
      <c r="DDA2">
        <v>3401</v>
      </c>
      <c r="DDB2">
        <v>3887</v>
      </c>
      <c r="DDC2">
        <v>3544</v>
      </c>
      <c r="DDD2">
        <v>3385</v>
      </c>
      <c r="DDE2">
        <v>3678</v>
      </c>
      <c r="DDF2">
        <v>3825</v>
      </c>
      <c r="DDG2">
        <v>3825</v>
      </c>
      <c r="DDH2">
        <v>3956</v>
      </c>
      <c r="DDI2">
        <v>3956</v>
      </c>
      <c r="DDJ2">
        <v>3956</v>
      </c>
      <c r="DDK2">
        <v>3352</v>
      </c>
      <c r="DDL2">
        <v>3303</v>
      </c>
      <c r="DDM2">
        <v>3891</v>
      </c>
      <c r="DDN2">
        <v>3387</v>
      </c>
      <c r="DDO2">
        <v>3387</v>
      </c>
      <c r="DDP2">
        <v>3756</v>
      </c>
      <c r="DDQ2">
        <v>3351</v>
      </c>
      <c r="DDR2">
        <v>3222</v>
      </c>
      <c r="DDS2">
        <v>3401</v>
      </c>
      <c r="DDT2">
        <v>3463</v>
      </c>
      <c r="DDU2">
        <v>3875</v>
      </c>
      <c r="DDV2">
        <v>3507</v>
      </c>
      <c r="DDW2">
        <v>3709</v>
      </c>
      <c r="DDX2">
        <v>3612</v>
      </c>
      <c r="DDY2">
        <v>3216</v>
      </c>
      <c r="DDZ2">
        <v>3579</v>
      </c>
      <c r="DEA2">
        <v>3744</v>
      </c>
      <c r="DEB2">
        <v>3139</v>
      </c>
      <c r="DEC2">
        <v>3139</v>
      </c>
      <c r="DED2">
        <v>3312</v>
      </c>
      <c r="DEE2">
        <v>3312</v>
      </c>
      <c r="DEF2">
        <v>3758</v>
      </c>
      <c r="DEG2">
        <v>3549</v>
      </c>
      <c r="DEH2">
        <v>3678</v>
      </c>
      <c r="DEI2">
        <v>3891</v>
      </c>
      <c r="DEJ2">
        <v>3677</v>
      </c>
      <c r="DEK2">
        <v>3678</v>
      </c>
      <c r="DEL2">
        <v>3678</v>
      </c>
      <c r="DEM2">
        <v>3530</v>
      </c>
      <c r="DEN2">
        <v>3279</v>
      </c>
      <c r="DEO2">
        <v>3301</v>
      </c>
      <c r="DEP2">
        <v>3152</v>
      </c>
      <c r="DEQ2">
        <v>3152</v>
      </c>
      <c r="DER2">
        <v>3616</v>
      </c>
      <c r="DES2">
        <v>3612</v>
      </c>
      <c r="DET2">
        <v>3959</v>
      </c>
      <c r="DEU2">
        <v>3799</v>
      </c>
      <c r="DEV2">
        <v>3465</v>
      </c>
      <c r="DEW2">
        <v>3505</v>
      </c>
      <c r="DEX2">
        <v>3482</v>
      </c>
      <c r="DEY2">
        <v>3243</v>
      </c>
      <c r="DEZ2">
        <v>3530</v>
      </c>
      <c r="DFA2">
        <v>3980</v>
      </c>
      <c r="DFB2">
        <v>3286</v>
      </c>
      <c r="DFC2">
        <v>3393</v>
      </c>
      <c r="DFD2">
        <v>3820</v>
      </c>
      <c r="DFE2">
        <v>3821</v>
      </c>
      <c r="DFF2">
        <v>3821</v>
      </c>
      <c r="DFG2">
        <v>3377</v>
      </c>
      <c r="DFH2">
        <v>3113</v>
      </c>
      <c r="DFI2">
        <v>3134</v>
      </c>
      <c r="DFJ2">
        <v>3134</v>
      </c>
      <c r="DFK2">
        <v>3301</v>
      </c>
      <c r="DFL2">
        <v>3670</v>
      </c>
      <c r="DFM2">
        <v>3352</v>
      </c>
      <c r="DFN2">
        <v>3478</v>
      </c>
      <c r="DFO2">
        <v>3249</v>
      </c>
      <c r="DFP2">
        <v>3280</v>
      </c>
      <c r="DFQ2">
        <v>3312</v>
      </c>
      <c r="DFR2">
        <v>3283</v>
      </c>
      <c r="DFS2">
        <v>3401</v>
      </c>
      <c r="DFT2">
        <v>3482</v>
      </c>
      <c r="DFU2">
        <v>3482</v>
      </c>
      <c r="DFV2">
        <v>3485</v>
      </c>
      <c r="DFW2">
        <v>3862</v>
      </c>
      <c r="DFX2">
        <v>3658</v>
      </c>
      <c r="DFY2">
        <v>3038</v>
      </c>
      <c r="DFZ2">
        <v>3875</v>
      </c>
      <c r="DGA2">
        <v>3373</v>
      </c>
      <c r="DGB2">
        <v>3195</v>
      </c>
      <c r="DGC2">
        <v>3087</v>
      </c>
      <c r="DGD2">
        <v>3087</v>
      </c>
      <c r="DGE2">
        <v>3097</v>
      </c>
      <c r="DGF2">
        <v>3995</v>
      </c>
      <c r="DGG2">
        <v>3384</v>
      </c>
      <c r="DGH2">
        <v>3352</v>
      </c>
      <c r="DGI2">
        <v>3096</v>
      </c>
      <c r="DGJ2">
        <v>3237</v>
      </c>
      <c r="DGK2">
        <v>3128</v>
      </c>
      <c r="DGL2">
        <v>3145</v>
      </c>
      <c r="DGM2">
        <v>3352</v>
      </c>
      <c r="DGN2">
        <v>3216</v>
      </c>
      <c r="DGO2">
        <v>3170</v>
      </c>
      <c r="DGP2">
        <v>3888</v>
      </c>
      <c r="DGQ2">
        <v>3352</v>
      </c>
      <c r="DGR2">
        <v>3518</v>
      </c>
      <c r="DGS2">
        <v>3518</v>
      </c>
      <c r="DGT2">
        <v>3568</v>
      </c>
      <c r="DGU2">
        <v>3237</v>
      </c>
      <c r="DGV2">
        <v>3251</v>
      </c>
      <c r="DGW2">
        <v>3260</v>
      </c>
      <c r="DGX2">
        <v>3518</v>
      </c>
      <c r="DGY2">
        <v>3551</v>
      </c>
      <c r="DGZ2">
        <v>3462</v>
      </c>
      <c r="DHA2">
        <v>3966</v>
      </c>
      <c r="DHB2">
        <v>3549</v>
      </c>
      <c r="DHC2">
        <v>3355</v>
      </c>
      <c r="DHD2">
        <v>3355</v>
      </c>
      <c r="DHE2">
        <v>3241</v>
      </c>
      <c r="DHF2">
        <v>3875</v>
      </c>
      <c r="DHG2">
        <v>3186</v>
      </c>
      <c r="DHH2">
        <v>3352</v>
      </c>
      <c r="DHI2">
        <v>3364</v>
      </c>
      <c r="DHJ2">
        <v>3030</v>
      </c>
      <c r="DHK2">
        <v>3030</v>
      </c>
      <c r="DHL2">
        <v>3496</v>
      </c>
      <c r="DHM2">
        <v>3799</v>
      </c>
      <c r="DHN2">
        <v>3550</v>
      </c>
      <c r="DHO2">
        <v>3992</v>
      </c>
      <c r="DHP2">
        <v>3012</v>
      </c>
      <c r="DHQ2">
        <v>3003</v>
      </c>
      <c r="DHR2">
        <v>3690</v>
      </c>
      <c r="DHS2">
        <v>3825</v>
      </c>
      <c r="DHT2">
        <v>3579</v>
      </c>
      <c r="DHU2">
        <v>3049</v>
      </c>
      <c r="DHV2">
        <v>3351</v>
      </c>
      <c r="DHW2">
        <v>3714</v>
      </c>
      <c r="DHX2">
        <v>3564</v>
      </c>
      <c r="DHY2">
        <v>3461</v>
      </c>
      <c r="DHZ2">
        <v>3150</v>
      </c>
      <c r="DIA2">
        <v>3556</v>
      </c>
      <c r="DIB2">
        <v>3483</v>
      </c>
      <c r="DIC2">
        <v>3550</v>
      </c>
      <c r="DID2">
        <v>3660</v>
      </c>
      <c r="DIE2">
        <v>3950</v>
      </c>
      <c r="DIF2">
        <v>3733</v>
      </c>
      <c r="DIG2">
        <v>3678</v>
      </c>
      <c r="DIH2">
        <v>3219</v>
      </c>
      <c r="DII2">
        <v>3757</v>
      </c>
      <c r="DIJ2">
        <v>3243</v>
      </c>
      <c r="DIK2">
        <v>3735</v>
      </c>
      <c r="DIL2">
        <v>3735</v>
      </c>
      <c r="DIM2">
        <v>3735</v>
      </c>
      <c r="DIN2">
        <v>3612</v>
      </c>
      <c r="DIO2">
        <v>3379</v>
      </c>
      <c r="DIP2">
        <v>3728</v>
      </c>
      <c r="DIQ2">
        <v>3953</v>
      </c>
      <c r="DIR2">
        <v>3429</v>
      </c>
      <c r="DIS2">
        <v>3393</v>
      </c>
      <c r="DIT2">
        <v>3485</v>
      </c>
      <c r="DIU2">
        <v>3283</v>
      </c>
      <c r="DIV2">
        <v>3379</v>
      </c>
      <c r="DIW2">
        <v>3379</v>
      </c>
      <c r="DIX2">
        <v>3393</v>
      </c>
      <c r="DIY2">
        <v>3027</v>
      </c>
      <c r="DIZ2">
        <v>3016</v>
      </c>
      <c r="DJA2">
        <v>3016</v>
      </c>
      <c r="DJB2">
        <v>3825</v>
      </c>
      <c r="DJC2">
        <v>3764</v>
      </c>
      <c r="DJD2">
        <v>3360</v>
      </c>
      <c r="DJE2">
        <v>3847</v>
      </c>
      <c r="DJF2">
        <v>3847</v>
      </c>
      <c r="DJG2">
        <v>3515</v>
      </c>
      <c r="DJH2">
        <v>3960</v>
      </c>
      <c r="DJI2">
        <v>3922</v>
      </c>
      <c r="DJJ2">
        <v>3241</v>
      </c>
      <c r="DJK2">
        <v>3241</v>
      </c>
      <c r="DJL2">
        <v>3352</v>
      </c>
      <c r="DJM2">
        <v>3181</v>
      </c>
      <c r="DJN2">
        <v>3891</v>
      </c>
      <c r="DJO2">
        <v>3321</v>
      </c>
      <c r="DJP2">
        <v>3477</v>
      </c>
      <c r="DJQ2">
        <v>3585</v>
      </c>
      <c r="DJR2">
        <v>3546</v>
      </c>
      <c r="DJS2">
        <v>3304</v>
      </c>
      <c r="DJT2">
        <v>3858</v>
      </c>
      <c r="DJU2">
        <v>3281</v>
      </c>
      <c r="DJV2">
        <v>3358</v>
      </c>
      <c r="DJW2">
        <v>3673</v>
      </c>
      <c r="DJX2">
        <v>3673</v>
      </c>
      <c r="DJY2">
        <v>3608</v>
      </c>
      <c r="DJZ2">
        <v>3885</v>
      </c>
      <c r="DKA2">
        <v>3189</v>
      </c>
      <c r="DKB2">
        <v>3690</v>
      </c>
      <c r="DKC2">
        <v>3691</v>
      </c>
      <c r="DKD2">
        <v>3690</v>
      </c>
      <c r="DKE2">
        <v>3750</v>
      </c>
      <c r="DKF2">
        <v>3888</v>
      </c>
      <c r="DKG2">
        <v>3409</v>
      </c>
      <c r="DKH2">
        <v>3971</v>
      </c>
      <c r="DKI2">
        <v>3960</v>
      </c>
      <c r="DKJ2">
        <v>3115</v>
      </c>
      <c r="DKK2">
        <v>3234</v>
      </c>
      <c r="DKL2">
        <v>3862</v>
      </c>
      <c r="DKM2">
        <v>3737</v>
      </c>
      <c r="DKN2">
        <v>3995</v>
      </c>
      <c r="DKO2">
        <v>3401</v>
      </c>
      <c r="DKP2">
        <v>3962</v>
      </c>
      <c r="DKQ2">
        <v>3596</v>
      </c>
      <c r="DKR2">
        <v>3442</v>
      </c>
      <c r="DKS2">
        <v>3442</v>
      </c>
      <c r="DKT2">
        <v>3715</v>
      </c>
      <c r="DKU2">
        <v>3281</v>
      </c>
      <c r="DKV2">
        <v>3875</v>
      </c>
      <c r="DKW2">
        <v>3294</v>
      </c>
      <c r="DKX2">
        <v>3945</v>
      </c>
      <c r="DKY2">
        <v>3723</v>
      </c>
      <c r="DKZ2">
        <v>3874</v>
      </c>
      <c r="DLA2">
        <v>3874</v>
      </c>
      <c r="DLB2">
        <v>3874</v>
      </c>
      <c r="DLC2">
        <v>3751</v>
      </c>
      <c r="DLD2">
        <v>3551</v>
      </c>
      <c r="DLE2">
        <v>3463</v>
      </c>
      <c r="DLF2">
        <v>3556</v>
      </c>
      <c r="DLG2">
        <v>3249</v>
      </c>
      <c r="DLH2">
        <v>3995</v>
      </c>
      <c r="DLI2">
        <v>3860</v>
      </c>
      <c r="DLJ2">
        <v>3518</v>
      </c>
      <c r="DLK2">
        <v>3276</v>
      </c>
      <c r="DLL2">
        <v>3485</v>
      </c>
      <c r="DLM2">
        <v>3747</v>
      </c>
      <c r="DLN2">
        <v>3962</v>
      </c>
      <c r="DLO2">
        <v>3960</v>
      </c>
      <c r="DLP2">
        <v>3953</v>
      </c>
      <c r="DLQ2">
        <v>3139</v>
      </c>
      <c r="DLR2">
        <v>3589</v>
      </c>
      <c r="DLS2">
        <v>3589</v>
      </c>
      <c r="DLT2">
        <v>3588</v>
      </c>
      <c r="DLU2">
        <v>3272</v>
      </c>
      <c r="DLV2">
        <v>3525</v>
      </c>
      <c r="DLW2">
        <v>3518</v>
      </c>
      <c r="DLX2">
        <v>3315</v>
      </c>
      <c r="DLY2">
        <v>3858</v>
      </c>
      <c r="DLZ2">
        <v>3860</v>
      </c>
      <c r="DMA2">
        <v>3860</v>
      </c>
      <c r="DMB2">
        <v>3891</v>
      </c>
      <c r="DMC2">
        <v>3875</v>
      </c>
      <c r="DMD2">
        <v>3885</v>
      </c>
      <c r="DME2">
        <v>3885</v>
      </c>
      <c r="DMF2">
        <v>3885</v>
      </c>
      <c r="DMG2">
        <v>3635</v>
      </c>
      <c r="DMH2">
        <v>3241</v>
      </c>
      <c r="DMI2">
        <v>3850</v>
      </c>
      <c r="DMJ2">
        <v>3875</v>
      </c>
      <c r="DMK2">
        <v>3527</v>
      </c>
      <c r="DML2">
        <v>3527</v>
      </c>
      <c r="DMM2">
        <v>3525</v>
      </c>
      <c r="DMN2">
        <v>3525</v>
      </c>
      <c r="DMO2">
        <v>3234</v>
      </c>
      <c r="DMP2">
        <v>3237</v>
      </c>
      <c r="DMQ2">
        <v>3024</v>
      </c>
      <c r="DMR2">
        <v>3620</v>
      </c>
      <c r="DMS2">
        <v>3620</v>
      </c>
      <c r="DMT2">
        <v>3424</v>
      </c>
      <c r="DMU2">
        <v>3646</v>
      </c>
      <c r="DMV2">
        <v>3646</v>
      </c>
      <c r="DMW2">
        <v>3749</v>
      </c>
      <c r="DMX2">
        <v>3637</v>
      </c>
      <c r="DMY2">
        <v>3378</v>
      </c>
      <c r="DMZ2">
        <v>3085</v>
      </c>
      <c r="DNA2">
        <v>3825</v>
      </c>
      <c r="DNB2">
        <v>3825</v>
      </c>
      <c r="DNC2">
        <v>3885</v>
      </c>
      <c r="DND2">
        <v>3285</v>
      </c>
      <c r="DNE2">
        <v>3621</v>
      </c>
      <c r="DNF2">
        <v>3755</v>
      </c>
      <c r="DNG2">
        <v>3418</v>
      </c>
      <c r="DNH2">
        <v>3960</v>
      </c>
      <c r="DNI2">
        <v>3537</v>
      </c>
      <c r="DNJ2">
        <v>3461</v>
      </c>
      <c r="DNK2">
        <v>3461</v>
      </c>
      <c r="DNL2">
        <v>3283</v>
      </c>
      <c r="DNM2">
        <v>3858</v>
      </c>
      <c r="DNN2">
        <v>3981</v>
      </c>
      <c r="DNO2">
        <v>3451</v>
      </c>
      <c r="DNP2">
        <v>3719</v>
      </c>
      <c r="DNQ2">
        <v>3283</v>
      </c>
      <c r="DNR2">
        <v>3775</v>
      </c>
      <c r="DNS2">
        <v>3797</v>
      </c>
      <c r="DNT2">
        <v>3516</v>
      </c>
      <c r="DNU2">
        <v>3823</v>
      </c>
      <c r="DNV2">
        <v>3823</v>
      </c>
      <c r="DNW2">
        <v>3971</v>
      </c>
      <c r="DNX2">
        <v>3091</v>
      </c>
      <c r="DNY2">
        <v>3013</v>
      </c>
      <c r="DNZ2">
        <v>3013</v>
      </c>
      <c r="DOA2">
        <v>3575</v>
      </c>
      <c r="DOB2">
        <v>3730</v>
      </c>
      <c r="DOC2">
        <v>3730</v>
      </c>
      <c r="DOD2">
        <v>3644</v>
      </c>
      <c r="DOE2">
        <v>3677</v>
      </c>
      <c r="DOF2">
        <v>3301</v>
      </c>
      <c r="DOG2">
        <v>3478</v>
      </c>
      <c r="DOH2">
        <v>3717</v>
      </c>
      <c r="DOI2">
        <v>3139</v>
      </c>
      <c r="DOJ2">
        <v>3505</v>
      </c>
      <c r="DOK2">
        <v>3352</v>
      </c>
      <c r="DOL2">
        <v>3249</v>
      </c>
      <c r="DOM2">
        <v>3249</v>
      </c>
      <c r="DON2">
        <v>3770</v>
      </c>
      <c r="DOO2">
        <v>3525</v>
      </c>
      <c r="DOP2">
        <v>3525</v>
      </c>
      <c r="DOQ2">
        <v>3638</v>
      </c>
      <c r="DOR2">
        <v>3869</v>
      </c>
      <c r="DOS2">
        <v>3869</v>
      </c>
      <c r="DOT2">
        <v>3477</v>
      </c>
      <c r="DOU2">
        <v>3646</v>
      </c>
      <c r="DOV2">
        <v>3728</v>
      </c>
      <c r="DOW2">
        <v>3301</v>
      </c>
      <c r="DOX2">
        <v>3727</v>
      </c>
      <c r="DOY2">
        <v>3063</v>
      </c>
      <c r="DOZ2">
        <v>3237</v>
      </c>
      <c r="DPA2">
        <v>3634</v>
      </c>
      <c r="DPB2">
        <v>3401</v>
      </c>
    </row>
    <row r="3" spans="1:3122" x14ac:dyDescent="0.45">
      <c r="BX3">
        <v>3551</v>
      </c>
      <c r="HD3">
        <v>3381</v>
      </c>
      <c r="IQ3">
        <v>3555</v>
      </c>
      <c r="AJX3">
        <v>3875</v>
      </c>
      <c r="AQB3">
        <v>3451</v>
      </c>
      <c r="ATG3">
        <v>3549</v>
      </c>
      <c r="AVT3">
        <v>3875</v>
      </c>
      <c r="BCD3">
        <v>3691</v>
      </c>
      <c r="BNW3">
        <v>3004</v>
      </c>
      <c r="BOZ3">
        <v>3875</v>
      </c>
      <c r="BSD3">
        <v>3465</v>
      </c>
      <c r="BWQ3">
        <v>3579</v>
      </c>
      <c r="BZU3">
        <v>3351</v>
      </c>
      <c r="CRU3">
        <v>3957</v>
      </c>
    </row>
    <row r="4" spans="1:3122" x14ac:dyDescent="0.45">
      <c r="AQB4">
        <v>3465</v>
      </c>
    </row>
  </sheetData>
  <conditionalFormatting sqref="A1:XW1">
    <cfRule type="duplicateValues" dxfId="1" priority="1"/>
  </conditionalFormatting>
  <conditionalFormatting sqref="A1:XW1">
    <cfRule type="duplicateValues" dxfId="0" priority="2"/>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784</vt:i4>
      </vt:variant>
    </vt:vector>
  </HeadingPairs>
  <TitlesOfParts>
    <vt:vector size="810" baseType="lpstr">
      <vt:lpstr>Instructions</vt:lpstr>
      <vt:lpstr>Construction &amp; roof types</vt:lpstr>
      <vt:lpstr>DATA ENTRY</vt:lpstr>
      <vt:lpstr>NonFriableRofR</vt:lpstr>
      <vt:lpstr>FriableRofR</vt:lpstr>
      <vt:lpstr>APPENDIX A Non friable ACMs</vt:lpstr>
      <vt:lpstr>APPENDIX B Friable ACMs</vt:lpstr>
      <vt:lpstr>Building Classifications</vt:lpstr>
      <vt:lpstr>Unitsofmeasure</vt:lpstr>
      <vt:lpstr>State Depts</vt:lpstr>
      <vt:lpstr>Picklist Help</vt:lpstr>
      <vt:lpstr>Specific Uses</vt:lpstr>
      <vt:lpstr>Other Lists</vt:lpstr>
      <vt:lpstr>Organisation Type</vt:lpstr>
      <vt:lpstr>Entering Data into the BAR</vt:lpstr>
      <vt:lpstr>Levels</vt:lpstr>
      <vt:lpstr>DET Names</vt:lpstr>
      <vt:lpstr>DJCS Names</vt:lpstr>
      <vt:lpstr>DOT Names</vt:lpstr>
      <vt:lpstr>DJPR Names</vt:lpstr>
      <vt:lpstr>DHHS Names</vt:lpstr>
      <vt:lpstr>Specific Item-ACM Name</vt:lpstr>
      <vt:lpstr>Product Type </vt:lpstr>
      <vt:lpstr>Building Type</vt:lpstr>
      <vt:lpstr>Hygienist Company Names</vt:lpstr>
      <vt:lpstr>Suburbs List</vt:lpstr>
      <vt:lpstr>Abbotsford</vt:lpstr>
      <vt:lpstr>Aberfeldie</vt:lpstr>
      <vt:lpstr>Agency</vt:lpstr>
      <vt:lpstr>Agriculture</vt:lpstr>
      <vt:lpstr>Aintree</vt:lpstr>
      <vt:lpstr>Airport_West</vt:lpstr>
      <vt:lpstr>Albanvale</vt:lpstr>
      <vt:lpstr>Albert_Park</vt:lpstr>
      <vt:lpstr>Albion</vt:lpstr>
      <vt:lpstr>Albury_Wodonga_Health</vt:lpstr>
      <vt:lpstr>Alfred_Health</vt:lpstr>
      <vt:lpstr>Alphington</vt:lpstr>
      <vt:lpstr>Alpine_Health</vt:lpstr>
      <vt:lpstr>Altona</vt:lpstr>
      <vt:lpstr>Altona_East</vt:lpstr>
      <vt:lpstr>Altona_Gate</vt:lpstr>
      <vt:lpstr>Altona_Meadows</vt:lpstr>
      <vt:lpstr>Altona_North</vt:lpstr>
      <vt:lpstr>Ambulance_Victoria</vt:lpstr>
      <vt:lpstr>Ardeer</vt:lpstr>
      <vt:lpstr>Armadale</vt:lpstr>
      <vt:lpstr>Armadale_North</vt:lpstr>
      <vt:lpstr>Arthurs_Seat</vt:lpstr>
      <vt:lpstr>Ascot_Vale</vt:lpstr>
      <vt:lpstr>Ashburton</vt:lpstr>
      <vt:lpstr>Ashwood</vt:lpstr>
      <vt:lpstr>Aspendale</vt:lpstr>
      <vt:lpstr>Aspendale_Gardens</vt:lpstr>
      <vt:lpstr>Attwood</vt:lpstr>
      <vt:lpstr>Auburn</vt:lpstr>
      <vt:lpstr>Auburn_South</vt:lpstr>
      <vt:lpstr>Austin_Health</vt:lpstr>
      <vt:lpstr>Avondale_Heights</vt:lpstr>
      <vt:lpstr>Avonsleigh</vt:lpstr>
      <vt:lpstr>Badger_Creek</vt:lpstr>
      <vt:lpstr>Balaclava</vt:lpstr>
      <vt:lpstr>Ballarat_Health_Services</vt:lpstr>
      <vt:lpstr>Balnarring</vt:lpstr>
      <vt:lpstr>Balnarring_Beach</vt:lpstr>
      <vt:lpstr>Balwyn</vt:lpstr>
      <vt:lpstr>Balwyn_East</vt:lpstr>
      <vt:lpstr>Balwyn_North</vt:lpstr>
      <vt:lpstr>Bangholme</vt:lpstr>
      <vt:lpstr>Banyule</vt:lpstr>
      <vt:lpstr>Banyule_Cemeteries_Trust</vt:lpstr>
      <vt:lpstr>Barwon_Health</vt:lpstr>
      <vt:lpstr>Batman</vt:lpstr>
      <vt:lpstr>Baxter</vt:lpstr>
      <vt:lpstr>Bayles</vt:lpstr>
      <vt:lpstr>Bayswater</vt:lpstr>
      <vt:lpstr>Bayswater_North</vt:lpstr>
      <vt:lpstr>Beaconsfield</vt:lpstr>
      <vt:lpstr>Beaconsfield_Upper</vt:lpstr>
      <vt:lpstr>Beaumaris</vt:lpstr>
      <vt:lpstr>Bedford_Road</vt:lpstr>
      <vt:lpstr>Beenak</vt:lpstr>
      <vt:lpstr>Belgrave</vt:lpstr>
      <vt:lpstr>Belgrave_Heights</vt:lpstr>
      <vt:lpstr>Belgrave_South</vt:lpstr>
      <vt:lpstr>Bell</vt:lpstr>
      <vt:lpstr>Bellbird</vt:lpstr>
      <vt:lpstr>Bend_of_Islands</vt:lpstr>
      <vt:lpstr>Bendigo_Kangan_Institute</vt:lpstr>
      <vt:lpstr>Bennettswood</vt:lpstr>
      <vt:lpstr>Bentleigh</vt:lpstr>
      <vt:lpstr>Bentleigh_East</vt:lpstr>
      <vt:lpstr>Berwick</vt:lpstr>
      <vt:lpstr>Beveridge</vt:lpstr>
      <vt:lpstr>Big_Pats_Creek</vt:lpstr>
      <vt:lpstr>Bittern</vt:lpstr>
      <vt:lpstr>Bitumen_products</vt:lpstr>
      <vt:lpstr>Bitumenproducts</vt:lpstr>
      <vt:lpstr>Black_Rock</vt:lpstr>
      <vt:lpstr>Black_Rock_North</vt:lpstr>
      <vt:lpstr>Blackburn</vt:lpstr>
      <vt:lpstr>Blackburn_North</vt:lpstr>
      <vt:lpstr>Blackburn_South</vt:lpstr>
      <vt:lpstr>Blairgowrie</vt:lpstr>
      <vt:lpstr>Blind_Bight</vt:lpstr>
      <vt:lpstr>Bonbeach</vt:lpstr>
      <vt:lpstr>Boneo</vt:lpstr>
      <vt:lpstr>Bonnie_Brook</vt:lpstr>
      <vt:lpstr>Booran_Road</vt:lpstr>
      <vt:lpstr>Boronia</vt:lpstr>
      <vt:lpstr>Botanic_Ridge</vt:lpstr>
      <vt:lpstr>Box_Hill</vt:lpstr>
      <vt:lpstr>Box_Hill_Central</vt:lpstr>
      <vt:lpstr>Box_Hill_North</vt:lpstr>
      <vt:lpstr>Box_Hill_South</vt:lpstr>
      <vt:lpstr>Braeside</vt:lpstr>
      <vt:lpstr>Brandon_Park</vt:lpstr>
      <vt:lpstr>Braybrook</vt:lpstr>
      <vt:lpstr>Brentford_Square</vt:lpstr>
      <vt:lpstr>Briar_Hill</vt:lpstr>
      <vt:lpstr>Brighton</vt:lpstr>
      <vt:lpstr>Brighton_East</vt:lpstr>
      <vt:lpstr>Brighton_North</vt:lpstr>
      <vt:lpstr>Brighton_Road</vt:lpstr>
      <vt:lpstr>Broadmeadows</vt:lpstr>
      <vt:lpstr>Brookfield</vt:lpstr>
      <vt:lpstr>Brooklyn</vt:lpstr>
      <vt:lpstr>Brunswick</vt:lpstr>
      <vt:lpstr>Brunswick_East</vt:lpstr>
      <vt:lpstr>Brunswick_North</vt:lpstr>
      <vt:lpstr>Brunswick_South</vt:lpstr>
      <vt:lpstr>Brunswick_West</vt:lpstr>
      <vt:lpstr>Bulla</vt:lpstr>
      <vt:lpstr>Bulleen</vt:lpstr>
      <vt:lpstr>Bundoora</vt:lpstr>
      <vt:lpstr>Bunyip</vt:lpstr>
      <vt:lpstr>Bunyip_North</vt:lpstr>
      <vt:lpstr>Burnley</vt:lpstr>
      <vt:lpstr>Burnley_North</vt:lpstr>
      <vt:lpstr>Burnside</vt:lpstr>
      <vt:lpstr>Burnside_Heights</vt:lpstr>
      <vt:lpstr>Burwood</vt:lpstr>
      <vt:lpstr>Burwood_East</vt:lpstr>
      <vt:lpstr>Burwood_Heights</vt:lpstr>
      <vt:lpstr>Bylands</vt:lpstr>
      <vt:lpstr>Cairnlea</vt:lpstr>
      <vt:lpstr>Calder_Park</vt:lpstr>
      <vt:lpstr>Caldermeade</vt:lpstr>
      <vt:lpstr>Cambarville</vt:lpstr>
      <vt:lpstr>Camberwell</vt:lpstr>
      <vt:lpstr>Camberwell_North</vt:lpstr>
      <vt:lpstr>Camberwell_South</vt:lpstr>
      <vt:lpstr>Camberwell_West</vt:lpstr>
      <vt:lpstr>Campbellfield</vt:lpstr>
      <vt:lpstr>Cannons_Creek</vt:lpstr>
      <vt:lpstr>Canterbury</vt:lpstr>
      <vt:lpstr>Cape_Schanck</vt:lpstr>
      <vt:lpstr>Capel_Sound</vt:lpstr>
      <vt:lpstr>Cardinia</vt:lpstr>
      <vt:lpstr>Carlton</vt:lpstr>
      <vt:lpstr>Carlton_North</vt:lpstr>
      <vt:lpstr>Carlton_South</vt:lpstr>
      <vt:lpstr>Carnegie</vt:lpstr>
      <vt:lpstr>Caroline_Springs</vt:lpstr>
      <vt:lpstr>Carrum</vt:lpstr>
      <vt:lpstr>Carrum_Downs</vt:lpstr>
      <vt:lpstr>Catani</vt:lpstr>
      <vt:lpstr>Caulfield</vt:lpstr>
      <vt:lpstr>Caulfield_East</vt:lpstr>
      <vt:lpstr>Caulfield_Junction</vt:lpstr>
      <vt:lpstr>Caulfield_North</vt:lpstr>
      <vt:lpstr>Caulfield_South</vt:lpstr>
      <vt:lpstr>Cement_products</vt:lpstr>
      <vt:lpstr>Cement_products__f</vt:lpstr>
      <vt:lpstr>Cementproductsf</vt:lpstr>
      <vt:lpstr>Central_Gippsland_Health_Service</vt:lpstr>
      <vt:lpstr>Central_Highlands_Rural_Health</vt:lpstr>
      <vt:lpstr>Central_Park</vt:lpstr>
      <vt:lpstr>Chadstone</vt:lpstr>
      <vt:lpstr>Chelsea</vt:lpstr>
      <vt:lpstr>Chelsea_Heights</vt:lpstr>
      <vt:lpstr>Cheltenham</vt:lpstr>
      <vt:lpstr>Cheltenham_East</vt:lpstr>
      <vt:lpstr>Chirnside_Park</vt:lpstr>
      <vt:lpstr>Christmas_Hills</vt:lpstr>
      <vt:lpstr>Chum_Creek</vt:lpstr>
      <vt:lpstr>Clarinda</vt:lpstr>
      <vt:lpstr>Clarkefield</vt:lpstr>
      <vt:lpstr>Clayton</vt:lpstr>
      <vt:lpstr>Clayton_South</vt:lpstr>
      <vt:lpstr>Clematis</vt:lpstr>
      <vt:lpstr>Clifton_Hill</vt:lpstr>
      <vt:lpstr>Clyde</vt:lpstr>
      <vt:lpstr>Clyde_North</vt:lpstr>
      <vt:lpstr>Coatings</vt:lpstr>
      <vt:lpstr>Cobblebank</vt:lpstr>
      <vt:lpstr>Coburg</vt:lpstr>
      <vt:lpstr>Coburg_North</vt:lpstr>
      <vt:lpstr>Cockatoo</vt:lpstr>
      <vt:lpstr>Cocoroc</vt:lpstr>
      <vt:lpstr>Coldstream</vt:lpstr>
      <vt:lpstr>Collingwood</vt:lpstr>
      <vt:lpstr>Collingwood_North</vt:lpstr>
      <vt:lpstr>Commercial_and_retail</vt:lpstr>
      <vt:lpstr>Commercialandretail</vt:lpstr>
      <vt:lpstr>Condition</vt:lpstr>
      <vt:lpstr>Coolaroo</vt:lpstr>
      <vt:lpstr>Cora_Lynn</vt:lpstr>
      <vt:lpstr>Correctional_and_justice_facilities</vt:lpstr>
      <vt:lpstr>Correctionalandjusticefacilities</vt:lpstr>
      <vt:lpstr>Corrections_Victoria</vt:lpstr>
      <vt:lpstr>Cotham</vt:lpstr>
      <vt:lpstr>Cottles_Bridge</vt:lpstr>
      <vt:lpstr>Country_Fire_Authority__CFA</vt:lpstr>
      <vt:lpstr>Craigieburn</vt:lpstr>
      <vt:lpstr>Cranbourne</vt:lpstr>
      <vt:lpstr>Cranbourne_East</vt:lpstr>
      <vt:lpstr>Cranbourne_North</vt:lpstr>
      <vt:lpstr>Cranbourne_South</vt:lpstr>
      <vt:lpstr>Cranbourne_West</vt:lpstr>
      <vt:lpstr>Creative_Victoria</vt:lpstr>
      <vt:lpstr>Cremorne</vt:lpstr>
      <vt:lpstr>Crib_Point</vt:lpstr>
      <vt:lpstr>Cross_Keys</vt:lpstr>
      <vt:lpstr>Croxton_East</vt:lpstr>
      <vt:lpstr>Croydon</vt:lpstr>
      <vt:lpstr>Croydon_Hills</vt:lpstr>
      <vt:lpstr>Croydon_North</vt:lpstr>
      <vt:lpstr>Croydon_South</vt:lpstr>
      <vt:lpstr>CSV</vt:lpstr>
      <vt:lpstr>cubicmetres</vt:lpstr>
      <vt:lpstr>Dallas</vt:lpstr>
      <vt:lpstr>Dalmore</vt:lpstr>
      <vt:lpstr>Dandenong</vt:lpstr>
      <vt:lpstr>Dandenong_East</vt:lpstr>
      <vt:lpstr>Dandenong_North</vt:lpstr>
      <vt:lpstr>Darling</vt:lpstr>
      <vt:lpstr>Darling_South</vt:lpstr>
      <vt:lpstr>Deanside</vt:lpstr>
      <vt:lpstr>Deepdene</vt:lpstr>
      <vt:lpstr>Deer_Park</vt:lpstr>
      <vt:lpstr>Defence_and_emergency_services</vt:lpstr>
      <vt:lpstr>Defenceandemergencyservices</vt:lpstr>
      <vt:lpstr>Delahey</vt:lpstr>
      <vt:lpstr>DELWP</vt:lpstr>
      <vt:lpstr>Dendy</vt:lpstr>
      <vt:lpstr>Dental_Health_Services_Victoria</vt:lpstr>
      <vt:lpstr>Department</vt:lpstr>
      <vt:lpstr>Derrimut</vt:lpstr>
      <vt:lpstr>DET</vt:lpstr>
      <vt:lpstr>Devon_Meadows</vt:lpstr>
      <vt:lpstr>Dewhurst</vt:lpstr>
      <vt:lpstr>DHHS</vt:lpstr>
      <vt:lpstr>Diamond_Creek</vt:lpstr>
      <vt:lpstr>Diggers_Rest</vt:lpstr>
      <vt:lpstr>Dingley_Village</vt:lpstr>
      <vt:lpstr>Disposal_Site</vt:lpstr>
      <vt:lpstr>Disturbancepotential</vt:lpstr>
      <vt:lpstr>Dixons_Creek</vt:lpstr>
      <vt:lpstr>DJCS</vt:lpstr>
      <vt:lpstr>DJPR</vt:lpstr>
      <vt:lpstr>Docklands</vt:lpstr>
      <vt:lpstr>Don_Valley</vt:lpstr>
      <vt:lpstr>Doncaster</vt:lpstr>
      <vt:lpstr>Doncaster_East</vt:lpstr>
      <vt:lpstr>Doncaster_Heights</vt:lpstr>
      <vt:lpstr>Donnybrook</vt:lpstr>
      <vt:lpstr>Donvale</vt:lpstr>
      <vt:lpstr>Doreen</vt:lpstr>
      <vt:lpstr>DoT</vt:lpstr>
      <vt:lpstr>Doveton</vt:lpstr>
      <vt:lpstr>DPC</vt:lpstr>
      <vt:lpstr>DPS</vt:lpstr>
      <vt:lpstr>Dromana</vt:lpstr>
      <vt:lpstr>DTF</vt:lpstr>
      <vt:lpstr>Dunearn</vt:lpstr>
      <vt:lpstr>Eaglemont</vt:lpstr>
      <vt:lpstr>East_Camberwell</vt:lpstr>
      <vt:lpstr>East_Melbourne</vt:lpstr>
      <vt:lpstr>East_Wimmera_Health_Service</vt:lpstr>
      <vt:lpstr>Eastern_Health</vt:lpstr>
      <vt:lpstr>Eastwood</vt:lpstr>
      <vt:lpstr>Eden_Park</vt:lpstr>
      <vt:lpstr>Edithvale</vt:lpstr>
      <vt:lpstr>Educational_and_training_facilities</vt:lpstr>
      <vt:lpstr>Elsternwick</vt:lpstr>
      <vt:lpstr>Eltham</vt:lpstr>
      <vt:lpstr>Eltham_North</vt:lpstr>
      <vt:lpstr>Elwood</vt:lpstr>
      <vt:lpstr>Emerald</vt:lpstr>
      <vt:lpstr>Endeavour_Hills</vt:lpstr>
      <vt:lpstr>Epping</vt:lpstr>
      <vt:lpstr>Essendon</vt:lpstr>
      <vt:lpstr>Essendon_Fields</vt:lpstr>
      <vt:lpstr>Essendon_North</vt:lpstr>
      <vt:lpstr>Essendon_West</vt:lpstr>
      <vt:lpstr>ESTA</vt:lpstr>
      <vt:lpstr>Eumemmerring</vt:lpstr>
      <vt:lpstr>Exford</vt:lpstr>
      <vt:lpstr>Eynesbury</vt:lpstr>
      <vt:lpstr>Factories__warehouses_and_shops</vt:lpstr>
      <vt:lpstr>Factories_and_warehouses_and_shops</vt:lpstr>
      <vt:lpstr>Factorieswarehousesandshops</vt:lpstr>
      <vt:lpstr>Fairfield</vt:lpstr>
      <vt:lpstr>Fawkner</vt:lpstr>
      <vt:lpstr>Fernshaw</vt:lpstr>
      <vt:lpstr>Ferntree_Gully</vt:lpstr>
      <vt:lpstr>Ferny_Creek</vt:lpstr>
      <vt:lpstr>Fieldstone</vt:lpstr>
      <vt:lpstr>Fingal</vt:lpstr>
      <vt:lpstr>Fire_Rescue_Victoria__FRV</vt:lpstr>
      <vt:lpstr>Fitzroy</vt:lpstr>
      <vt:lpstr>Fitzroy_North</vt:lpstr>
      <vt:lpstr>Flemington</vt:lpstr>
      <vt:lpstr>Flinders</vt:lpstr>
      <vt:lpstr>Footscray</vt:lpstr>
      <vt:lpstr>Forest_Hill</vt:lpstr>
      <vt:lpstr>Frankston</vt:lpstr>
      <vt:lpstr>Frankston_East</vt:lpstr>
      <vt:lpstr>Frankston_Heights</vt:lpstr>
      <vt:lpstr>Frankston_North</vt:lpstr>
      <vt:lpstr>Frankston_South</vt:lpstr>
      <vt:lpstr>Fraser_Rise</vt:lpstr>
      <vt:lpstr>Frequencyofuse</vt:lpstr>
      <vt:lpstr>Friability</vt:lpstr>
      <vt:lpstr>Friable</vt:lpstr>
      <vt:lpstr>Garden_City</vt:lpstr>
      <vt:lpstr>Gardenvale</vt:lpstr>
      <vt:lpstr>Garfield</vt:lpstr>
      <vt:lpstr>Garfield_North</vt:lpstr>
      <vt:lpstr>Gasket__friction_products_and_adhesives</vt:lpstr>
      <vt:lpstr>Gasket__friction_products_and_adhesives__f</vt:lpstr>
      <vt:lpstr>Gasketfrictionproductsandadhesives</vt:lpstr>
      <vt:lpstr>Gasketproductsf</vt:lpstr>
      <vt:lpstr>Geelong_Cemeteries_Trust</vt:lpstr>
      <vt:lpstr>Gembrook</vt:lpstr>
      <vt:lpstr>Gilberton</vt:lpstr>
      <vt:lpstr>Gilderoy</vt:lpstr>
      <vt:lpstr>Gladstone_Park</vt:lpstr>
      <vt:lpstr>Gladysdale</vt:lpstr>
      <vt:lpstr>Glen_Huntly</vt:lpstr>
      <vt:lpstr>Glen_Iris</vt:lpstr>
      <vt:lpstr>Glen_Park</vt:lpstr>
      <vt:lpstr>Glen_Waverley</vt:lpstr>
      <vt:lpstr>Glenferrie</vt:lpstr>
      <vt:lpstr>Glengala</vt:lpstr>
      <vt:lpstr>Glenroy</vt:lpstr>
      <vt:lpstr>Goulburn_Valley_Health</vt:lpstr>
      <vt:lpstr>Gowanbrae</vt:lpstr>
      <vt:lpstr>Grangefields</vt:lpstr>
      <vt:lpstr>Great_Ocean_Road_Health</vt:lpstr>
      <vt:lpstr>Greensborough</vt:lpstr>
      <vt:lpstr>Greenvale</vt:lpstr>
      <vt:lpstr>Greythorn</vt:lpstr>
      <vt:lpstr>Gruyere</vt:lpstr>
      <vt:lpstr>Guys_Hill</vt:lpstr>
      <vt:lpstr>Hadfield</vt:lpstr>
      <vt:lpstr>Hallam</vt:lpstr>
      <vt:lpstr>Hampton</vt:lpstr>
      <vt:lpstr>Hampton_East</vt:lpstr>
      <vt:lpstr>Hampton_Park</vt:lpstr>
      <vt:lpstr>Harkaway</vt:lpstr>
      <vt:lpstr>Harkness</vt:lpstr>
      <vt:lpstr>Hartwell</vt:lpstr>
      <vt:lpstr>Hastings</vt:lpstr>
      <vt:lpstr>Hawksburn</vt:lpstr>
      <vt:lpstr>Hawthorn</vt:lpstr>
      <vt:lpstr>Hawthorn_East</vt:lpstr>
      <vt:lpstr>Hawthorn_North</vt:lpstr>
      <vt:lpstr>Hawthorn_West</vt:lpstr>
      <vt:lpstr>Healesville</vt:lpstr>
      <vt:lpstr>Health_services</vt:lpstr>
      <vt:lpstr>Healthservices</vt:lpstr>
      <vt:lpstr>Heath_Hill</vt:lpstr>
      <vt:lpstr>Heatherton</vt:lpstr>
      <vt:lpstr>Heathmont</vt:lpstr>
      <vt:lpstr>Heathwood</vt:lpstr>
      <vt:lpstr>Heidelberg</vt:lpstr>
      <vt:lpstr>Heidelberg_Heights</vt:lpstr>
      <vt:lpstr>Heidelberg_West</vt:lpstr>
      <vt:lpstr>Hesse_Rural_Health_Service</vt:lpstr>
      <vt:lpstr>Highett</vt:lpstr>
      <vt:lpstr>Hillside</vt:lpstr>
      <vt:lpstr>HMAS_Cerberus</vt:lpstr>
      <vt:lpstr>Hoddles_Creek</vt:lpstr>
      <vt:lpstr>Holmesglen</vt:lpstr>
      <vt:lpstr>Hopetoun_Gardens</vt:lpstr>
      <vt:lpstr>Hoppers_Crossing</vt:lpstr>
      <vt:lpstr>Hotham_Hill</vt:lpstr>
      <vt:lpstr>Housing_and_accommodation</vt:lpstr>
      <vt:lpstr>Housingandaccommodation</vt:lpstr>
      <vt:lpstr>Houston</vt:lpstr>
      <vt:lpstr>Hughesdale</vt:lpstr>
      <vt:lpstr>Humevale</vt:lpstr>
      <vt:lpstr>Huntingdale</vt:lpstr>
      <vt:lpstr>Hurstbridge</vt:lpstr>
      <vt:lpstr>Insulation_Products</vt:lpstr>
      <vt:lpstr>Insulation_products__f</vt:lpstr>
      <vt:lpstr>Insulationproductsf</vt:lpstr>
      <vt:lpstr>InternalExternal</vt:lpstr>
      <vt:lpstr>Iona</vt:lpstr>
      <vt:lpstr>IT_and_communications</vt:lpstr>
      <vt:lpstr>ITandcommunications</vt:lpstr>
      <vt:lpstr>Ivanhoe</vt:lpstr>
      <vt:lpstr>Ivanhoe_East</vt:lpstr>
      <vt:lpstr>Ivanhoe_North</vt:lpstr>
      <vt:lpstr>Jacana</vt:lpstr>
      <vt:lpstr>Jordanville</vt:lpstr>
      <vt:lpstr>Junction_Village</vt:lpstr>
      <vt:lpstr>Kalkallo</vt:lpstr>
      <vt:lpstr>Kallista</vt:lpstr>
      <vt:lpstr>Kalorama</vt:lpstr>
      <vt:lpstr>Kangaroo_Ground</vt:lpstr>
      <vt:lpstr>Karingal</vt:lpstr>
      <vt:lpstr>Kealba</vt:lpstr>
      <vt:lpstr>Keilor</vt:lpstr>
      <vt:lpstr>Keilor_Downs</vt:lpstr>
      <vt:lpstr>Keilor_East</vt:lpstr>
      <vt:lpstr>Keilor_Lodge</vt:lpstr>
      <vt:lpstr>Keilor_North</vt:lpstr>
      <vt:lpstr>Keilor_Park</vt:lpstr>
      <vt:lpstr>Kensington</vt:lpstr>
      <vt:lpstr>Kerrimuir</vt:lpstr>
      <vt:lpstr>Kew</vt:lpstr>
      <vt:lpstr>Kew_East</vt:lpstr>
      <vt:lpstr>Keysborough</vt:lpstr>
      <vt:lpstr>Killara</vt:lpstr>
      <vt:lpstr>Kilsyth</vt:lpstr>
      <vt:lpstr>Kilsyth_South</vt:lpstr>
      <vt:lpstr>Kinglake</vt:lpstr>
      <vt:lpstr>Kinglake_West</vt:lpstr>
      <vt:lpstr>Kings_Park</vt:lpstr>
      <vt:lpstr>Kingsbury</vt:lpstr>
      <vt:lpstr>Kingsville</vt:lpstr>
      <vt:lpstr>Knox_City_Centre</vt:lpstr>
      <vt:lpstr>Knoxfield</vt:lpstr>
      <vt:lpstr>Koo_Wee_Rup</vt:lpstr>
      <vt:lpstr>Koo_Wee_Rup_North</vt:lpstr>
      <vt:lpstr>Kooyong</vt:lpstr>
      <vt:lpstr>Kunyung</vt:lpstr>
      <vt:lpstr>Kurunjang</vt:lpstr>
      <vt:lpstr>Laburnum</vt:lpstr>
      <vt:lpstr>Lalor</vt:lpstr>
      <vt:lpstr>Lang_Lang</vt:lpstr>
      <vt:lpstr>Lang_Lang_East</vt:lpstr>
      <vt:lpstr>Langwarrin</vt:lpstr>
      <vt:lpstr>Langwarrin_South</vt:lpstr>
      <vt:lpstr>Latrobe_Regional_Hospital</vt:lpstr>
      <vt:lpstr>Launching_Place</vt:lpstr>
      <vt:lpstr>Laverton</vt:lpstr>
      <vt:lpstr>Laverton_North</vt:lpstr>
      <vt:lpstr>Lilydale</vt:lpstr>
      <vt:lpstr>Little_River</vt:lpstr>
      <vt:lpstr>lm</vt:lpstr>
      <vt:lpstr>Local_Government_Authority</vt:lpstr>
      <vt:lpstr>Longwarry</vt:lpstr>
      <vt:lpstr>Lower_Plenty</vt:lpstr>
      <vt:lpstr>Lynbrook</vt:lpstr>
      <vt:lpstr>Lyndhurst</vt:lpstr>
      <vt:lpstr>Lysterfield</vt:lpstr>
      <vt:lpstr>Lysterfield_South</vt:lpstr>
      <vt:lpstr>Macclesfield</vt:lpstr>
      <vt:lpstr>Macedon</vt:lpstr>
      <vt:lpstr>Macleod</vt:lpstr>
      <vt:lpstr>Macleod_West</vt:lpstr>
      <vt:lpstr>Maidstone</vt:lpstr>
      <vt:lpstr>Main_Ridge</vt:lpstr>
      <vt:lpstr>Mallee_Track_Health_And_Community_Service</vt:lpstr>
      <vt:lpstr>Malvern</vt:lpstr>
      <vt:lpstr>Malvern_East</vt:lpstr>
      <vt:lpstr>Malvern_North</vt:lpstr>
      <vt:lpstr>Mambourin</vt:lpstr>
      <vt:lpstr>Manor_Lakes</vt:lpstr>
      <vt:lpstr>Maribyrnong</vt:lpstr>
      <vt:lpstr>Maryborough_District_Health_Service</vt:lpstr>
      <vt:lpstr>Maryknoll</vt:lpstr>
      <vt:lpstr>Matlock</vt:lpstr>
      <vt:lpstr>McCrae</vt:lpstr>
      <vt:lpstr>McKinnon</vt:lpstr>
      <vt:lpstr>McMahons_Creek</vt:lpstr>
      <vt:lpstr>Meadow_Heights</vt:lpstr>
      <vt:lpstr>Melbourne</vt:lpstr>
      <vt:lpstr>Melbourne_Airport</vt:lpstr>
      <vt:lpstr>Melbourne_Health</vt:lpstr>
      <vt:lpstr>Melton</vt:lpstr>
      <vt:lpstr>Melton_South</vt:lpstr>
      <vt:lpstr>Melton_West</vt:lpstr>
      <vt:lpstr>Mentone</vt:lpstr>
      <vt:lpstr>Mentone_East</vt:lpstr>
      <vt:lpstr>Menzies_Creek</vt:lpstr>
      <vt:lpstr>Merlynston</vt:lpstr>
      <vt:lpstr>Mernda</vt:lpstr>
      <vt:lpstr>Merriang</vt:lpstr>
      <vt:lpstr>Merricks</vt:lpstr>
      <vt:lpstr>Merricks_Beach</vt:lpstr>
      <vt:lpstr>Merricks_North</vt:lpstr>
      <vt:lpstr>Metro_Trains</vt:lpstr>
      <vt:lpstr>Mickleham</vt:lpstr>
      <vt:lpstr>Middle_Park</vt:lpstr>
      <vt:lpstr>Mill_Park</vt:lpstr>
      <vt:lpstr>Millgrove</vt:lpstr>
      <vt:lpstr>Mitcham</vt:lpstr>
      <vt:lpstr>Modella</vt:lpstr>
      <vt:lpstr>Monash_Health</vt:lpstr>
      <vt:lpstr>Monash_University</vt:lpstr>
      <vt:lpstr>Monbulk</vt:lpstr>
      <vt:lpstr>Monomeith</vt:lpstr>
      <vt:lpstr>Mont_Albert</vt:lpstr>
      <vt:lpstr>Mont_Albert_North</vt:lpstr>
      <vt:lpstr>Montmorency</vt:lpstr>
      <vt:lpstr>Montrose</vt:lpstr>
      <vt:lpstr>Moonee_Ponds</vt:lpstr>
      <vt:lpstr>Moonee_Vale</vt:lpstr>
      <vt:lpstr>Moorabbin</vt:lpstr>
      <vt:lpstr>Moorabbin_Airport</vt:lpstr>
      <vt:lpstr>Moorabbin_East</vt:lpstr>
      <vt:lpstr>Moorooduc</vt:lpstr>
      <vt:lpstr>Mooroolbark</vt:lpstr>
      <vt:lpstr>Mordialloc</vt:lpstr>
      <vt:lpstr>Moreland</vt:lpstr>
      <vt:lpstr>Moreland_West</vt:lpstr>
      <vt:lpstr>Mornington</vt:lpstr>
      <vt:lpstr>Mount_Burnett</vt:lpstr>
      <vt:lpstr>Mount_Cottrell</vt:lpstr>
      <vt:lpstr>Mount_Dandenong</vt:lpstr>
      <vt:lpstr>Mount_Eliza</vt:lpstr>
      <vt:lpstr>Mount_Evelyn</vt:lpstr>
      <vt:lpstr>Mount_Martha</vt:lpstr>
      <vt:lpstr>Mount_Toolebewong</vt:lpstr>
      <vt:lpstr>Mount_Waverley</vt:lpstr>
      <vt:lpstr>Mountain_Gate</vt:lpstr>
      <vt:lpstr>Moyne_Health_Services</vt:lpstr>
      <vt:lpstr>Mulgrave</vt:lpstr>
      <vt:lpstr>Murrumbeena</vt:lpstr>
      <vt:lpstr>Nangana</vt:lpstr>
      <vt:lpstr>Nar_Nar_Goon</vt:lpstr>
      <vt:lpstr>Nar_Nar_Goon_North</vt:lpstr>
      <vt:lpstr>Narre_Warren</vt:lpstr>
      <vt:lpstr>Narre_Warren_East</vt:lpstr>
      <vt:lpstr>Narre_Warren_North</vt:lpstr>
      <vt:lpstr>Narre_Warren_South</vt:lpstr>
      <vt:lpstr>NCN_Health</vt:lpstr>
      <vt:lpstr>Newport</vt:lpstr>
      <vt:lpstr>Niddrie</vt:lpstr>
      <vt:lpstr>Noble_Park</vt:lpstr>
      <vt:lpstr>Noble_Park_North</vt:lpstr>
      <vt:lpstr>Non_friable</vt:lpstr>
      <vt:lpstr>Nonfriable</vt:lpstr>
      <vt:lpstr>North_Melbourne</vt:lpstr>
      <vt:lpstr>North_Richmond</vt:lpstr>
      <vt:lpstr>North_Road</vt:lpstr>
      <vt:lpstr>North_Warrandyte</vt:lpstr>
      <vt:lpstr>Northcote</vt:lpstr>
      <vt:lpstr>Northcote_South</vt:lpstr>
      <vt:lpstr>notneeded</vt:lpstr>
      <vt:lpstr>Notting_Hill</vt:lpstr>
      <vt:lpstr>Nunawading</vt:lpstr>
      <vt:lpstr>Nutfield</vt:lpstr>
      <vt:lpstr>Nyora</vt:lpstr>
      <vt:lpstr>Oak_Park</vt:lpstr>
      <vt:lpstr>Oaklands_Junction</vt:lpstr>
      <vt:lpstr>Oakleigh</vt:lpstr>
      <vt:lpstr>Oakleigh_East</vt:lpstr>
      <vt:lpstr>Oakleigh_South</vt:lpstr>
      <vt:lpstr>Officer</vt:lpstr>
      <vt:lpstr>Officer_South</vt:lpstr>
      <vt:lpstr>Offices_and_professional_services</vt:lpstr>
      <vt:lpstr>Officesandprofessionalservices</vt:lpstr>
      <vt:lpstr>Olinda</vt:lpstr>
      <vt:lpstr>Ormond</vt:lpstr>
      <vt:lpstr>Other</vt:lpstr>
      <vt:lpstr>Other__f</vt:lpstr>
      <vt:lpstr>Otherf</vt:lpstr>
      <vt:lpstr>Ownedorleased</vt:lpstr>
      <vt:lpstr>Pakenham</vt:lpstr>
      <vt:lpstr>Pakenham_South</vt:lpstr>
      <vt:lpstr>Pakenham_Upper</vt:lpstr>
      <vt:lpstr>Panton_Hill</vt:lpstr>
      <vt:lpstr>Park_Orchards</vt:lpstr>
      <vt:lpstr>Parkdale</vt:lpstr>
      <vt:lpstr>Parkville</vt:lpstr>
      <vt:lpstr>Parwan</vt:lpstr>
      <vt:lpstr>Pascoe_Vale</vt:lpstr>
      <vt:lpstr>Pascoe_Vale_South</vt:lpstr>
      <vt:lpstr>Patterson</vt:lpstr>
      <vt:lpstr>Patterson_Lakes</vt:lpstr>
      <vt:lpstr>Pavilion</vt:lpstr>
      <vt:lpstr>Pearcedale</vt:lpstr>
      <vt:lpstr>Peninsula_Health</vt:lpstr>
      <vt:lpstr>Pines_Forest</vt:lpstr>
      <vt:lpstr>Pinewood</vt:lpstr>
      <vt:lpstr>Plenty</vt:lpstr>
      <vt:lpstr>Plumpton</vt:lpstr>
      <vt:lpstr>Point_Cook</vt:lpstr>
      <vt:lpstr>Point_Leo</vt:lpstr>
      <vt:lpstr>Port_Melbourne</vt:lpstr>
      <vt:lpstr>Portsea</vt:lpstr>
      <vt:lpstr>Powelltown</vt:lpstr>
      <vt:lpstr>Prahran</vt:lpstr>
      <vt:lpstr>Preston</vt:lpstr>
      <vt:lpstr>Preston_West</vt:lpstr>
      <vt:lpstr>Princes_Hill</vt:lpstr>
      <vt:lpstr>Public_and_family_services</vt:lpstr>
      <vt:lpstr>Publicandfamilyservices</vt:lpstr>
      <vt:lpstr>Quandong</vt:lpstr>
      <vt:lpstr>Rangeview</vt:lpstr>
      <vt:lpstr>Ravenhall</vt:lpstr>
      <vt:lpstr>Red_Hill</vt:lpstr>
      <vt:lpstr>Red_Hill_South</vt:lpstr>
      <vt:lpstr>Reefton</vt:lpstr>
      <vt:lpstr>Regent_West</vt:lpstr>
      <vt:lpstr>Reinforced_plastics_resins__excluding_bitumen_products</vt:lpstr>
      <vt:lpstr>Reinforcedplasticsresinsexcludingbitumenproducts</vt:lpstr>
      <vt:lpstr>Research</vt:lpstr>
      <vt:lpstr>Reservoir</vt:lpstr>
      <vt:lpstr>Richmond</vt:lpstr>
      <vt:lpstr>Richmond_East</vt:lpstr>
      <vt:lpstr>Richmond_South</vt:lpstr>
      <vt:lpstr>Ringwood</vt:lpstr>
      <vt:lpstr>Ringwood_East</vt:lpstr>
      <vt:lpstr>Ringwood_North</vt:lpstr>
      <vt:lpstr>Ripponlea</vt:lpstr>
      <vt:lpstr>Riskofrelease</vt:lpstr>
      <vt:lpstr>Rockbank</vt:lpstr>
      <vt:lpstr>Rosanna</vt:lpstr>
      <vt:lpstr>Rosebud</vt:lpstr>
      <vt:lpstr>Rosebud_Plaza</vt:lpstr>
      <vt:lpstr>RowMarker</vt:lpstr>
      <vt:lpstr>Rowville</vt:lpstr>
      <vt:lpstr>Roxburgh_Park</vt:lpstr>
      <vt:lpstr>Rye</vt:lpstr>
      <vt:lpstr>Rythdale</vt:lpstr>
      <vt:lpstr>Safety_Beach</vt:lpstr>
      <vt:lpstr>Sample_analysis_result</vt:lpstr>
      <vt:lpstr>Sampleanalysisresult</vt:lpstr>
      <vt:lpstr>Sandhurst</vt:lpstr>
      <vt:lpstr>Sandringham</vt:lpstr>
      <vt:lpstr>Sassafras</vt:lpstr>
      <vt:lpstr>Sassafras_Gully</vt:lpstr>
      <vt:lpstr>Scoresby</vt:lpstr>
      <vt:lpstr>Seabrook</vt:lpstr>
      <vt:lpstr>Seaford</vt:lpstr>
      <vt:lpstr>Seaholme</vt:lpstr>
      <vt:lpstr>Seddon</vt:lpstr>
      <vt:lpstr>Selby</vt:lpstr>
      <vt:lpstr>SES</vt:lpstr>
      <vt:lpstr>Seville</vt:lpstr>
      <vt:lpstr>Seville_East</vt:lpstr>
      <vt:lpstr>Sherbrooke</vt:lpstr>
      <vt:lpstr>Shoreham</vt:lpstr>
      <vt:lpstr>Silvan</vt:lpstr>
      <vt:lpstr>Skye</vt:lpstr>
      <vt:lpstr>Smiths_Gully</vt:lpstr>
      <vt:lpstr>Somers</vt:lpstr>
      <vt:lpstr>Somerton</vt:lpstr>
      <vt:lpstr>Somerville</vt:lpstr>
      <vt:lpstr>Sorrento</vt:lpstr>
      <vt:lpstr>South_Kingsville</vt:lpstr>
      <vt:lpstr>South_Melbourne</vt:lpstr>
      <vt:lpstr>South_Morang</vt:lpstr>
      <vt:lpstr>South_Preston</vt:lpstr>
      <vt:lpstr>South_West_Healthcare</vt:lpstr>
      <vt:lpstr>South_Wharf</vt:lpstr>
      <vt:lpstr>South_Yarra</vt:lpstr>
      <vt:lpstr>Southbank</vt:lpstr>
      <vt:lpstr>Southland_Centre</vt:lpstr>
      <vt:lpstr>Specificuses</vt:lpstr>
      <vt:lpstr>Spotswood</vt:lpstr>
      <vt:lpstr>Springvale</vt:lpstr>
      <vt:lpstr>Springvale_South</vt:lpstr>
      <vt:lpstr>sqm</vt:lpstr>
      <vt:lpstr>St_Albans</vt:lpstr>
      <vt:lpstr>St_Andrews</vt:lpstr>
      <vt:lpstr>St_Andrews_Beach</vt:lpstr>
      <vt:lpstr>St_Helena</vt:lpstr>
      <vt:lpstr>St_Kilda</vt:lpstr>
      <vt:lpstr>St_Kilda_East</vt:lpstr>
      <vt:lpstr>St_Kilda_South</vt:lpstr>
      <vt:lpstr>St_Kilda_West</vt:lpstr>
      <vt:lpstr>Steels_Creek</vt:lpstr>
      <vt:lpstr>Stradbroke_Park</vt:lpstr>
      <vt:lpstr>Strathewen</vt:lpstr>
      <vt:lpstr>Strathmore</vt:lpstr>
      <vt:lpstr>Strathmore_Heights</vt:lpstr>
      <vt:lpstr>Strathtulloh</vt:lpstr>
      <vt:lpstr>Studfield</vt:lpstr>
      <vt:lpstr>Sub_Agency</vt:lpstr>
      <vt:lpstr>Sumner</vt:lpstr>
      <vt:lpstr>Sunbury</vt:lpstr>
      <vt:lpstr>Sunraysia_Institute_of_TAFE</vt:lpstr>
      <vt:lpstr>Sunshine</vt:lpstr>
      <vt:lpstr>Sunshine_North</vt:lpstr>
      <vt:lpstr>Sunshine_West</vt:lpstr>
      <vt:lpstr>Surrey_Hills</vt:lpstr>
      <vt:lpstr>Surrey_Hills_South</vt:lpstr>
      <vt:lpstr>Sydenham</vt:lpstr>
      <vt:lpstr>Syndal</vt:lpstr>
      <vt:lpstr>TAFE_Gippsland</vt:lpstr>
      <vt:lpstr>Tarneit</vt:lpstr>
      <vt:lpstr>Tarrawarra</vt:lpstr>
      <vt:lpstr>Taylors_Hill</vt:lpstr>
      <vt:lpstr>Taylors_Lakes</vt:lpstr>
      <vt:lpstr>Tecoma</vt:lpstr>
      <vt:lpstr>Templestowe</vt:lpstr>
      <vt:lpstr>Templestowe_Lower</vt:lpstr>
      <vt:lpstr>Terang_And_Mortlake_Health_Service</vt:lpstr>
      <vt:lpstr>Textiles</vt:lpstr>
      <vt:lpstr>Textiles__f</vt:lpstr>
      <vt:lpstr>Textilesf</vt:lpstr>
      <vt:lpstr>The_Basin</vt:lpstr>
      <vt:lpstr>The_Patch</vt:lpstr>
      <vt:lpstr>The_Royal_Children_s_Hospital</vt:lpstr>
      <vt:lpstr>The_Royal_Victorian_Eye_and_Ear_Hospital</vt:lpstr>
      <vt:lpstr>Thomastown</vt:lpstr>
      <vt:lpstr>Thornbury</vt:lpstr>
      <vt:lpstr>Thornhill_Park</vt:lpstr>
      <vt:lpstr>Three_Bridges</vt:lpstr>
      <vt:lpstr>Tonimbuk</vt:lpstr>
      <vt:lpstr>Toolangi</vt:lpstr>
      <vt:lpstr>Toolern_Vale</vt:lpstr>
      <vt:lpstr>Tooradin</vt:lpstr>
      <vt:lpstr>Toorak</vt:lpstr>
      <vt:lpstr>Tooronga</vt:lpstr>
      <vt:lpstr>Toorongo</vt:lpstr>
      <vt:lpstr>Tootgarook</vt:lpstr>
      <vt:lpstr>Tottenham</vt:lpstr>
      <vt:lpstr>Transport</vt:lpstr>
      <vt:lpstr>Travancore</vt:lpstr>
      <vt:lpstr>Tremont</vt:lpstr>
      <vt:lpstr>Truganina</vt:lpstr>
      <vt:lpstr>Tuerong</vt:lpstr>
      <vt:lpstr>Tullamarine</vt:lpstr>
      <vt:lpstr>Tyabb</vt:lpstr>
      <vt:lpstr>Tynong</vt:lpstr>
      <vt:lpstr>Tynong_North</vt:lpstr>
      <vt:lpstr>units</vt:lpstr>
      <vt:lpstr>Unknown_other</vt:lpstr>
      <vt:lpstr>Unknownother</vt:lpstr>
      <vt:lpstr>Upper_Ferntree_Gully</vt:lpstr>
      <vt:lpstr>Upwey</vt:lpstr>
      <vt:lpstr>V_Line_Pty_Ltd</vt:lpstr>
      <vt:lpstr>ValidationRangeDept</vt:lpstr>
      <vt:lpstr>Vermont</vt:lpstr>
      <vt:lpstr>Vermont_South</vt:lpstr>
      <vt:lpstr>Vervale</vt:lpstr>
      <vt:lpstr>Victoria_Police</vt:lpstr>
      <vt:lpstr>Victorian_School_Building_Authority__VSBA</vt:lpstr>
      <vt:lpstr>VicTrack</vt:lpstr>
      <vt:lpstr>Viewbank</vt:lpstr>
      <vt:lpstr>VIFM</vt:lpstr>
      <vt:lpstr>Vinyl_products</vt:lpstr>
      <vt:lpstr>Vinyl_products__f</vt:lpstr>
      <vt:lpstr>Vinylproducts</vt:lpstr>
      <vt:lpstr>Vinylproductsf</vt:lpstr>
      <vt:lpstr>Wandin_East</vt:lpstr>
      <vt:lpstr>Wandin_North</vt:lpstr>
      <vt:lpstr>Wantirna</vt:lpstr>
      <vt:lpstr>Wantirna_South</vt:lpstr>
      <vt:lpstr>Warburton</vt:lpstr>
      <vt:lpstr>Warneet</vt:lpstr>
      <vt:lpstr>Warrandyte</vt:lpstr>
      <vt:lpstr>Warrandyte_South</vt:lpstr>
      <vt:lpstr>Warranwood</vt:lpstr>
      <vt:lpstr>Watergardens</vt:lpstr>
      <vt:lpstr>Waterways</vt:lpstr>
      <vt:lpstr>Watsonia</vt:lpstr>
      <vt:lpstr>Watsonia_North</vt:lpstr>
      <vt:lpstr>Watsons_Creek</vt:lpstr>
      <vt:lpstr>Wattle_Glen</vt:lpstr>
      <vt:lpstr>Wattle_Park</vt:lpstr>
      <vt:lpstr>Wattletree_Road</vt:lpstr>
      <vt:lpstr>Waverley_Gardens</vt:lpstr>
      <vt:lpstr>Weir_Views</vt:lpstr>
      <vt:lpstr>Werribee</vt:lpstr>
      <vt:lpstr>Werribee_South</vt:lpstr>
      <vt:lpstr>Wesburn</vt:lpstr>
      <vt:lpstr>West_Footscray</vt:lpstr>
      <vt:lpstr>West_Gippsland_Healthcare_Group</vt:lpstr>
      <vt:lpstr>West_Melbourne</vt:lpstr>
      <vt:lpstr>West_Wimmera_Health_Service</vt:lpstr>
      <vt:lpstr>Western_Health</vt:lpstr>
      <vt:lpstr>Westmeadows</vt:lpstr>
      <vt:lpstr>Wheelers_Hill</vt:lpstr>
      <vt:lpstr>Whittlesea</vt:lpstr>
      <vt:lpstr>Wildwood</vt:lpstr>
      <vt:lpstr>William_Angliss_Institute_of_TAFE</vt:lpstr>
      <vt:lpstr>Williams_Landing</vt:lpstr>
      <vt:lpstr>Williamstown</vt:lpstr>
      <vt:lpstr>Williamstown_North</vt:lpstr>
      <vt:lpstr>Wimmera_Health_Care_Group</vt:lpstr>
      <vt:lpstr>Windsor</vt:lpstr>
      <vt:lpstr>Wishart</vt:lpstr>
      <vt:lpstr>Wodonga_Institute_of_TAFE</vt:lpstr>
      <vt:lpstr>Wollert</vt:lpstr>
      <vt:lpstr>Wonga_Park</vt:lpstr>
      <vt:lpstr>Woodstock</vt:lpstr>
      <vt:lpstr>Woori_Yallock</vt:lpstr>
      <vt:lpstr>Wyndham_Vale</vt:lpstr>
      <vt:lpstr>Yallambie</vt:lpstr>
      <vt:lpstr>Yan_Yean</vt:lpstr>
      <vt:lpstr>Yannathan</vt:lpstr>
      <vt:lpstr>Yarra_Glen</vt:lpstr>
      <vt:lpstr>Yarra_Junction</vt:lpstr>
      <vt:lpstr>Yarram_And_District_Health_Service</vt:lpstr>
      <vt:lpstr>Yarrambat</vt:lpstr>
      <vt:lpstr>Yarraville</vt:lpstr>
      <vt:lpstr>Yellingbo</vt:lpstr>
      <vt:lpstr>Yering</vt:lpstr>
      <vt:lpstr>Yesno</vt:lpstr>
      <vt:lpstr>Yuroke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VAEA Asbestos Data Collection Matrix</dc:title>
  <dc:creator>Manu Hume</dc:creator>
  <cp:lastModifiedBy>Tegan McNeill (VAEA)</cp:lastModifiedBy>
  <cp:lastPrinted>2017-07-10T04:15:04Z</cp:lastPrinted>
  <dcterms:created xsi:type="dcterms:W3CDTF">2017-07-10T02:57:37Z</dcterms:created>
  <dcterms:modified xsi:type="dcterms:W3CDTF">2025-08-13T22:34:20Z</dcterms:modified>
</cp:coreProperties>
</file>